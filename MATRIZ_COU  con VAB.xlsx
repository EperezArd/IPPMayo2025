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183" documentId="8_{3709E11A-9ECD-4B90-B982-65BC8DBC8E18}" xr6:coauthVersionLast="47" xr6:coauthVersionMax="47" xr10:uidLastSave="{FC61643C-1425-4046-ACD0-3E7039C66F82}"/>
  <bookViews>
    <workbookView xWindow="-23150" yWindow="-110" windowWidth="19420" windowHeight="10300" firstSheet="1" activeTab="2" xr2:uid="{00000000-000D-0000-FFFF-FFFF00000000}"/>
  </bookViews>
  <sheets>
    <sheet name="% SECCION_ECONOMIA 2022" sheetId="10" r:id="rId1"/>
    <sheet name="OFERTA_UTILIZACIÓN 2022" sheetId="11" r:id="rId2"/>
    <sheet name="% SECCION_ECONOMIA 2023" sheetId="12" r:id="rId3"/>
    <sheet name="OFERTA_UTILIZACIÓN 2023" sheetId="13" r:id="rId4"/>
  </sheets>
  <definedNames>
    <definedName name="_xlnm._FilterDatabase" localSheetId="0" hidden="1">'% SECCION_ECONOMIA 2022'!$B$8:$I$364</definedName>
    <definedName name="_xlnm._FilterDatabase" localSheetId="2" hidden="1">'% SECCION_ECONOMIA 2023'!$B$8:$I$364</definedName>
    <definedName name="_xlnm._FilterDatabase" localSheetId="1" hidden="1">'OFERTA_UTILIZACIÓN 2022'!$B$8:$K$241</definedName>
    <definedName name="_xlnm._FilterDatabase" localSheetId="3" hidden="1">'OFERTA_UTILIZACIÓN 2023'!$B$8:$K$241</definedName>
    <definedName name="_xlnm.Print_Titles" localSheetId="0">'% SECCION_ECONOMIA 2022'!$1:$8</definedName>
    <definedName name="_xlnm.Print_Titles" localSheetId="2">'% SECCION_ECONOMIA 2023'!$1:$8</definedName>
    <definedName name="_xlnm.Print_Titles" localSheetId="1">'OFERTA_UTILIZACIÓN 2022'!$1:$8</definedName>
    <definedName name="_xlnm.Print_Titles" localSheetId="3">'OFERTA_UTILIZACIÓN 2023'!$1:$8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7" i="12" l="1"/>
  <c r="J205" i="12"/>
  <c r="J200" i="12"/>
  <c r="J197" i="12"/>
  <c r="J195" i="12"/>
  <c r="J193" i="12"/>
  <c r="J191" i="12"/>
  <c r="J189" i="12"/>
  <c r="J186" i="12"/>
  <c r="J184" i="12"/>
  <c r="J182" i="12"/>
  <c r="J180" i="12"/>
  <c r="J177" i="12"/>
  <c r="J174" i="12"/>
  <c r="J172" i="12"/>
  <c r="J170" i="12"/>
  <c r="J168" i="12"/>
  <c r="J166" i="12"/>
  <c r="J163" i="12"/>
  <c r="J161" i="12"/>
  <c r="J159" i="12"/>
  <c r="J156" i="12"/>
  <c r="J154" i="12"/>
  <c r="J152" i="12"/>
  <c r="J150" i="12"/>
  <c r="J147" i="12"/>
  <c r="J144" i="12"/>
  <c r="J142" i="12"/>
  <c r="J139" i="12"/>
  <c r="J137" i="12"/>
  <c r="J135" i="12"/>
  <c r="J132" i="12"/>
  <c r="J130" i="12"/>
  <c r="J128" i="12"/>
  <c r="J126" i="12"/>
  <c r="J124" i="12"/>
  <c r="J122" i="12"/>
  <c r="J120" i="12"/>
  <c r="J118" i="12"/>
  <c r="J116" i="12"/>
  <c r="J113" i="12"/>
  <c r="J111" i="12"/>
  <c r="J108" i="12"/>
  <c r="J105" i="12"/>
  <c r="J103" i="12"/>
  <c r="J100" i="12"/>
  <c r="J98" i="12"/>
  <c r="J93" i="12"/>
  <c r="J90" i="12"/>
  <c r="J88" i="12"/>
  <c r="J86" i="12"/>
  <c r="J83" i="12"/>
  <c r="J26" i="12"/>
  <c r="J25" i="12"/>
  <c r="J81" i="12"/>
  <c r="J56" i="12"/>
  <c r="J55" i="12"/>
  <c r="K55" i="12" s="1"/>
  <c r="J53" i="12"/>
  <c r="J50" i="12"/>
  <c r="J42" i="12"/>
  <c r="J41" i="12"/>
  <c r="J39" i="12"/>
  <c r="J37" i="12"/>
  <c r="M29" i="13"/>
  <c r="L29" i="13"/>
  <c r="J35" i="12"/>
  <c r="J31" i="12"/>
  <c r="J32" i="12" s="1"/>
  <c r="J27" i="12"/>
  <c r="K27" i="12" s="1"/>
  <c r="J29" i="12"/>
  <c r="L30" i="12" s="1"/>
  <c r="J24" i="12"/>
  <c r="I366" i="10"/>
  <c r="J362" i="10" s="1"/>
  <c r="K42" i="12" l="1"/>
  <c r="K24" i="12"/>
  <c r="K25" i="12" s="1"/>
  <c r="K26" i="12" s="1"/>
  <c r="N30" i="12"/>
  <c r="M27" i="12"/>
  <c r="J30" i="12"/>
  <c r="K32" i="12"/>
  <c r="J80" i="10"/>
  <c r="J280" i="10"/>
  <c r="J238" i="10"/>
  <c r="J248" i="10"/>
  <c r="J210" i="10"/>
  <c r="J298" i="10"/>
  <c r="J220" i="10"/>
  <c r="J313" i="10"/>
  <c r="J320" i="10"/>
  <c r="J325" i="10"/>
  <c r="J342" i="10"/>
  <c r="J253" i="10"/>
  <c r="J9" i="10"/>
  <c r="J264" i="10"/>
  <c r="J352" i="10"/>
  <c r="J66" i="10"/>
  <c r="J273" i="10"/>
  <c r="L25" i="12" l="1"/>
  <c r="K31" i="12"/>
  <c r="M32" i="12"/>
</calcChain>
</file>

<file path=xl/sharedStrings.xml><?xml version="1.0" encoding="utf-8"?>
<sst xmlns="http://schemas.openxmlformats.org/spreadsheetml/2006/main" count="3514" uniqueCount="771">
  <si>
    <t>P0101</t>
  </si>
  <si>
    <t>P0201</t>
  </si>
  <si>
    <t>P0301</t>
  </si>
  <si>
    <t>P0401</t>
  </si>
  <si>
    <t>P0501</t>
  </si>
  <si>
    <t>P0601</t>
  </si>
  <si>
    <t>P0602</t>
  </si>
  <si>
    <t>P0704</t>
  </si>
  <si>
    <t>P0701</t>
  </si>
  <si>
    <t>P0702</t>
  </si>
  <si>
    <t>P0801</t>
  </si>
  <si>
    <t>P0901</t>
  </si>
  <si>
    <t>P1001</t>
  </si>
  <si>
    <t>P1101</t>
  </si>
  <si>
    <t>P1503</t>
  </si>
  <si>
    <t>P4202</t>
  </si>
  <si>
    <t>P1301</t>
  </si>
  <si>
    <t>P1304</t>
  </si>
  <si>
    <t>P1302</t>
  </si>
  <si>
    <t>P1303</t>
  </si>
  <si>
    <t>P6210</t>
  </si>
  <si>
    <t>P1501</t>
  </si>
  <si>
    <t>P1502</t>
  </si>
  <si>
    <t>P1601</t>
  </si>
  <si>
    <t>P1701</t>
  </si>
  <si>
    <t>P1801</t>
  </si>
  <si>
    <t>P1901</t>
  </si>
  <si>
    <t>P2003</t>
  </si>
  <si>
    <t>P2002</t>
  </si>
  <si>
    <t>P6211</t>
  </si>
  <si>
    <t>P2101</t>
  </si>
  <si>
    <t>P2102</t>
  </si>
  <si>
    <t>P2103</t>
  </si>
  <si>
    <t>P2104</t>
  </si>
  <si>
    <t>P2201</t>
  </si>
  <si>
    <t>P2301</t>
  </si>
  <si>
    <t>P2501</t>
  </si>
  <si>
    <t>P2601</t>
  </si>
  <si>
    <t>P2602</t>
  </si>
  <si>
    <t>P2603</t>
  </si>
  <si>
    <t>P2701</t>
  </si>
  <si>
    <t>P2703</t>
  </si>
  <si>
    <t>P2901</t>
  </si>
  <si>
    <t>P3001</t>
  </si>
  <si>
    <t>P3201</t>
  </si>
  <si>
    <t>P3301</t>
  </si>
  <si>
    <t>P3302</t>
  </si>
  <si>
    <t>P3303</t>
  </si>
  <si>
    <t>P3401</t>
  </si>
  <si>
    <t>P3501</t>
  </si>
  <si>
    <t>P3601</t>
  </si>
  <si>
    <t>P6212</t>
  </si>
  <si>
    <t>P3701</t>
  </si>
  <si>
    <t>P3702</t>
  </si>
  <si>
    <t>P3802</t>
  </si>
  <si>
    <t>P3803</t>
  </si>
  <si>
    <t>P3901</t>
  </si>
  <si>
    <t>P3902</t>
  </si>
  <si>
    <t>P4001</t>
  </si>
  <si>
    <t>P4004</t>
  </si>
  <si>
    <t>P4106</t>
  </si>
  <si>
    <t>P4201</t>
  </si>
  <si>
    <t>P4204</t>
  </si>
  <si>
    <t>P4205</t>
  </si>
  <si>
    <t>P4207</t>
  </si>
  <si>
    <t>P4208</t>
  </si>
  <si>
    <t>P4301</t>
  </si>
  <si>
    <t>P4302</t>
  </si>
  <si>
    <t>P4401</t>
  </si>
  <si>
    <t>P4403</t>
  </si>
  <si>
    <t>P4402</t>
  </si>
  <si>
    <t>P4404</t>
  </si>
  <si>
    <t>P4405</t>
  </si>
  <si>
    <t>P4406</t>
  </si>
  <si>
    <t>P4206</t>
  </si>
  <si>
    <t>P4501</t>
  </si>
  <si>
    <t>P4601</t>
  </si>
  <si>
    <t>P4602</t>
  </si>
  <si>
    <t>P4603</t>
  </si>
  <si>
    <t>P4610</t>
  </si>
  <si>
    <t>P4701</t>
  </si>
  <si>
    <t>P4801</t>
  </si>
  <si>
    <t>P4804</t>
  </si>
  <si>
    <t>P4003</t>
  </si>
  <si>
    <t>P6207</t>
  </si>
  <si>
    <t>P4903</t>
  </si>
  <si>
    <t>P5304</t>
  </si>
  <si>
    <t>P5001</t>
  </si>
  <si>
    <t>P5101</t>
  </si>
  <si>
    <t>P5202</t>
  </si>
  <si>
    <t>P5301</t>
  </si>
  <si>
    <t>P5303</t>
  </si>
  <si>
    <t>P5401</t>
  </si>
  <si>
    <t>P5402</t>
  </si>
  <si>
    <t>P5501</t>
  </si>
  <si>
    <t>P5502</t>
  </si>
  <si>
    <t>P4902</t>
  </si>
  <si>
    <t>P5505</t>
  </si>
  <si>
    <t>P5507</t>
  </si>
  <si>
    <t>P5508</t>
  </si>
  <si>
    <t>P5601</t>
  </si>
  <si>
    <t>P5602</t>
  </si>
  <si>
    <t>P6602</t>
  </si>
  <si>
    <t>P5702</t>
  </si>
  <si>
    <t>P6003</t>
  </si>
  <si>
    <t>P6206</t>
  </si>
  <si>
    <t>P5802</t>
  </si>
  <si>
    <t>P5804</t>
  </si>
  <si>
    <t>P5805</t>
  </si>
  <si>
    <t>P5806</t>
  </si>
  <si>
    <t>P5901</t>
  </si>
  <si>
    <t>P5902</t>
  </si>
  <si>
    <t>P6001</t>
  </si>
  <si>
    <t>P6002</t>
  </si>
  <si>
    <t>P6007</t>
  </si>
  <si>
    <t>P6004</t>
  </si>
  <si>
    <t>P6005</t>
  </si>
  <si>
    <t>P6006</t>
  </si>
  <si>
    <t>P6008</t>
  </si>
  <si>
    <t>P6101</t>
  </si>
  <si>
    <t>P6201</t>
  </si>
  <si>
    <t>P6202</t>
  </si>
  <si>
    <t>P6203</t>
  </si>
  <si>
    <t>P6204</t>
  </si>
  <si>
    <t>P6205</t>
  </si>
  <si>
    <t>P6301</t>
  </si>
  <si>
    <t>P6303</t>
  </si>
  <si>
    <t>P6304</t>
  </si>
  <si>
    <t>P6305</t>
  </si>
  <si>
    <t>P6401</t>
  </si>
  <si>
    <t>P6502</t>
  </si>
  <si>
    <t>P6503</t>
  </si>
  <si>
    <t>P6504</t>
  </si>
  <si>
    <t>P6601</t>
  </si>
  <si>
    <t>P6603</t>
  </si>
  <si>
    <t>P6604</t>
  </si>
  <si>
    <t>P6605</t>
  </si>
  <si>
    <t>P6208</t>
  </si>
  <si>
    <t>P6209</t>
  </si>
  <si>
    <t>P6702</t>
  </si>
  <si>
    <t>P6801</t>
  </si>
  <si>
    <t>A</t>
  </si>
  <si>
    <t>C</t>
  </si>
  <si>
    <t>Agricultura, ganadería, silvicultura y pesca</t>
  </si>
  <si>
    <t>B</t>
  </si>
  <si>
    <t>Explotación de minas y canteras</t>
  </si>
  <si>
    <t>Industrias manufactureras</t>
  </si>
  <si>
    <t>D</t>
  </si>
  <si>
    <t>Suministro de electricidad, gas, vapor y aire acondicionado</t>
  </si>
  <si>
    <t>F</t>
  </si>
  <si>
    <t>Construcción</t>
  </si>
  <si>
    <t>G</t>
  </si>
  <si>
    <t>Comercio al por mayor y al por menor; Mantenimiento y reparación de vehículos automotores y motocicletas</t>
  </si>
  <si>
    <t>H</t>
  </si>
  <si>
    <t>Transporte y almacenamiento</t>
  </si>
  <si>
    <t>I</t>
  </si>
  <si>
    <t>Actividades de alojamiento y de servicio de comidas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</si>
  <si>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</si>
  <si>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</si>
  <si>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</si>
  <si>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</si>
  <si>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</si>
  <si>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</si>
  <si>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</si>
  <si>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</si>
  <si>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</si>
  <si>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de servicios administrativos y de apoyo</t>
  </si>
  <si>
    <t>O</t>
  </si>
  <si>
    <t>Administración pública y defensa; planes de seguridad social de afiliación obligatoria</t>
  </si>
  <si>
    <t>P</t>
  </si>
  <si>
    <t>Enseñanza</t>
  </si>
  <si>
    <t>Q</t>
  </si>
  <si>
    <t>Actividades de atención de la salud humana y de asistencia social</t>
  </si>
  <si>
    <t>R</t>
  </si>
  <si>
    <t>Actividades artísticas, de entretenimiento y recreativas</t>
  </si>
  <si>
    <t>S</t>
  </si>
  <si>
    <t>Otras actividades de servicios</t>
  </si>
  <si>
    <t>T</t>
  </si>
  <si>
    <t>Actividades de los hogares como empleadores; actividades no diferenciadas de los hogares como productores de bienes y servicios para uso propio</t>
  </si>
  <si>
    <t>SECCIÓN</t>
  </si>
  <si>
    <t>P0102</t>
  </si>
  <si>
    <t>P0202</t>
  </si>
  <si>
    <t>P0402</t>
  </si>
  <si>
    <t>P0405</t>
  </si>
  <si>
    <t>P0406</t>
  </si>
  <si>
    <t>P1203</t>
  </si>
  <si>
    <t>P1401</t>
  </si>
  <si>
    <t>P1402</t>
  </si>
  <si>
    <t>P1403</t>
  </si>
  <si>
    <t>P1602</t>
  </si>
  <si>
    <t>P2202</t>
  </si>
  <si>
    <t>P2303</t>
  </si>
  <si>
    <t>P2304</t>
  </si>
  <si>
    <t>P2401</t>
  </si>
  <si>
    <t>P2503</t>
  </si>
  <si>
    <t>P2702</t>
  </si>
  <si>
    <t>P2801</t>
  </si>
  <si>
    <t>P3101</t>
  </si>
  <si>
    <t>P3801</t>
  </si>
  <si>
    <t>P4002</t>
  </si>
  <si>
    <t>P5002</t>
  </si>
  <si>
    <t>P5302</t>
  </si>
  <si>
    <t>P5803</t>
  </si>
  <si>
    <t>P6501</t>
  </si>
  <si>
    <t>NPG</t>
  </si>
  <si>
    <t>Trigo</t>
  </si>
  <si>
    <t>Maíz</t>
  </si>
  <si>
    <t>Semillas y otras semillas oleaginosos</t>
  </si>
  <si>
    <t>Frijoles</t>
  </si>
  <si>
    <t>Arroz</t>
  </si>
  <si>
    <t>Hortalizas</t>
  </si>
  <si>
    <t>Sandías y melones</t>
  </si>
  <si>
    <t>Otras hortalizas</t>
  </si>
  <si>
    <t>Raíces y tubérculos</t>
  </si>
  <si>
    <t>Caña de azúcar y otras plantas azúcareras</t>
  </si>
  <si>
    <t>Tabaco</t>
  </si>
  <si>
    <t>Otras plantas no perennes</t>
  </si>
  <si>
    <t>Bananos, plátanos y otros</t>
  </si>
  <si>
    <t>Frutas tropicales y subtropicales</t>
  </si>
  <si>
    <t>Otras frutas y semillas de frutas</t>
  </si>
  <si>
    <t>Palma africana</t>
  </si>
  <si>
    <t>Café en grano</t>
  </si>
  <si>
    <t>Cardamomo</t>
  </si>
  <si>
    <t xml:space="preserve">Caucho natural </t>
  </si>
  <si>
    <t>Especias aromáticas (excepto cardamomo)</t>
  </si>
  <si>
    <t>Ganado bovino</t>
  </si>
  <si>
    <t>Ganado porcino</t>
  </si>
  <si>
    <t>Aves de corral</t>
  </si>
  <si>
    <t>Otro tipo de animales vivos n.c.p.</t>
  </si>
  <si>
    <t>Leche cruda</t>
  </si>
  <si>
    <t>Huevos</t>
  </si>
  <si>
    <t>Miel natural</t>
  </si>
  <si>
    <t>Troncos de madera</t>
  </si>
  <si>
    <t>Leña</t>
  </si>
  <si>
    <t>Productos forestales no madereros</t>
  </si>
  <si>
    <t>Peces vivos, frescos o refrigerados</t>
  </si>
  <si>
    <t>Crustáceos sin congelar</t>
  </si>
  <si>
    <t>Servicios de apoyo a la agricultura, caza, silvicultura y pesca</t>
  </si>
  <si>
    <t>Petróleo crudo y gas natural</t>
  </si>
  <si>
    <t>Minerales Metálicos</t>
  </si>
  <si>
    <t>Piedra, arena y arcilla</t>
  </si>
  <si>
    <t xml:space="preserve">Sal y cloruro de sodio  </t>
  </si>
  <si>
    <t>Otros minerales no metálicos</t>
  </si>
  <si>
    <t>Servicios de apoyo para la explotación de minas y canteras y  los relacionados con la distribución de electricidad, gas y agua</t>
  </si>
  <si>
    <t>Carne y despojos comestibles de ganado bovino</t>
  </si>
  <si>
    <t>Carne y despojos comestibles de ganado porcino</t>
  </si>
  <si>
    <t>Carne y despojos comestibles de aves</t>
  </si>
  <si>
    <t>Carne y despojos de otros animales y conservas y preparados de carne</t>
  </si>
  <si>
    <t>Pescado congelado, preparado o en conserva y sus productos</t>
  </si>
  <si>
    <t>Vegetales preparados o en conserva, legumbres y papas</t>
  </si>
  <si>
    <t>Jugos de frutas</t>
  </si>
  <si>
    <t>Aceites de origen vegetal</t>
  </si>
  <si>
    <t>Leche líquida y crema procesadas</t>
  </si>
  <si>
    <t>Otros productos lácteos n.c.p.</t>
  </si>
  <si>
    <t>Harina de trigo</t>
  </si>
  <si>
    <t>Arroz sin cáscara</t>
  </si>
  <si>
    <t>Otros productos de molinería n.c.p.</t>
  </si>
  <si>
    <t>Pan</t>
  </si>
  <si>
    <t>Otros productos de panadería y repostería n.c.p.</t>
  </si>
  <si>
    <t>Tortillas de maíz, incluso tostadas, horneadas o fritas</t>
  </si>
  <si>
    <t>Azúcar de caña sin refinar, refinada y los demás azúcares n.c.p.</t>
  </si>
  <si>
    <t>Cacao, chocolate y productos de confitería</t>
  </si>
  <si>
    <t>Macarrones, fideos y productos farináceos similares</t>
  </si>
  <si>
    <t>Productos alimenticios n.c.p.</t>
  </si>
  <si>
    <t>Preparados para alimentación animal</t>
  </si>
  <si>
    <t>Aguardientes, licores y demás bebidas espirituosas</t>
  </si>
  <si>
    <t>Vinos</t>
  </si>
  <si>
    <t>Cerveza de malta</t>
  </si>
  <si>
    <t>Bebidas no alcohólicas</t>
  </si>
  <si>
    <t>Productos del tabaco</t>
  </si>
  <si>
    <t>Hilados e hilos, tejidos y telas textiles</t>
  </si>
  <si>
    <t>Otros productos textiles (artículos textiles excepto prendas de vestir)</t>
  </si>
  <si>
    <t>Prendas de vestir, adobo y teñido de pieles</t>
  </si>
  <si>
    <t>Cuero de piel curtida o adobada y cuero artificial o regenerado</t>
  </si>
  <si>
    <t>Artículos de cuero</t>
  </si>
  <si>
    <t>Calzado y sus partes, de cualquier material y de cualquier uso</t>
  </si>
  <si>
    <t>Madera aserrada y acepillada</t>
  </si>
  <si>
    <t>Productos de madera, corcho, paja, materiales trenzables</t>
  </si>
  <si>
    <t>Pasta de papel y papel</t>
  </si>
  <si>
    <t>Envases de papel y cartón</t>
  </si>
  <si>
    <t>Productos de la impresión</t>
  </si>
  <si>
    <t>Otros productos de la refinación de petróleo n.c.p. y productos de combustible nuclear</t>
  </si>
  <si>
    <t>Alcoholes</t>
  </si>
  <si>
    <t>Abonos, fertilizantes y pesticidas</t>
  </si>
  <si>
    <t>Pinturas y barnices y productos relacionados, colores artisticos, tinta</t>
  </si>
  <si>
    <t>Jabón, preparados de limpieza, perfumes y preparados de toilet</t>
  </si>
  <si>
    <t>Productos Químicos Básicos excepto alcoholes</t>
  </si>
  <si>
    <t>Productos químicos n.c.p. y fibras sintéticas o artificiales</t>
  </si>
  <si>
    <t>Productos Farmaceúticos</t>
  </si>
  <si>
    <t>Productos de caucho</t>
  </si>
  <si>
    <t>Productos de plástico</t>
  </si>
  <si>
    <t>Vidrio y productos de vidrio</t>
  </si>
  <si>
    <t>Productos no estructurales de cerámica</t>
  </si>
  <si>
    <t>Productos refractarios y productos estructurales de arcilla no refractarios</t>
  </si>
  <si>
    <t>Cemento, cal y yeso</t>
  </si>
  <si>
    <t>Artículos de hormigón, cemento y yeso</t>
  </si>
  <si>
    <t xml:space="preserve">Piedras talladas para construcción </t>
  </si>
  <si>
    <t>Métales básicos de hierro y acero</t>
  </si>
  <si>
    <t>Productos metálicos estructurales y sus partes de hierro o de acero</t>
  </si>
  <si>
    <t>Otros productos elaborados de metal</t>
  </si>
  <si>
    <t>Maquinaria para usos generales, sus partes y piezas</t>
  </si>
  <si>
    <t>Equipo de transporte</t>
  </si>
  <si>
    <t>Muebles</t>
  </si>
  <si>
    <t>Joyas y artículos conexos</t>
  </si>
  <si>
    <t>Otros artículos n.c.p.</t>
  </si>
  <si>
    <t>Residuos o desechos no metálicos</t>
  </si>
  <si>
    <t>Residuos o desechos metálicos</t>
  </si>
  <si>
    <t>Servicio de mantenimiento, reparación e instalación de productos metálicos elaborados, maquinaria y equipo</t>
  </si>
  <si>
    <t>Servicios de manufactura</t>
  </si>
  <si>
    <t>Energía eléctrica , gas, vapor y aire acondicionado</t>
  </si>
  <si>
    <t>Distribución de energía eléctrica, gas, vapor y aire acondicionado</t>
  </si>
  <si>
    <t>Agua natural y distribución de agua natural</t>
  </si>
  <si>
    <t>Recogida, tratamiento y eliminación de desechos</t>
  </si>
  <si>
    <t>Edificaciones residenciales</t>
  </si>
  <si>
    <t>Edificaciones no residenciales</t>
  </si>
  <si>
    <t>Servicios generales y especializados de construcción</t>
  </si>
  <si>
    <t xml:space="preserve">Servicios de Comercio </t>
  </si>
  <si>
    <t>Mantenimiento y Reparación de Vehículos automotores y Motocicletas</t>
  </si>
  <si>
    <t>Servicio de transporte de pasajeros por vía terrestre</t>
  </si>
  <si>
    <t>Servicio de transporte de carga por vía terrestre</t>
  </si>
  <si>
    <t>Servicio de transporte  por vía aérea</t>
  </si>
  <si>
    <t>Otros servicios de apoyo al transporte</t>
  </si>
  <si>
    <t>Servicios postales y de mensajería</t>
  </si>
  <si>
    <t>Servicio de alojamiento</t>
  </si>
  <si>
    <t>Servicio de suministro de comidas y bebidas</t>
  </si>
  <si>
    <t>Productos de la edición</t>
  </si>
  <si>
    <t>Servicios de telefonía y otros servicios de comunicaciones</t>
  </si>
  <si>
    <t>Servicios de tecnología de la información</t>
  </si>
  <si>
    <t>Servicio de producción de Películas cinematográficas, vídeos y programas de televisión; Servicio de grabación de sonido y edición de música; Servicios cinematográficos, radiales , artísticos y de apuestas</t>
  </si>
  <si>
    <t>Otros servicios financieros y servicios de banca de inversión</t>
  </si>
  <si>
    <t>Servicios de seguro, reaseguro y fondos de pensiones</t>
  </si>
  <si>
    <t>Servicios auxiliares de la intermediación financiera distintos de los servicios de seguros y pensiones</t>
  </si>
  <si>
    <t>Servicios auxiliares de seguros y de fondos de pensiones</t>
  </si>
  <si>
    <t>Servicios de alquiler de vivienda</t>
  </si>
  <si>
    <t>Otros servicios inmobiliarios (excepto alquiler de vivienda)</t>
  </si>
  <si>
    <t>Servicios jurídicos</t>
  </si>
  <si>
    <t>Servicios de contabilidad, auditoría, teneduría de libros y consultoría fiscal</t>
  </si>
  <si>
    <t>Servicios de arquitectura e ingeniería; ensayos y análisis técnicos</t>
  </si>
  <si>
    <t>Servicios de investigación científica y desarrollo</t>
  </si>
  <si>
    <t>Servicios de publicidad y estudios de mercado</t>
  </si>
  <si>
    <t>Otras actividades profesionales, científicas y técnicas</t>
  </si>
  <si>
    <t>Servicios veterinarios</t>
  </si>
  <si>
    <t>Servicios de arrendamiento o alquiler relativos a vehículos, maquinaria y equipo sin operario</t>
  </si>
  <si>
    <t>Servicios  de agencias de empleo y de dotación de recursos humanos</t>
  </si>
  <si>
    <t>Servicios de seguridad, sistemas de seguridad e investigación privada</t>
  </si>
  <si>
    <t>Servicios de limpieza</t>
  </si>
  <si>
    <t>Servicios telefónicos de centros de llamadas</t>
  </si>
  <si>
    <t>Servicios administrativos y de apoyo de oficina y otros servicios de apoyo a las empresas</t>
  </si>
  <si>
    <t>Servicios públicos del gobierno en general</t>
  </si>
  <si>
    <t>Otros servicios administrativos</t>
  </si>
  <si>
    <t>Servicios públicos administrativos prestados a la comunidad en su conjunto</t>
  </si>
  <si>
    <t>Servicios administrativos relacionados con los sistemas de seguridad social de afiliación obligatoria</t>
  </si>
  <si>
    <t>Servicios de enseñanza</t>
  </si>
  <si>
    <t>Servicios de hospitalización</t>
  </si>
  <si>
    <t>Servicios médicos y dentales</t>
  </si>
  <si>
    <t>Otros servicios de salud</t>
  </si>
  <si>
    <t>Servicios de biblioteca, archivos, museos y otras actividades culturales</t>
  </si>
  <si>
    <t>Servicios deportivos, de esparcimiento y recreativos</t>
  </si>
  <si>
    <t>Servicios de reparación de equipo de computo y equipo de comunicaciones</t>
  </si>
  <si>
    <t>Servicios de reparación de otros bienes</t>
  </si>
  <si>
    <t>Servicios de asociaciones que sirven a las empresas</t>
  </si>
  <si>
    <t>Servicios de asociaciones que sirven a los hogares</t>
  </si>
  <si>
    <t>Otros servicios</t>
  </si>
  <si>
    <t>Servicios Domésticos</t>
  </si>
  <si>
    <t>AE001</t>
  </si>
  <si>
    <t>AE002</t>
  </si>
  <si>
    <t>AE003</t>
  </si>
  <si>
    <t>AE004</t>
  </si>
  <si>
    <t>AE014</t>
  </si>
  <si>
    <t>AE005</t>
  </si>
  <si>
    <t>AE006</t>
  </si>
  <si>
    <t>AE007</t>
  </si>
  <si>
    <t>AE008</t>
  </si>
  <si>
    <t>AE009</t>
  </si>
  <si>
    <t>AE010</t>
  </si>
  <si>
    <t>AE011</t>
  </si>
  <si>
    <t>AE012</t>
  </si>
  <si>
    <t>AE013</t>
  </si>
  <si>
    <t>AE019</t>
  </si>
  <si>
    <t>AE015</t>
  </si>
  <si>
    <t>AE016</t>
  </si>
  <si>
    <t>AE017</t>
  </si>
  <si>
    <t>AE018</t>
  </si>
  <si>
    <t>AE021</t>
  </si>
  <si>
    <t>AE022</t>
  </si>
  <si>
    <t>AE023</t>
  </si>
  <si>
    <t>AE024</t>
  </si>
  <si>
    <t>AE025</t>
  </si>
  <si>
    <t>AE026</t>
  </si>
  <si>
    <t>AE027</t>
  </si>
  <si>
    <t>AE028</t>
  </si>
  <si>
    <t>AE029</t>
  </si>
  <si>
    <t>AE030</t>
  </si>
  <si>
    <t>AE031</t>
  </si>
  <si>
    <t>AE032</t>
  </si>
  <si>
    <t>AE033</t>
  </si>
  <si>
    <t>AE034</t>
  </si>
  <si>
    <t>AE046</t>
  </si>
  <si>
    <t>AE035</t>
  </si>
  <si>
    <t>AE036</t>
  </si>
  <si>
    <t>AE037</t>
  </si>
  <si>
    <t>AE038</t>
  </si>
  <si>
    <t>AE039</t>
  </si>
  <si>
    <t>AE040</t>
  </si>
  <si>
    <t>AE041</t>
  </si>
  <si>
    <t>AE042</t>
  </si>
  <si>
    <t>AE043</t>
  </si>
  <si>
    <t>AE044</t>
  </si>
  <si>
    <t>AE045</t>
  </si>
  <si>
    <t>AE047</t>
  </si>
  <si>
    <t>AE048</t>
  </si>
  <si>
    <t>AE063</t>
  </si>
  <si>
    <t>AE049</t>
  </si>
  <si>
    <t>AE050</t>
  </si>
  <si>
    <t>AE051</t>
  </si>
  <si>
    <t>AE052</t>
  </si>
  <si>
    <t>AE053</t>
  </si>
  <si>
    <t>AE054</t>
  </si>
  <si>
    <t>AE055</t>
  </si>
  <si>
    <t>AE056</t>
  </si>
  <si>
    <t>AE057</t>
  </si>
  <si>
    <t>AE058</t>
  </si>
  <si>
    <t>AE059</t>
  </si>
  <si>
    <t>AE080</t>
  </si>
  <si>
    <t>AE060</t>
  </si>
  <si>
    <t>AE061</t>
  </si>
  <si>
    <t>AE064</t>
  </si>
  <si>
    <t>AE084</t>
  </si>
  <si>
    <t>AE066</t>
  </si>
  <si>
    <t>AE067</t>
  </si>
  <si>
    <t>AE068</t>
  </si>
  <si>
    <t>AE069</t>
  </si>
  <si>
    <t>AE070</t>
  </si>
  <si>
    <t>AE071</t>
  </si>
  <si>
    <t>AE072</t>
  </si>
  <si>
    <t>AE073</t>
  </si>
  <si>
    <t>AE074</t>
  </si>
  <si>
    <t>AE075</t>
  </si>
  <si>
    <t>AE076</t>
  </si>
  <si>
    <t>AE086M</t>
  </si>
  <si>
    <t>AE077</t>
  </si>
  <si>
    <t>AE078</t>
  </si>
  <si>
    <t>AE079</t>
  </si>
  <si>
    <t>AE081</t>
  </si>
  <si>
    <t>AE123M</t>
  </si>
  <si>
    <t>AE082</t>
  </si>
  <si>
    <t>AE083</t>
  </si>
  <si>
    <t>AE085UFP</t>
  </si>
  <si>
    <t>AE085M</t>
  </si>
  <si>
    <t>AE087</t>
  </si>
  <si>
    <t>AE088</t>
  </si>
  <si>
    <t>AE089</t>
  </si>
  <si>
    <t>AE090</t>
  </si>
  <si>
    <t>AE091</t>
  </si>
  <si>
    <t>AE092</t>
  </si>
  <si>
    <t>AE093</t>
  </si>
  <si>
    <t>AE094</t>
  </si>
  <si>
    <t>AE095</t>
  </si>
  <si>
    <t>AE096</t>
  </si>
  <si>
    <t>AE097</t>
  </si>
  <si>
    <t>AE098</t>
  </si>
  <si>
    <t>AE099</t>
  </si>
  <si>
    <t>AE112</t>
  </si>
  <si>
    <t>AE126M</t>
  </si>
  <si>
    <t>AE100</t>
  </si>
  <si>
    <t>AE101</t>
  </si>
  <si>
    <t>AE102</t>
  </si>
  <si>
    <t>AE103UFP</t>
  </si>
  <si>
    <t>AE104</t>
  </si>
  <si>
    <t>AE105</t>
  </si>
  <si>
    <t>AE107</t>
  </si>
  <si>
    <t>AE108M</t>
  </si>
  <si>
    <t>AE108NM</t>
  </si>
  <si>
    <t>AE109</t>
  </si>
  <si>
    <t>AE106</t>
  </si>
  <si>
    <t>AE111</t>
  </si>
  <si>
    <t>AE113</t>
  </si>
  <si>
    <t>AE114</t>
  </si>
  <si>
    <t>AE115</t>
  </si>
  <si>
    <t>AE116</t>
  </si>
  <si>
    <t>AE117</t>
  </si>
  <si>
    <t>AE118</t>
  </si>
  <si>
    <t>AE119</t>
  </si>
  <si>
    <t>AE120</t>
  </si>
  <si>
    <t>AE121NM</t>
  </si>
  <si>
    <t>AE121M</t>
  </si>
  <si>
    <t>AE122NM</t>
  </si>
  <si>
    <t>AE122M</t>
  </si>
  <si>
    <t>AE124M</t>
  </si>
  <si>
    <t>AE125NM</t>
  </si>
  <si>
    <t>AE126NM</t>
  </si>
  <si>
    <t>AE127M</t>
  </si>
  <si>
    <t>AE130</t>
  </si>
  <si>
    <t>AE128</t>
  </si>
  <si>
    <t>AE129</t>
  </si>
  <si>
    <t>AE131</t>
  </si>
  <si>
    <t>AE132</t>
  </si>
  <si>
    <t>Cultivo de cereales (excepto arroz)</t>
  </si>
  <si>
    <t>Cultivo de leguminosas (legumbres secas) y semillas oleaginosas</t>
  </si>
  <si>
    <t>Cultivo de arroz</t>
  </si>
  <si>
    <t>Cultivo de hortalizas y melones, raíces y tubérculos</t>
  </si>
  <si>
    <t>Cultivo de caña de azúcar</t>
  </si>
  <si>
    <t>Cultivo de tabaco y otras plantas no perennes</t>
  </si>
  <si>
    <t>Cultivo de banano</t>
  </si>
  <si>
    <t>Cultivo de otras frutas tropicales y subtropicales</t>
  </si>
  <si>
    <t>Cultivo de otras frutas y nueces</t>
  </si>
  <si>
    <t>Cultivo de palma</t>
  </si>
  <si>
    <t>Cultivo de Café</t>
  </si>
  <si>
    <t>Cultivo de cardamomo</t>
  </si>
  <si>
    <t>Cultivo de caucho natural</t>
  </si>
  <si>
    <t>Cultivo de otras plantas perennes</t>
  </si>
  <si>
    <t>Cría de ganado bovino excluyendo búfalos</t>
  </si>
  <si>
    <t>Cría de ganado porcino</t>
  </si>
  <si>
    <t>Cría de aves de corral</t>
  </si>
  <si>
    <t>Cría de otros animales y obtencion de productos de otros animales vivos</t>
  </si>
  <si>
    <t>Actividades de apoyo a la agricultura y ganadería; propagación de plantas</t>
  </si>
  <si>
    <t>Crustáceos, muloscos y demás invertebrados acuáticos congelados, preparados o en conserva y sus productos</t>
  </si>
  <si>
    <t>Otras frutas y nueces preparadas y preservadas (excepto por azúcar)</t>
  </si>
  <si>
    <t>Obras de ingenieria civil</t>
  </si>
  <si>
    <t>Servicios de intermediación financiera Medidos Indirectamente (SIFMI)</t>
  </si>
  <si>
    <t>Servicios de agencias de viajes, operadores turisticos y actividades conexas</t>
  </si>
  <si>
    <t>Servicios de atencion en instituciones y de asistencia social</t>
  </si>
  <si>
    <t>Silvicultura y extracción de madera, y servicios de apoyo a la silvicultura</t>
  </si>
  <si>
    <t>Pesca</t>
  </si>
  <si>
    <t>Acuicultura</t>
  </si>
  <si>
    <t>Extracción de petróleo crudo y gas natural</t>
  </si>
  <si>
    <t>Extracción de minerales metálicos</t>
  </si>
  <si>
    <t>Extracción de piedra, arena y arcilla</t>
  </si>
  <si>
    <t>Extracción de otros minerales no metálicos</t>
  </si>
  <si>
    <t>Actividades de apoyo para la explotación de minas y canteras</t>
  </si>
  <si>
    <t>Elaboración y conservación de carne de ganado bovino</t>
  </si>
  <si>
    <t>Elaboración y conservación de carne de ganado porcino</t>
  </si>
  <si>
    <t>Elaboración y conservación de carne de aves de corral</t>
  </si>
  <si>
    <t>Elaboración de productos cárnicos y elaboración de otros productos de origen animal n.c.p.</t>
  </si>
  <si>
    <t>Elaboración y conservación de pescado, crustáceos y moluscos</t>
  </si>
  <si>
    <t>Elaboración y conservación de frutas, legumbres y hortalizas</t>
  </si>
  <si>
    <t>Elaboración de aceites y grasas de origen vegetal y animal</t>
  </si>
  <si>
    <t>Elaboración de productos lácteos</t>
  </si>
  <si>
    <t>Elaboración de harina de trigo</t>
  </si>
  <si>
    <t>Beneficios de arroz</t>
  </si>
  <si>
    <t>Elaboración de otros productos de molinería n.c.p. por cuenta propia</t>
  </si>
  <si>
    <t>Elaboración de almidones y productos derivados del almidón</t>
  </si>
  <si>
    <t>Elaboración de productos de panadería</t>
  </si>
  <si>
    <t>Elaboración de tortillas de maíz</t>
  </si>
  <si>
    <t>Elaboración de azúcar</t>
  </si>
  <si>
    <t>Elaboración de cacao y chocolate y de productos de confitería</t>
  </si>
  <si>
    <t>Elaboración de macarrones, fideos, alcuzcuz y productos farináceos similares</t>
  </si>
  <si>
    <t xml:space="preserve">Elaboración de otros productos alimenticios n.c.p  incluyendo comidas y platos preparados </t>
  </si>
  <si>
    <t>Elaboración de alimentos preparados para animales</t>
  </si>
  <si>
    <t>Destilación, rectificación y mezcla de bebidas alcohólicas</t>
  </si>
  <si>
    <t>Elaboración de vinos</t>
  </si>
  <si>
    <t>Elaboración de bebidas malteadas y de malta</t>
  </si>
  <si>
    <t>Elaboración de bebidas no alcohólicas; producción de aguas minerales y otras aguas embotelladas</t>
  </si>
  <si>
    <t>Elaboración de productos de tabaco</t>
  </si>
  <si>
    <t>Hilatura, tejedura y acabado de productos textiles</t>
  </si>
  <si>
    <t>Fabricación de otros productos textiles</t>
  </si>
  <si>
    <t>Fabricación de prendas de vestir</t>
  </si>
  <si>
    <t>Curtido, adobo, teñido de cueros y pieles; fabricación de maletas, bolsos de mano y artículos similares, y  artículos de talabartería y guarnicionería</t>
  </si>
  <si>
    <t>Fabricación de calzado de cualquier material y de cualquier uso; partes de calzado de cuero</t>
  </si>
  <si>
    <t>Aserrado y acepilladura de madera</t>
  </si>
  <si>
    <t>Fabricación de productos de madera, productos de corcho, paja y materiales trenzables</t>
  </si>
  <si>
    <t>Fabricación de papel y productos de papel</t>
  </si>
  <si>
    <t>Impresión y actividades de servicios relacionados con la impresión y reproducción de grabaciones.</t>
  </si>
  <si>
    <t>AE062</t>
  </si>
  <si>
    <t>Fabricación de coque y productos de la refinación del petróleo</t>
  </si>
  <si>
    <t xml:space="preserve">Fabricación de alcoholes </t>
  </si>
  <si>
    <t>Fabricación de abonos , compuestos de nitrógeno, plaguicidas y otros productos químicos de uso agropecuario</t>
  </si>
  <si>
    <t>AE065</t>
  </si>
  <si>
    <t>Fabricación de plásticos y caucho sintético en formas primarias</t>
  </si>
  <si>
    <t>Fabricación de pinturas, barnices y productos de revestimiento similares, tintas de imprenta y masillas</t>
  </si>
  <si>
    <t>Fabricación de jabones y detergentes, preparados para limpiar y pulir, perfumes y preparados de tocador</t>
  </si>
  <si>
    <t>Fabricación de otras sustancias químicas básicas, otros productos químicos y fibras artificiales</t>
  </si>
  <si>
    <t>Fabricación de productos farmacéuticos, sustancias químicas medicinales y productos botánicos de uso farmacéutico</t>
  </si>
  <si>
    <t>Fabricación de productos de caucho</t>
  </si>
  <si>
    <t>Fabricación de productos de plástico</t>
  </si>
  <si>
    <t>Fabricación de vidrio y productos de vidrio</t>
  </si>
  <si>
    <t>Fabricación de productos refractarios y no refractarios de arcilla, cerámica, porcelana y otros minerales no metálicos</t>
  </si>
  <si>
    <t>Fabricación de cemento, cal y yeso</t>
  </si>
  <si>
    <t>Fabricación de artículos de hormigón, cemento y yeso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</si>
  <si>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</si>
  <si>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</si>
  <si>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</si>
  <si>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Fabricación, reparación e instalación de maquinaria y equipo industrial, n.c.p.</t>
  </si>
  <si>
    <t>Fabricación de muebles</t>
  </si>
  <si>
    <t>Otras industrias manufactureras</t>
  </si>
  <si>
    <t>Captación, tratamiento y distribución de agua; y evacuación de aguas residuales</t>
  </si>
  <si>
    <t>Recogida, tratamiento y eliminacion de desechos, recuperación de manteriales y actividades de descontaminación y otros servicios de gestión de desechos</t>
  </si>
  <si>
    <t>Construcción de edificios</t>
  </si>
  <si>
    <t xml:space="preserve">Construcción de obras de ingeniería civil </t>
  </si>
  <si>
    <t>Actividades especializadas de construcción</t>
  </si>
  <si>
    <t>Comercio al por mayor y al por menor</t>
  </si>
  <si>
    <t>Mantenimiento y reparación de vehículos automotores y motocicletas</t>
  </si>
  <si>
    <t>Transporte por vía terrestre y transporte por tuberías</t>
  </si>
  <si>
    <t>Otros tipos de transporte</t>
  </si>
  <si>
    <t>Almacenamiento y actividades de apoyo al transporte</t>
  </si>
  <si>
    <t>Actividades postales y de mensajería</t>
  </si>
  <si>
    <t>Actividades de alojamiento</t>
  </si>
  <si>
    <t>Actividades de servicios de comidas y bebidas</t>
  </si>
  <si>
    <t>Edición de libros y publicaciones periódicas y otras actividades de edición.</t>
  </si>
  <si>
    <t>Actividades de producción de películas cinematográficas, videos y programas de televisión, grabación y edición de música; y actividades de programación y transmisión</t>
  </si>
  <si>
    <t>Telecomunicaciones</t>
  </si>
  <si>
    <t>Programación informática, consultoría de informática y actividades conexas;  y actividades de servicios de información; edición de programas informáticos</t>
  </si>
  <si>
    <t>Actividades de servicios financieros, excepto las de seguros y fondos de pensiones</t>
  </si>
  <si>
    <t>Seguros, reaseguros y fondos de pensiones, excepto planes de seguridad social de afiliación obligatoria</t>
  </si>
  <si>
    <t>Actividades auxiliares de las actividades de servicios financieros</t>
  </si>
  <si>
    <t>AE103M</t>
  </si>
  <si>
    <t>Alquiler de vivienda</t>
  </si>
  <si>
    <t>Alquileres no residenciales y otras actividades inmobiliarias</t>
  </si>
  <si>
    <t>Actividades jurídicas y de contabilidad</t>
  </si>
  <si>
    <t>Actividades de oficinas principales;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</si>
  <si>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</si>
  <si>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</si>
  <si>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</si>
  <si>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AE110</t>
  </si>
  <si>
    <t>Actividades veterinarias</t>
  </si>
  <si>
    <t>Actividades de alquiler y arrendamiento</t>
  </si>
  <si>
    <t>Actividades de empleo</t>
  </si>
  <si>
    <t>Actividades de agencias de viajes, operadores turísticos, servicios de reservas y actividades conexas</t>
  </si>
  <si>
    <t>Actividades de seguridad,  investigación privada y de detectives</t>
  </si>
  <si>
    <t>Actividades de servicios a edificios y de paisajismos</t>
  </si>
  <si>
    <t>Actividades de centros de llamadas</t>
  </si>
  <si>
    <t>Actividades administrativas y de apoyo de oficina y otras actividades de apoyo a las empresas</t>
  </si>
  <si>
    <t>Actividades de hospitales</t>
  </si>
  <si>
    <t>Actividades de médicos y odontólogos</t>
  </si>
  <si>
    <t>Otras actividades de atención de la salud humana</t>
  </si>
  <si>
    <t>AE125M</t>
  </si>
  <si>
    <t>Actividades de atencion en instituciones y Actividades de asistencia social</t>
  </si>
  <si>
    <t>Actividades artísticas y de entretenimiento, excepto actividades deportivas</t>
  </si>
  <si>
    <t>Actividades deportivas, de esparcimiento y recreativas</t>
  </si>
  <si>
    <t>Actividades de asociaciones empresariales y de empleadores</t>
  </si>
  <si>
    <t>Reparación de equipo de cómputo y de efectos personales y enseres domésticos</t>
  </si>
  <si>
    <t>Otras Actividades de servicios personales</t>
  </si>
  <si>
    <t>AE086UFP</t>
  </si>
  <si>
    <t>Actividades de los hogares como empleadores de personal doméstico</t>
  </si>
  <si>
    <t>Administración pública y defensa, excepto planes de seguridad social de afiliación obligatoria</t>
  </si>
  <si>
    <t>Actividades de planes de seguridad social de afiliación obligatoria</t>
  </si>
  <si>
    <t>AE123NM</t>
  </si>
  <si>
    <t>AE124NM</t>
  </si>
  <si>
    <t>AE127NM</t>
  </si>
  <si>
    <t>Actividades de asociaciones que sirven  a los hogares</t>
  </si>
  <si>
    <t>NAEG</t>
  </si>
  <si>
    <t>PRODUCCIÓN</t>
  </si>
  <si>
    <t>P4604</t>
  </si>
  <si>
    <t>Maquinaria para usos especiales, partes y piezas; excepto electrodomesticos</t>
  </si>
  <si>
    <t>DESCRIPCIÓN NPG</t>
  </si>
  <si>
    <t>Producción</t>
  </si>
  <si>
    <t>Importación</t>
  </si>
  <si>
    <t>OFERTA
TOTAL pb.</t>
  </si>
  <si>
    <t>Local</t>
  </si>
  <si>
    <t>Exportación</t>
  </si>
  <si>
    <t>UTILIZACIÓN
TOTAL pc.</t>
  </si>
  <si>
    <t>P0103</t>
  </si>
  <si>
    <t>Otros cereales, excluyendo trigo, maíz y arroz</t>
  </si>
  <si>
    <t>P0203</t>
  </si>
  <si>
    <t>Otras leguminosas (legumbres secas)</t>
  </si>
  <si>
    <t>P0403</t>
  </si>
  <si>
    <t>Ejote</t>
  </si>
  <si>
    <t>P0404</t>
  </si>
  <si>
    <t xml:space="preserve">Arvejas </t>
  </si>
  <si>
    <t>P0703</t>
  </si>
  <si>
    <t>Berries y otros frutos de árboles y arbustos</t>
  </si>
  <si>
    <t>P1102</t>
  </si>
  <si>
    <t>Propagación de plantas</t>
  </si>
  <si>
    <t>P1201</t>
  </si>
  <si>
    <t>Otros frutos oleaginosos</t>
  </si>
  <si>
    <t>P1202</t>
  </si>
  <si>
    <t>Otras plantas bebestibles, excepto café</t>
  </si>
  <si>
    <t>P1404</t>
  </si>
  <si>
    <t>Materiales de reproducción y otros productos de animales vivos</t>
  </si>
  <si>
    <t>P1603</t>
  </si>
  <si>
    <t>Otros productos de la pesca</t>
  </si>
  <si>
    <t>P2001</t>
  </si>
  <si>
    <t>Carbón mineral, lignito y turba</t>
  </si>
  <si>
    <t>P2105</t>
  </si>
  <si>
    <t>Cueros y pieles de bovino y de otros animales</t>
  </si>
  <si>
    <t>Crustáceos, moluscos y demás invertebrados acuáticos congelados, preparados o en conserva y sus productos</t>
  </si>
  <si>
    <t>P2302</t>
  </si>
  <si>
    <t>Preparaciones y conservas de frutas secas y  nueces sin cascara</t>
  </si>
  <si>
    <t>Otras frutas y nueces (PREPARADOS O CONSERVADOS DE OTRO MODO, INCLUSO CON ADICION DE AZUCAR U OTRO EDULCORANTE O ALCOHOL)</t>
  </si>
  <si>
    <t>P2402</t>
  </si>
  <si>
    <t>Margarina y preparaciones similares</t>
  </si>
  <si>
    <t>P2403</t>
  </si>
  <si>
    <t>Grasas y aceites de origen animal y demás grasas y aceites de origen vegetal</t>
  </si>
  <si>
    <t>P2502</t>
  </si>
  <si>
    <t>Leche y crema en estado sólido</t>
  </si>
  <si>
    <t>P2604</t>
  </si>
  <si>
    <t>P2802</t>
  </si>
  <si>
    <t>Melaza</t>
  </si>
  <si>
    <t>P3304</t>
  </si>
  <si>
    <t>Malta</t>
  </si>
  <si>
    <t>P3402</t>
  </si>
  <si>
    <t>Aguas minerales y otras aguas embotelladas</t>
  </si>
  <si>
    <t>P4101</t>
  </si>
  <si>
    <t>Gasolinas</t>
  </si>
  <si>
    <t>P4102</t>
  </si>
  <si>
    <t xml:space="preserve">Diesel oil  </t>
  </si>
  <si>
    <t>P4103</t>
  </si>
  <si>
    <t>Fuel oil (bunker)</t>
  </si>
  <si>
    <t>P4104</t>
  </si>
  <si>
    <t>Aceites, grasas lubricantes y otros aceites preparados</t>
  </si>
  <si>
    <t>P4105</t>
  </si>
  <si>
    <t>Gases de petróleo y otros hidrocarburos gaseosos</t>
  </si>
  <si>
    <t>P4203</t>
  </si>
  <si>
    <t>Plásticos en formas primarias y caucho sintético</t>
  </si>
  <si>
    <t>P4407</t>
  </si>
  <si>
    <t>Otros productos minerales no metálicos n.c.p.</t>
  </si>
  <si>
    <t>P4502</t>
  </si>
  <si>
    <t>Productos primarios de metales preciosos y otros metales no ferrosos</t>
  </si>
  <si>
    <t>Maquinaria para usos especiales, partes y piezas; excepto electrodomésticos</t>
  </si>
  <si>
    <t>P4605</t>
  </si>
  <si>
    <t>Electrodomésticos y sus partes</t>
  </si>
  <si>
    <t>P4606</t>
  </si>
  <si>
    <t>Maquinaria de oficina, contabilidad e informática, partes y piezas</t>
  </si>
  <si>
    <t>P4607</t>
  </si>
  <si>
    <t>Maquinaria y aparatos eléctricos, partes y piezas</t>
  </si>
  <si>
    <t>P4608</t>
  </si>
  <si>
    <t>Equipo y aparatos de radio, televisión y comunicaciones</t>
  </si>
  <si>
    <t>P4609</t>
  </si>
  <si>
    <t>Aparatos médicos, instrumentos ópticos y de precisión, relojes</t>
  </si>
  <si>
    <t>P4802</t>
  </si>
  <si>
    <t>Instrumentos musicales</t>
  </si>
  <si>
    <t>P4803</t>
  </si>
  <si>
    <t>Artículos deportivos</t>
  </si>
  <si>
    <t>P4901</t>
  </si>
  <si>
    <t>Desechos de la industria alimenticia y de tabaco</t>
  </si>
  <si>
    <t>P4904</t>
  </si>
  <si>
    <t>Otros residuos y desechos</t>
  </si>
  <si>
    <t>E</t>
  </si>
  <si>
    <t>Suministro de agua; evacuación de aguas residuales, gestión de desechos y descontaminación</t>
  </si>
  <si>
    <t>P5201</t>
  </si>
  <si>
    <t>Evacuación de aguas residuales</t>
  </si>
  <si>
    <t>Obras de ingeniería civil</t>
  </si>
  <si>
    <t>P5503</t>
  </si>
  <si>
    <t>Servicio de transporte por tuberías</t>
  </si>
  <si>
    <t>P5504</t>
  </si>
  <si>
    <t>Servicio de transporte por vía acuática</t>
  </si>
  <si>
    <t>P5506</t>
  </si>
  <si>
    <t>Servicios de almacenamiento y depósito</t>
  </si>
  <si>
    <t>P5701</t>
  </si>
  <si>
    <t>Transmisiones de radio; programación y transmisiones de televisión</t>
  </si>
  <si>
    <t>P6103</t>
  </si>
  <si>
    <t>Servicios de autorización para el derecho de uso de la propiedad intelectual y productos similares</t>
  </si>
  <si>
    <t>P5801</t>
  </si>
  <si>
    <t>Servicios de banco central</t>
  </si>
  <si>
    <t>Servicios de intermediación financieras Medidos Indirectamente (SIFMI)</t>
  </si>
  <si>
    <t>P6102</t>
  </si>
  <si>
    <t>Servicios de arrendamiento o alquiler de otros bienes</t>
  </si>
  <si>
    <t>Servicios de agencias de viajes, operadores turísticos y actividades conexas</t>
  </si>
  <si>
    <t>P6302</t>
  </si>
  <si>
    <t>Servicios públicos administrativos relacionados con la provisión de servicios educativos, de salud, servicios sociales, culturales y otros, sin contar los servicios de seguridad social</t>
  </si>
  <si>
    <t>Servicios de atención residencial para personas mayores y personas con discapacidad</t>
  </si>
  <si>
    <t>P6701</t>
  </si>
  <si>
    <t xml:space="preserve">Servicios de lavado, limpieza y teñido </t>
  </si>
  <si>
    <t>Caña de azúcar y otras plantas azucareras</t>
  </si>
  <si>
    <t>Almidones y sus productos, azúcares y jarabes de azúcar, n.c.p.</t>
  </si>
  <si>
    <t>Pinturas y barnices y productos relacionados, colores artísticos, tinta</t>
  </si>
  <si>
    <t>Productos Farmacéuticos</t>
  </si>
  <si>
    <t>ESTRUCTURA %</t>
  </si>
  <si>
    <t>Banco de Guatemala</t>
  </si>
  <si>
    <t>Departamento de Estadísticas Macroeconómicas</t>
  </si>
  <si>
    <t>Sección de Cuentas Nacionales</t>
  </si>
  <si>
    <t>Producción por actividad económica y producto</t>
  </si>
  <si>
    <t>Cifras en millones de quetzales</t>
  </si>
  <si>
    <t xml:space="preserve">Estructura de Oferta y Utilización </t>
  </si>
  <si>
    <t>Año 2022</t>
  </si>
  <si>
    <t>Año 2023</t>
  </si>
  <si>
    <t>VALOR AGREGADO</t>
  </si>
  <si>
    <t>Aguacate</t>
  </si>
  <si>
    <t>Piña</t>
  </si>
  <si>
    <t>Mango</t>
  </si>
  <si>
    <t>Banano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</si>
</sst>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#,##0.0"/>
    <numFmt numFmtId="166" formatCode="_ * #,##0.0_ ;_ * \-#,##0.0_ ;_ * &quot;-&quot;??_ ;_ @_ "/>
    <numFmt numFmtId="167" formatCode="0.0"/>
    <numFmt numFmtId="168" formatCode="0.0%"/>
    <numFmt numFmtId="169" formatCode="_ * #,##0_ ;_ * \-#,##0_ ;_ * &quot;-&quot;??_ ;_ @_ "/>
    <numFmt numFmtId="170" formatCode="_ * #,##0.000_ ;_ * \-#,##0.000_ ;_ * &quot;-&quot;??_ ;_ @_ "/>
    <numFmt numFmtId="172" formatCode="0.000%"/>
    <numFmt numFmtId="174" formatCode="0.0000%"/>
    <numFmt numFmtId="178" formatCode="0.00000%"/>
    <numFmt numFmtId="182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Unicode MS"/>
      <family val="2"/>
    </font>
    <font>
      <b/>
      <sz val="11"/>
      <color theme="0"/>
      <name val="Arial Unicode MS"/>
      <family val="2"/>
    </font>
    <font>
      <sz val="11"/>
      <color theme="1"/>
      <name val="Arial Unicode MS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1" applyNumberFormat="1" applyFont="1" applyAlignment="1">
      <alignment vertical="center"/>
    </xf>
    <xf numFmtId="0" fontId="0" fillId="0" borderId="4" xfId="0" applyBorder="1" applyAlignment="1">
      <alignment vertical="center"/>
    </xf>
    <xf numFmtId="166" fontId="0" fillId="0" borderId="4" xfId="1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166" fontId="0" fillId="0" borderId="7" xfId="1" applyNumberFormat="1" applyFont="1" applyBorder="1" applyAlignment="1">
      <alignment vertical="center"/>
    </xf>
    <xf numFmtId="0" fontId="0" fillId="3" borderId="6" xfId="0" applyFill="1" applyBorder="1" applyAlignment="1">
      <alignment vertical="center"/>
    </xf>
    <xf numFmtId="166" fontId="0" fillId="3" borderId="6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165" fontId="2" fillId="2" borderId="8" xfId="0" applyNumberFormat="1" applyFont="1" applyFill="1" applyBorder="1" applyAlignment="1">
      <alignment vertical="center"/>
    </xf>
    <xf numFmtId="0" fontId="0" fillId="0" borderId="9" xfId="0" applyBorder="1" applyAlignment="1">
      <alignment vertical="center"/>
    </xf>
    <xf numFmtId="166" fontId="0" fillId="0" borderId="9" xfId="1" applyNumberFormat="1" applyFont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166" fontId="2" fillId="2" borderId="2" xfId="1" applyNumberFormat="1" applyFont="1" applyFill="1" applyBorder="1" applyAlignment="1">
      <alignment vertical="center"/>
    </xf>
    <xf numFmtId="167" fontId="0" fillId="0" borderId="0" xfId="1" applyNumberFormat="1" applyFont="1" applyAlignment="1">
      <alignment vertical="center"/>
    </xf>
    <xf numFmtId="167" fontId="0" fillId="0" borderId="0" xfId="0" applyNumberForma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168" fontId="0" fillId="0" borderId="0" xfId="1" applyNumberFormat="1" applyFont="1" applyAlignment="1">
      <alignment vertical="center"/>
    </xf>
    <xf numFmtId="0" fontId="2" fillId="0" borderId="0" xfId="0" applyFont="1"/>
    <xf numFmtId="0" fontId="4" fillId="0" borderId="0" xfId="0" applyFont="1"/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164" fontId="3" fillId="4" borderId="20" xfId="1" applyFont="1" applyFill="1" applyBorder="1" applyAlignment="1">
      <alignment horizontal="center" vertical="center"/>
    </xf>
    <xf numFmtId="164" fontId="3" fillId="4" borderId="21" xfId="1" applyFont="1" applyFill="1" applyBorder="1" applyAlignment="1">
      <alignment horizontal="center" vertical="center"/>
    </xf>
    <xf numFmtId="164" fontId="3" fillId="4" borderId="23" xfId="1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165" fontId="2" fillId="2" borderId="20" xfId="1" applyNumberFormat="1" applyFont="1" applyFill="1" applyBorder="1"/>
    <xf numFmtId="165" fontId="2" fillId="2" borderId="21" xfId="1" applyNumberFormat="1" applyFont="1" applyFill="1" applyBorder="1"/>
    <xf numFmtId="165" fontId="2" fillId="2" borderId="23" xfId="1" applyNumberFormat="1" applyFont="1" applyFill="1" applyBorder="1"/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/>
    <xf numFmtId="165" fontId="4" fillId="0" borderId="27" xfId="1" applyNumberFormat="1" applyFont="1" applyBorder="1"/>
    <xf numFmtId="165" fontId="4" fillId="0" borderId="28" xfId="1" applyNumberFormat="1" applyFont="1" applyBorder="1"/>
    <xf numFmtId="165" fontId="4" fillId="0" borderId="29" xfId="1" applyNumberFormat="1" applyFont="1" applyBorder="1"/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/>
    <xf numFmtId="165" fontId="0" fillId="0" borderId="0" xfId="0" applyNumberFormat="1"/>
    <xf numFmtId="164" fontId="0" fillId="0" borderId="0" xfId="1" applyFont="1"/>
    <xf numFmtId="0" fontId="3" fillId="4" borderId="5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vertical="center"/>
    </xf>
    <xf numFmtId="170" fontId="4" fillId="0" borderId="0" xfId="1" applyNumberFormat="1" applyFont="1"/>
    <xf numFmtId="169" fontId="4" fillId="0" borderId="0" xfId="1" applyNumberFormat="1" applyFont="1"/>
    <xf numFmtId="166" fontId="0" fillId="0" borderId="0" xfId="1" applyNumberFormat="1" applyFont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/>
    <xf numFmtId="165" fontId="4" fillId="0" borderId="20" xfId="1" applyNumberFormat="1" applyFont="1" applyBorder="1"/>
    <xf numFmtId="165" fontId="4" fillId="0" borderId="21" xfId="1" applyNumberFormat="1" applyFont="1" applyBorder="1"/>
    <xf numFmtId="165" fontId="4" fillId="0" borderId="23" xfId="1" applyNumberFormat="1" applyFont="1" applyBorder="1"/>
    <xf numFmtId="165" fontId="2" fillId="2" borderId="33" xfId="0" applyNumberFormat="1" applyFont="1" applyFill="1" applyBorder="1" applyAlignment="1">
      <alignment vertical="center"/>
    </xf>
    <xf numFmtId="164" fontId="0" fillId="0" borderId="0" xfId="1" applyFont="1" applyAlignment="1">
      <alignment vertical="center"/>
    </xf>
    <xf numFmtId="10" fontId="0" fillId="0" borderId="0" xfId="2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72" fontId="0" fillId="0" borderId="0" xfId="2" applyNumberFormat="1" applyFont="1" applyAlignment="1">
      <alignment vertical="center"/>
    </xf>
    <xf numFmtId="174" fontId="0" fillId="0" borderId="0" xfId="2" applyNumberFormat="1" applyFont="1" applyAlignment="1">
      <alignment vertical="center"/>
    </xf>
    <xf numFmtId="172" fontId="0" fillId="0" borderId="0" xfId="0" applyNumberFormat="1" applyAlignment="1">
      <alignment vertical="center"/>
    </xf>
    <xf numFmtId="172" fontId="5" fillId="5" borderId="0" xfId="2" applyNumberFormat="1" applyFont="1" applyFill="1" applyAlignment="1">
      <alignment vertical="center"/>
    </xf>
    <xf numFmtId="168" fontId="0" fillId="0" borderId="0" xfId="2" applyNumberFormat="1" applyFont="1"/>
    <xf numFmtId="178" fontId="0" fillId="0" borderId="0" xfId="2" applyNumberFormat="1" applyFont="1" applyAlignment="1">
      <alignment vertical="center"/>
    </xf>
    <xf numFmtId="182" fontId="0" fillId="0" borderId="0" xfId="0" applyNumberForma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77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 patternType="solid">
          <fgColor rgb="FFFFFFCC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AB4D-3471-483C-BA3A-4F8E12047B17}">
  <sheetPr filterMode="1">
    <tabColor rgb="FF92D050"/>
  </sheetPr>
  <dimension ref="B1:M366"/>
  <sheetViews>
    <sheetView showGridLines="0" zoomScale="85" zoomScaleNormal="85" zoomScaleSheetLayoutView="100" workbookViewId="0">
      <pane ySplit="9" topLeftCell="A264" activePane="bottomLeft" state="frozen"/>
      <selection pane="bottomLeft" activeCell="B8" sqref="B8:I362"/>
    </sheetView>
  </sheetViews>
  <sheetFormatPr defaultColWidth="11.453125" defaultRowHeight="14.5"/>
  <cols>
    <col min="1" max="1" width="2.7265625" style="2" customWidth="1"/>
    <col min="2" max="2" width="10.7265625" style="2" customWidth="1"/>
    <col min="3" max="3" width="11.453125" style="2" customWidth="1"/>
    <col min="4" max="4" width="9.1796875" style="2" customWidth="1"/>
    <col min="5" max="5" width="79" style="2" customWidth="1"/>
    <col min="6" max="6" width="16.453125" style="2" customWidth="1"/>
    <col min="7" max="7" width="18.81640625" style="2" customWidth="1"/>
    <col min="8" max="8" width="3.7265625" style="2" customWidth="1"/>
    <col min="9" max="9" width="16.453125" style="2" customWidth="1"/>
    <col min="10" max="16384" width="11.453125" style="2"/>
  </cols>
  <sheetData>
    <row r="1" spans="2:13">
      <c r="B1" s="1" t="s">
        <v>758</v>
      </c>
    </row>
    <row r="2" spans="2:13">
      <c r="B2" s="1" t="s">
        <v>759</v>
      </c>
    </row>
    <row r="3" spans="2:13">
      <c r="B3" s="1" t="s">
        <v>760</v>
      </c>
    </row>
    <row r="4" spans="2:13">
      <c r="B4" s="1" t="s">
        <v>761</v>
      </c>
    </row>
    <row r="5" spans="2:13">
      <c r="B5" s="1" t="s">
        <v>764</v>
      </c>
      <c r="F5" s="57"/>
      <c r="I5" s="57"/>
    </row>
    <row r="6" spans="2:13">
      <c r="B6" s="30" t="s">
        <v>762</v>
      </c>
    </row>
    <row r="7" spans="2:13" ht="24" customHeight="1">
      <c r="F7" s="3"/>
      <c r="I7" s="3"/>
    </row>
    <row r="8" spans="2:13" ht="34.5" customHeight="1">
      <c r="B8" s="26" t="s">
        <v>179</v>
      </c>
      <c r="C8" s="26" t="s">
        <v>640</v>
      </c>
      <c r="D8" s="27" t="s">
        <v>204</v>
      </c>
      <c r="E8" s="28"/>
      <c r="F8" s="26" t="s">
        <v>641</v>
      </c>
      <c r="G8" s="56" t="s">
        <v>757</v>
      </c>
      <c r="I8" s="56" t="s">
        <v>766</v>
      </c>
    </row>
    <row r="9" spans="2:13">
      <c r="B9" s="10" t="s">
        <v>141</v>
      </c>
      <c r="C9" s="11" t="s">
        <v>143</v>
      </c>
      <c r="D9" s="11"/>
      <c r="E9" s="11"/>
      <c r="F9" s="12">
        <v>130394.42220950639</v>
      </c>
      <c r="G9" s="23"/>
      <c r="I9" s="67">
        <v>67303.208900464291</v>
      </c>
      <c r="J9" s="69">
        <f>I9/$I$366</f>
        <v>0.12465740057951304</v>
      </c>
      <c r="L9" s="68"/>
      <c r="M9" s="68"/>
    </row>
    <row r="10" spans="2:13" hidden="1">
      <c r="B10" s="8" t="s">
        <v>141</v>
      </c>
      <c r="C10" s="8" t="s">
        <v>364</v>
      </c>
      <c r="D10" s="15" t="s">
        <v>497</v>
      </c>
      <c r="E10" s="19"/>
      <c r="F10" s="9">
        <v>9135.8626477790804</v>
      </c>
      <c r="G10" s="9">
        <v>100</v>
      </c>
      <c r="H10" s="3"/>
      <c r="I10" s="9">
        <v>6467.8562785176073</v>
      </c>
      <c r="L10" s="68"/>
      <c r="M10" s="68"/>
    </row>
    <row r="11" spans="2:13" hidden="1">
      <c r="B11" s="6"/>
      <c r="C11" s="6" t="s">
        <v>364</v>
      </c>
      <c r="D11" s="16" t="s">
        <v>180</v>
      </c>
      <c r="E11" s="20" t="s">
        <v>206</v>
      </c>
      <c r="F11" s="7">
        <v>8898.5354678832173</v>
      </c>
      <c r="G11" s="7">
        <v>97.402246629073858</v>
      </c>
      <c r="H11" s="3"/>
      <c r="I11" s="7"/>
      <c r="L11" s="68"/>
      <c r="M11" s="68"/>
    </row>
    <row r="12" spans="2:13" hidden="1">
      <c r="B12" s="8" t="s">
        <v>141</v>
      </c>
      <c r="C12" s="8" t="s">
        <v>365</v>
      </c>
      <c r="D12" s="15" t="s">
        <v>498</v>
      </c>
      <c r="E12" s="19"/>
      <c r="F12" s="9">
        <v>3739.1373780787908</v>
      </c>
      <c r="G12" s="9">
        <v>100</v>
      </c>
      <c r="H12" s="3"/>
      <c r="I12" s="9">
        <v>2249.7020722993684</v>
      </c>
      <c r="L12" s="68"/>
      <c r="M12" s="68"/>
    </row>
    <row r="13" spans="2:13" hidden="1">
      <c r="B13" s="4"/>
      <c r="C13" s="4" t="s">
        <v>365</v>
      </c>
      <c r="D13" s="17" t="s">
        <v>181</v>
      </c>
      <c r="E13" s="21" t="s">
        <v>208</v>
      </c>
      <c r="F13" s="5">
        <v>2907.3670630789325</v>
      </c>
      <c r="G13" s="5">
        <v>77.755021255003186</v>
      </c>
      <c r="H13" s="3"/>
      <c r="I13" s="5"/>
      <c r="L13" s="68"/>
      <c r="M13" s="68"/>
    </row>
    <row r="14" spans="2:13" hidden="1">
      <c r="B14" s="6"/>
      <c r="C14" s="6" t="s">
        <v>365</v>
      </c>
      <c r="D14" s="16" t="s">
        <v>1</v>
      </c>
      <c r="E14" s="20" t="s">
        <v>207</v>
      </c>
      <c r="F14" s="7">
        <v>815.50364676579852</v>
      </c>
      <c r="G14" s="7">
        <v>21.809940751222495</v>
      </c>
      <c r="H14" s="3"/>
      <c r="I14" s="7"/>
      <c r="L14" s="68"/>
      <c r="M14" s="68"/>
    </row>
    <row r="15" spans="2:13" hidden="1">
      <c r="B15" s="8" t="s">
        <v>141</v>
      </c>
      <c r="C15" s="8" t="s">
        <v>366</v>
      </c>
      <c r="D15" s="15" t="s">
        <v>499</v>
      </c>
      <c r="E15" s="19"/>
      <c r="F15" s="9">
        <v>127.42045966687223</v>
      </c>
      <c r="G15" s="9">
        <v>100</v>
      </c>
      <c r="H15" s="3"/>
      <c r="I15" s="9">
        <v>44.178159856096315</v>
      </c>
      <c r="L15" s="68"/>
      <c r="M15" s="68"/>
    </row>
    <row r="16" spans="2:13" hidden="1">
      <c r="B16" s="6"/>
      <c r="C16" s="6" t="s">
        <v>366</v>
      </c>
      <c r="D16" s="16" t="s">
        <v>2</v>
      </c>
      <c r="E16" s="20" t="s">
        <v>209</v>
      </c>
      <c r="F16" s="7">
        <v>125.19715577001652</v>
      </c>
      <c r="G16" s="7">
        <v>98.255143716583419</v>
      </c>
      <c r="H16" s="3"/>
      <c r="I16" s="7"/>
      <c r="L16" s="68"/>
      <c r="M16" s="68"/>
    </row>
    <row r="17" spans="2:13" hidden="1">
      <c r="B17" s="8" t="s">
        <v>141</v>
      </c>
      <c r="C17" s="8" t="s">
        <v>367</v>
      </c>
      <c r="D17" s="15" t="s">
        <v>500</v>
      </c>
      <c r="E17" s="19"/>
      <c r="F17" s="9">
        <v>16401.630319539188</v>
      </c>
      <c r="G17" s="9">
        <v>100</v>
      </c>
      <c r="H17" s="24"/>
      <c r="I17" s="9">
        <v>11541.410115908871</v>
      </c>
      <c r="L17" s="68"/>
      <c r="M17" s="68"/>
    </row>
    <row r="18" spans="2:13" hidden="1">
      <c r="B18" s="4"/>
      <c r="C18" s="4" t="s">
        <v>367</v>
      </c>
      <c r="D18" s="17" t="s">
        <v>3</v>
      </c>
      <c r="E18" s="21" t="s">
        <v>210</v>
      </c>
      <c r="F18" s="5">
        <v>5875.6900840292565</v>
      </c>
      <c r="G18" s="5">
        <v>35.823817325217803</v>
      </c>
      <c r="H18" s="3"/>
      <c r="I18" s="5"/>
      <c r="L18" s="68"/>
      <c r="M18" s="68"/>
    </row>
    <row r="19" spans="2:13" hidden="1">
      <c r="B19" s="4"/>
      <c r="C19" s="4" t="s">
        <v>367</v>
      </c>
      <c r="D19" s="17" t="s">
        <v>184</v>
      </c>
      <c r="E19" s="21" t="s">
        <v>213</v>
      </c>
      <c r="F19" s="5">
        <v>4004.4995267670979</v>
      </c>
      <c r="G19" s="5">
        <v>24.415252927610222</v>
      </c>
      <c r="H19" s="3"/>
      <c r="I19" s="5"/>
      <c r="L19" s="68"/>
      <c r="M19" s="68"/>
    </row>
    <row r="20" spans="2:13" hidden="1">
      <c r="B20" s="4"/>
      <c r="C20" s="4" t="s">
        <v>367</v>
      </c>
      <c r="D20" s="17" t="s">
        <v>183</v>
      </c>
      <c r="E20" s="21" t="s">
        <v>212</v>
      </c>
      <c r="F20" s="5">
        <v>3167.844452770978</v>
      </c>
      <c r="G20" s="5">
        <v>19.314204692183186</v>
      </c>
      <c r="H20" s="3"/>
      <c r="I20" s="5"/>
      <c r="L20" s="68"/>
      <c r="M20" s="68"/>
    </row>
    <row r="21" spans="2:13" hidden="1">
      <c r="B21" s="6"/>
      <c r="C21" s="6" t="s">
        <v>367</v>
      </c>
      <c r="D21" s="16" t="s">
        <v>182</v>
      </c>
      <c r="E21" s="20" t="s">
        <v>211</v>
      </c>
      <c r="F21" s="7">
        <v>1879.8833434477526</v>
      </c>
      <c r="G21" s="7">
        <v>11.4615639227538</v>
      </c>
      <c r="H21" s="3"/>
      <c r="I21" s="7"/>
      <c r="L21" s="68"/>
      <c r="M21" s="68"/>
    </row>
    <row r="22" spans="2:13" hidden="1">
      <c r="B22" s="8" t="s">
        <v>141</v>
      </c>
      <c r="C22" s="8" t="s">
        <v>369</v>
      </c>
      <c r="D22" s="15" t="s">
        <v>501</v>
      </c>
      <c r="E22" s="19"/>
      <c r="F22" s="9">
        <v>6823.1418795081463</v>
      </c>
      <c r="G22" s="9">
        <v>100</v>
      </c>
      <c r="H22" s="24"/>
      <c r="I22" s="9">
        <v>1432.0518064015214</v>
      </c>
      <c r="L22" s="68"/>
      <c r="M22" s="68"/>
    </row>
    <row r="23" spans="2:13" hidden="1">
      <c r="B23" s="6"/>
      <c r="C23" s="6" t="s">
        <v>369</v>
      </c>
      <c r="D23" s="16" t="s">
        <v>4</v>
      </c>
      <c r="E23" s="20" t="s">
        <v>214</v>
      </c>
      <c r="F23" s="7">
        <v>6496.2298030430957</v>
      </c>
      <c r="G23" s="7">
        <v>95.208775044721534</v>
      </c>
      <c r="H23" s="3"/>
      <c r="I23" s="7"/>
      <c r="L23" s="68"/>
      <c r="M23" s="68"/>
    </row>
    <row r="24" spans="2:13" hidden="1">
      <c r="B24" s="8" t="s">
        <v>141</v>
      </c>
      <c r="C24" s="8" t="s">
        <v>370</v>
      </c>
      <c r="D24" s="15" t="s">
        <v>502</v>
      </c>
      <c r="E24" s="19"/>
      <c r="F24" s="9">
        <v>1579.5932335332971</v>
      </c>
      <c r="G24" s="9">
        <v>100</v>
      </c>
      <c r="H24" s="24"/>
      <c r="I24" s="9">
        <v>805.27464339281005</v>
      </c>
      <c r="L24" s="68"/>
      <c r="M24" s="68"/>
    </row>
    <row r="25" spans="2:13" hidden="1">
      <c r="B25" s="4"/>
      <c r="C25" s="4" t="s">
        <v>370</v>
      </c>
      <c r="D25" s="17" t="s">
        <v>6</v>
      </c>
      <c r="E25" s="21" t="s">
        <v>216</v>
      </c>
      <c r="F25" s="5">
        <v>1241.2867756064884</v>
      </c>
      <c r="G25" s="5">
        <v>78.582685039105201</v>
      </c>
      <c r="H25" s="29"/>
      <c r="I25" s="5"/>
      <c r="L25" s="68"/>
      <c r="M25" s="68"/>
    </row>
    <row r="26" spans="2:13" hidden="1">
      <c r="B26" s="6"/>
      <c r="C26" s="6" t="s">
        <v>370</v>
      </c>
      <c r="D26" s="16" t="s">
        <v>5</v>
      </c>
      <c r="E26" s="20" t="s">
        <v>215</v>
      </c>
      <c r="F26" s="7">
        <v>329.38580066965028</v>
      </c>
      <c r="G26" s="7">
        <v>20.852571008604983</v>
      </c>
      <c r="H26" s="3"/>
      <c r="I26" s="7"/>
      <c r="L26" s="68"/>
      <c r="M26" s="68"/>
    </row>
    <row r="27" spans="2:13" hidden="1">
      <c r="B27" s="8" t="s">
        <v>141</v>
      </c>
      <c r="C27" s="8" t="s">
        <v>371</v>
      </c>
      <c r="D27" s="15" t="s">
        <v>503</v>
      </c>
      <c r="E27" s="19"/>
      <c r="F27" s="9">
        <v>10623.104644588244</v>
      </c>
      <c r="G27" s="9">
        <v>100</v>
      </c>
      <c r="H27" s="24"/>
      <c r="I27" s="9">
        <v>5257.8545487172696</v>
      </c>
      <c r="L27" s="68"/>
      <c r="M27" s="68"/>
    </row>
    <row r="28" spans="2:13" hidden="1">
      <c r="B28" s="6"/>
      <c r="C28" s="6" t="s">
        <v>371</v>
      </c>
      <c r="D28" s="16" t="s">
        <v>8</v>
      </c>
      <c r="E28" s="20" t="s">
        <v>217</v>
      </c>
      <c r="F28" s="7">
        <v>10035.462694970767</v>
      </c>
      <c r="G28" s="7">
        <v>94.468265452728645</v>
      </c>
      <c r="H28" s="3"/>
      <c r="I28" s="7"/>
      <c r="L28" s="68"/>
      <c r="M28" s="68"/>
    </row>
    <row r="29" spans="2:13" hidden="1">
      <c r="B29" s="8" t="s">
        <v>141</v>
      </c>
      <c r="C29" s="8" t="s">
        <v>372</v>
      </c>
      <c r="D29" s="15" t="s">
        <v>504</v>
      </c>
      <c r="E29" s="19"/>
      <c r="F29" s="9">
        <v>3382.009251349275</v>
      </c>
      <c r="G29" s="9">
        <v>100</v>
      </c>
      <c r="H29" s="24"/>
      <c r="I29" s="9">
        <v>2758.8514256148555</v>
      </c>
      <c r="L29" s="68"/>
      <c r="M29" s="68"/>
    </row>
    <row r="30" spans="2:13" hidden="1">
      <c r="B30" s="6"/>
      <c r="C30" s="6" t="s">
        <v>372</v>
      </c>
      <c r="D30" s="16" t="s">
        <v>9</v>
      </c>
      <c r="E30" s="20" t="s">
        <v>218</v>
      </c>
      <c r="F30" s="7">
        <v>3376.6739056608931</v>
      </c>
      <c r="G30" s="7">
        <v>99.842243314791247</v>
      </c>
      <c r="H30" s="3"/>
      <c r="I30" s="7"/>
      <c r="L30" s="68"/>
      <c r="M30" s="68"/>
    </row>
    <row r="31" spans="2:13" hidden="1">
      <c r="B31" s="8" t="s">
        <v>141</v>
      </c>
      <c r="C31" s="8" t="s">
        <v>373</v>
      </c>
      <c r="D31" s="15" t="s">
        <v>505</v>
      </c>
      <c r="E31" s="19"/>
      <c r="F31" s="9">
        <v>4026.5626741129245</v>
      </c>
      <c r="G31" s="9">
        <v>100</v>
      </c>
      <c r="H31" s="24"/>
      <c r="I31" s="9">
        <v>3012.7354738301469</v>
      </c>
      <c r="L31" s="68"/>
      <c r="M31" s="68"/>
    </row>
    <row r="32" spans="2:13" hidden="1">
      <c r="B32" s="6"/>
      <c r="C32" s="6" t="s">
        <v>373</v>
      </c>
      <c r="D32" s="16" t="s">
        <v>7</v>
      </c>
      <c r="E32" s="20" t="s">
        <v>219</v>
      </c>
      <c r="F32" s="7">
        <v>3110.486050079975</v>
      </c>
      <c r="G32" s="7">
        <v>77.249165152141416</v>
      </c>
      <c r="H32" s="3"/>
      <c r="I32" s="7"/>
      <c r="L32" s="68"/>
      <c r="M32" s="68"/>
    </row>
    <row r="33" spans="2:13" hidden="1">
      <c r="B33" s="8" t="s">
        <v>141</v>
      </c>
      <c r="C33" s="8" t="s">
        <v>374</v>
      </c>
      <c r="D33" s="15" t="s">
        <v>506</v>
      </c>
      <c r="E33" s="19"/>
      <c r="F33" s="9">
        <v>5181.9759311363159</v>
      </c>
      <c r="G33" s="9">
        <v>100</v>
      </c>
      <c r="H33" s="24"/>
      <c r="I33" s="9">
        <v>3043.6071830145897</v>
      </c>
      <c r="L33" s="68"/>
      <c r="M33" s="68"/>
    </row>
    <row r="34" spans="2:13" hidden="1">
      <c r="B34" s="6"/>
      <c r="C34" s="6" t="s">
        <v>374</v>
      </c>
      <c r="D34" s="16" t="s">
        <v>10</v>
      </c>
      <c r="E34" s="20" t="s">
        <v>220</v>
      </c>
      <c r="F34" s="7">
        <v>5098.7611414874627</v>
      </c>
      <c r="G34" s="7">
        <v>98.394149437305373</v>
      </c>
      <c r="H34" s="3"/>
      <c r="I34" s="7"/>
      <c r="L34" s="68"/>
      <c r="M34" s="68"/>
    </row>
    <row r="35" spans="2:13" hidden="1">
      <c r="B35" s="8" t="s">
        <v>141</v>
      </c>
      <c r="C35" s="8" t="s">
        <v>375</v>
      </c>
      <c r="D35" s="15" t="s">
        <v>507</v>
      </c>
      <c r="E35" s="19"/>
      <c r="F35" s="9">
        <v>15973.992377512313</v>
      </c>
      <c r="G35" s="9">
        <v>100</v>
      </c>
      <c r="H35" s="24"/>
      <c r="I35" s="9">
        <v>6376.1683120996295</v>
      </c>
      <c r="L35" s="68"/>
      <c r="M35" s="68"/>
    </row>
    <row r="36" spans="2:13" hidden="1">
      <c r="B36" s="6"/>
      <c r="C36" s="6" t="s">
        <v>375</v>
      </c>
      <c r="D36" s="16" t="s">
        <v>11</v>
      </c>
      <c r="E36" s="20" t="s">
        <v>221</v>
      </c>
      <c r="F36" s="7">
        <v>15934.326702285633</v>
      </c>
      <c r="G36" s="7">
        <v>99.751685901124375</v>
      </c>
      <c r="H36" s="3"/>
      <c r="I36" s="7"/>
      <c r="L36" s="68"/>
      <c r="M36" s="68"/>
    </row>
    <row r="37" spans="2:13" hidden="1">
      <c r="B37" s="8" t="s">
        <v>141</v>
      </c>
      <c r="C37" s="8" t="s">
        <v>376</v>
      </c>
      <c r="D37" s="15" t="s">
        <v>508</v>
      </c>
      <c r="E37" s="19"/>
      <c r="F37" s="9">
        <v>4032.1710341027238</v>
      </c>
      <c r="G37" s="9">
        <v>100</v>
      </c>
      <c r="H37" s="24"/>
      <c r="I37" s="9">
        <v>1577.2620922819087</v>
      </c>
      <c r="L37" s="68"/>
      <c r="M37" s="68"/>
    </row>
    <row r="38" spans="2:13" hidden="1">
      <c r="B38" s="6"/>
      <c r="C38" s="6" t="s">
        <v>376</v>
      </c>
      <c r="D38" s="16" t="s">
        <v>12</v>
      </c>
      <c r="E38" s="20" t="s">
        <v>222</v>
      </c>
      <c r="F38" s="7">
        <v>4009.6045261187528</v>
      </c>
      <c r="G38" s="7">
        <v>99.440338522520221</v>
      </c>
      <c r="H38" s="3"/>
      <c r="I38" s="7"/>
      <c r="L38" s="68"/>
      <c r="M38" s="68"/>
    </row>
    <row r="39" spans="2:13" hidden="1">
      <c r="B39" s="8" t="s">
        <v>141</v>
      </c>
      <c r="C39" s="8" t="s">
        <v>377</v>
      </c>
      <c r="D39" s="15" t="s">
        <v>509</v>
      </c>
      <c r="E39" s="19"/>
      <c r="F39" s="9">
        <v>2602.5817106150062</v>
      </c>
      <c r="G39" s="9">
        <v>100</v>
      </c>
      <c r="H39" s="24"/>
      <c r="I39" s="9">
        <v>567.10140027885996</v>
      </c>
      <c r="L39" s="68"/>
      <c r="M39" s="68"/>
    </row>
    <row r="40" spans="2:13" hidden="1">
      <c r="B40" s="6"/>
      <c r="C40" s="6" t="s">
        <v>377</v>
      </c>
      <c r="D40" s="16" t="s">
        <v>13</v>
      </c>
      <c r="E40" s="20" t="s">
        <v>223</v>
      </c>
      <c r="F40" s="7">
        <v>2586.5571341083332</v>
      </c>
      <c r="G40" s="7">
        <v>99.384281521640062</v>
      </c>
      <c r="H40" s="3"/>
      <c r="I40" s="7"/>
      <c r="L40" s="68"/>
      <c r="M40" s="68"/>
    </row>
    <row r="41" spans="2:13" hidden="1">
      <c r="B41" s="8" t="s">
        <v>141</v>
      </c>
      <c r="C41" s="8" t="s">
        <v>368</v>
      </c>
      <c r="D41" s="15" t="s">
        <v>510</v>
      </c>
      <c r="E41" s="19"/>
      <c r="F41" s="9">
        <v>1089.7800576077859</v>
      </c>
      <c r="G41" s="9">
        <v>100</v>
      </c>
      <c r="H41" s="24"/>
      <c r="I41" s="9">
        <v>707.91152279630057</v>
      </c>
      <c r="L41" s="68"/>
      <c r="M41" s="68"/>
    </row>
    <row r="42" spans="2:13" hidden="1">
      <c r="B42" s="4"/>
      <c r="C42" s="4" t="s">
        <v>368</v>
      </c>
      <c r="D42" s="17" t="s">
        <v>3</v>
      </c>
      <c r="E42" s="21" t="s">
        <v>210</v>
      </c>
      <c r="F42" s="5">
        <v>433.63421169133557</v>
      </c>
      <c r="G42" s="5">
        <v>39.790984305881047</v>
      </c>
      <c r="H42" s="3"/>
      <c r="I42" s="5"/>
      <c r="L42" s="68"/>
      <c r="M42" s="68"/>
    </row>
    <row r="43" spans="2:13" hidden="1">
      <c r="B43" s="4"/>
      <c r="C43" s="4" t="s">
        <v>368</v>
      </c>
      <c r="D43" s="17" t="s">
        <v>185</v>
      </c>
      <c r="E43" s="21" t="s">
        <v>224</v>
      </c>
      <c r="F43" s="5">
        <v>395.04937429564336</v>
      </c>
      <c r="G43" s="5">
        <v>36.250376535869997</v>
      </c>
      <c r="H43" s="3"/>
      <c r="I43" s="5"/>
      <c r="L43" s="68"/>
      <c r="M43" s="68"/>
    </row>
    <row r="44" spans="2:13" hidden="1">
      <c r="B44" s="6"/>
      <c r="C44" s="6" t="s">
        <v>368</v>
      </c>
      <c r="D44" s="16" t="s">
        <v>14</v>
      </c>
      <c r="E44" s="20" t="s">
        <v>234</v>
      </c>
      <c r="F44" s="7">
        <v>119.33786291562241</v>
      </c>
      <c r="G44" s="7">
        <v>10.950637432069101</v>
      </c>
      <c r="H44" s="3"/>
      <c r="I44" s="7"/>
      <c r="L44" s="68"/>
      <c r="M44" s="68"/>
    </row>
    <row r="45" spans="2:13" hidden="1">
      <c r="B45" s="8" t="s">
        <v>141</v>
      </c>
      <c r="C45" s="8" t="s">
        <v>379</v>
      </c>
      <c r="D45" s="15" t="s">
        <v>511</v>
      </c>
      <c r="E45" s="19"/>
      <c r="F45" s="9">
        <v>8722.4769321167532</v>
      </c>
      <c r="G45" s="9">
        <v>100</v>
      </c>
      <c r="H45" s="24"/>
      <c r="I45" s="9">
        <v>4629.0183114092433</v>
      </c>
      <c r="L45" s="68"/>
      <c r="M45" s="68"/>
    </row>
    <row r="46" spans="2:13" hidden="1">
      <c r="B46" s="4"/>
      <c r="C46" s="4" t="s">
        <v>379</v>
      </c>
      <c r="D46" s="17" t="s">
        <v>16</v>
      </c>
      <c r="E46" s="21" t="s">
        <v>225</v>
      </c>
      <c r="F46" s="5">
        <v>6193.7226779359135</v>
      </c>
      <c r="G46" s="5">
        <v>71.008759623429967</v>
      </c>
      <c r="H46" s="3"/>
      <c r="I46" s="5"/>
      <c r="L46" s="68"/>
      <c r="M46" s="68"/>
    </row>
    <row r="47" spans="2:13" hidden="1">
      <c r="B47" s="6"/>
      <c r="C47" s="6" t="s">
        <v>379</v>
      </c>
      <c r="D47" s="16" t="s">
        <v>186</v>
      </c>
      <c r="E47" s="20" t="s">
        <v>229</v>
      </c>
      <c r="F47" s="7">
        <v>2521.8995930902865</v>
      </c>
      <c r="G47" s="7">
        <v>28.912654200373755</v>
      </c>
      <c r="H47" s="3"/>
      <c r="I47" s="7"/>
      <c r="L47" s="68"/>
      <c r="M47" s="68"/>
    </row>
    <row r="48" spans="2:13" hidden="1">
      <c r="B48" s="8" t="s">
        <v>141</v>
      </c>
      <c r="C48" s="8" t="s">
        <v>380</v>
      </c>
      <c r="D48" s="15" t="s">
        <v>512</v>
      </c>
      <c r="E48" s="19"/>
      <c r="F48" s="9">
        <v>2180.5785363753744</v>
      </c>
      <c r="G48" s="9">
        <v>100</v>
      </c>
      <c r="H48" s="24"/>
      <c r="I48" s="9">
        <v>406.1736571736742</v>
      </c>
      <c r="L48" s="68"/>
      <c r="M48" s="68"/>
    </row>
    <row r="49" spans="2:13" hidden="1">
      <c r="B49" s="6"/>
      <c r="C49" s="6" t="s">
        <v>380</v>
      </c>
      <c r="D49" s="16" t="s">
        <v>18</v>
      </c>
      <c r="E49" s="20" t="s">
        <v>226</v>
      </c>
      <c r="F49" s="7">
        <v>1914.0245052350206</v>
      </c>
      <c r="G49" s="7">
        <v>87.775994916311134</v>
      </c>
      <c r="H49" s="3"/>
      <c r="I49" s="7"/>
      <c r="L49" s="68"/>
      <c r="M49" s="68"/>
    </row>
    <row r="50" spans="2:13" hidden="1">
      <c r="B50" s="8" t="s">
        <v>141</v>
      </c>
      <c r="C50" s="8" t="s">
        <v>381</v>
      </c>
      <c r="D50" s="15" t="s">
        <v>513</v>
      </c>
      <c r="E50" s="19"/>
      <c r="F50" s="9">
        <v>19093.244305628032</v>
      </c>
      <c r="G50" s="9">
        <v>100</v>
      </c>
      <c r="H50" s="24"/>
      <c r="I50" s="9">
        <v>4701.0395596144936</v>
      </c>
      <c r="L50" s="68"/>
      <c r="M50" s="68"/>
    </row>
    <row r="51" spans="2:13" hidden="1">
      <c r="B51" s="4"/>
      <c r="C51" s="4" t="s">
        <v>381</v>
      </c>
      <c r="D51" s="17" t="s">
        <v>19</v>
      </c>
      <c r="E51" s="21" t="s">
        <v>227</v>
      </c>
      <c r="F51" s="5">
        <v>10357.649474547319</v>
      </c>
      <c r="G51" s="5">
        <v>54.247718767701727</v>
      </c>
      <c r="H51" s="3"/>
      <c r="I51" s="5"/>
      <c r="L51" s="68"/>
      <c r="M51" s="68"/>
    </row>
    <row r="52" spans="2:13" hidden="1">
      <c r="B52" s="6"/>
      <c r="C52" s="6" t="s">
        <v>381</v>
      </c>
      <c r="D52" s="16" t="s">
        <v>187</v>
      </c>
      <c r="E52" s="20" t="s">
        <v>230</v>
      </c>
      <c r="F52" s="7">
        <v>4276.3112648837468</v>
      </c>
      <c r="G52" s="7">
        <v>22.396986056598237</v>
      </c>
      <c r="H52" s="3"/>
      <c r="I52" s="7"/>
      <c r="L52" s="68"/>
      <c r="M52" s="68"/>
    </row>
    <row r="53" spans="2:13" hidden="1">
      <c r="B53" s="8" t="s">
        <v>141</v>
      </c>
      <c r="C53" s="8" t="s">
        <v>382</v>
      </c>
      <c r="D53" s="15" t="s">
        <v>514</v>
      </c>
      <c r="E53" s="19"/>
      <c r="F53" s="9">
        <v>423.58088022660917</v>
      </c>
      <c r="G53" s="9">
        <v>100</v>
      </c>
      <c r="H53" s="24"/>
      <c r="I53" s="9">
        <v>298.80849439914152</v>
      </c>
      <c r="L53" s="68"/>
      <c r="M53" s="68"/>
    </row>
    <row r="54" spans="2:13" hidden="1">
      <c r="B54" s="4"/>
      <c r="C54" s="4" t="s">
        <v>382</v>
      </c>
      <c r="D54" s="17" t="s">
        <v>17</v>
      </c>
      <c r="E54" s="21" t="s">
        <v>228</v>
      </c>
      <c r="F54" s="5">
        <v>283.67977397022526</v>
      </c>
      <c r="G54" s="5">
        <v>66.971808033087086</v>
      </c>
      <c r="H54" s="3"/>
      <c r="I54" s="5"/>
      <c r="L54" s="68"/>
      <c r="M54" s="68"/>
    </row>
    <row r="55" spans="2:13" hidden="1">
      <c r="B55" s="6"/>
      <c r="C55" s="6" t="s">
        <v>382</v>
      </c>
      <c r="D55" s="16" t="s">
        <v>188</v>
      </c>
      <c r="E55" s="20" t="s">
        <v>231</v>
      </c>
      <c r="F55" s="7">
        <v>76.338933207977689</v>
      </c>
      <c r="G55" s="7">
        <v>18.022280223587416</v>
      </c>
      <c r="H55" s="3"/>
      <c r="I55" s="7"/>
      <c r="L55" s="68"/>
      <c r="M55" s="68"/>
    </row>
    <row r="56" spans="2:13" hidden="1">
      <c r="B56" s="8" t="s">
        <v>141</v>
      </c>
      <c r="C56" s="8" t="s">
        <v>378</v>
      </c>
      <c r="D56" s="15" t="s">
        <v>515</v>
      </c>
      <c r="E56" s="19"/>
      <c r="F56" s="9">
        <v>5254.8102853076034</v>
      </c>
      <c r="G56" s="9">
        <v>100</v>
      </c>
      <c r="H56" s="24"/>
      <c r="I56" s="9">
        <v>4017.958859736359</v>
      </c>
      <c r="L56" s="68"/>
      <c r="M56" s="68"/>
    </row>
    <row r="57" spans="2:13" hidden="1">
      <c r="B57" s="6"/>
      <c r="C57" s="6" t="s">
        <v>378</v>
      </c>
      <c r="D57" s="16" t="s">
        <v>20</v>
      </c>
      <c r="E57" s="20" t="s">
        <v>237</v>
      </c>
      <c r="F57" s="7">
        <v>4266.4925596149387</v>
      </c>
      <c r="G57" s="7">
        <v>81.192133073652712</v>
      </c>
      <c r="H57" s="3"/>
      <c r="I57" s="7"/>
      <c r="L57" s="68"/>
      <c r="M57" s="68"/>
    </row>
    <row r="58" spans="2:13" hidden="1">
      <c r="B58" s="8" t="s">
        <v>141</v>
      </c>
      <c r="C58" s="8" t="s">
        <v>383</v>
      </c>
      <c r="D58" s="15" t="s">
        <v>522</v>
      </c>
      <c r="E58" s="19"/>
      <c r="F58" s="9">
        <v>7436.6406394104042</v>
      </c>
      <c r="G58" s="9">
        <v>100</v>
      </c>
      <c r="H58" s="24"/>
      <c r="I58" s="9">
        <v>6033.1062119791768</v>
      </c>
      <c r="L58" s="68"/>
      <c r="M58" s="68"/>
    </row>
    <row r="59" spans="2:13" hidden="1">
      <c r="B59" s="4"/>
      <c r="C59" s="4" t="s">
        <v>383</v>
      </c>
      <c r="D59" s="17" t="s">
        <v>22</v>
      </c>
      <c r="E59" s="21" t="s">
        <v>233</v>
      </c>
      <c r="F59" s="5">
        <v>5547.8318824116268</v>
      </c>
      <c r="G59" s="5">
        <v>74.60131733421332</v>
      </c>
      <c r="H59" s="3"/>
      <c r="I59" s="5"/>
      <c r="L59" s="68"/>
      <c r="M59" s="68"/>
    </row>
    <row r="60" spans="2:13" hidden="1">
      <c r="B60" s="6"/>
      <c r="C60" s="6" t="s">
        <v>383</v>
      </c>
      <c r="D60" s="16" t="s">
        <v>21</v>
      </c>
      <c r="E60" s="20" t="s">
        <v>232</v>
      </c>
      <c r="F60" s="7">
        <v>1689.5814754038324</v>
      </c>
      <c r="G60" s="7">
        <v>22.719686984065252</v>
      </c>
      <c r="H60" s="3"/>
      <c r="I60" s="7"/>
      <c r="L60" s="68"/>
      <c r="M60" s="68"/>
    </row>
    <row r="61" spans="2:13" hidden="1">
      <c r="B61" s="8" t="s">
        <v>141</v>
      </c>
      <c r="C61" s="8" t="s">
        <v>384</v>
      </c>
      <c r="D61" s="15" t="s">
        <v>523</v>
      </c>
      <c r="E61" s="19"/>
      <c r="F61" s="9">
        <v>1195.4938087252826</v>
      </c>
      <c r="G61" s="9">
        <v>100</v>
      </c>
      <c r="H61" s="24"/>
      <c r="I61" s="9">
        <v>796.55226452799286</v>
      </c>
      <c r="L61" s="68"/>
      <c r="M61" s="68"/>
    </row>
    <row r="62" spans="2:13" hidden="1">
      <c r="B62" s="6"/>
      <c r="C62" s="6" t="s">
        <v>384</v>
      </c>
      <c r="D62" s="16" t="s">
        <v>23</v>
      </c>
      <c r="E62" s="20" t="s">
        <v>235</v>
      </c>
      <c r="F62" s="7">
        <v>1122.4779554715337</v>
      </c>
      <c r="G62" s="7">
        <v>93.892410590431794</v>
      </c>
      <c r="H62" s="3"/>
      <c r="I62" s="7"/>
      <c r="L62" s="68"/>
      <c r="M62" s="68"/>
    </row>
    <row r="63" spans="2:13" hidden="1">
      <c r="B63" s="8" t="s">
        <v>141</v>
      </c>
      <c r="C63" s="8" t="s">
        <v>385</v>
      </c>
      <c r="D63" s="15" t="s">
        <v>524</v>
      </c>
      <c r="E63" s="19"/>
      <c r="F63" s="9">
        <v>1368.6332225863673</v>
      </c>
      <c r="G63" s="9">
        <v>100</v>
      </c>
      <c r="H63" s="24"/>
      <c r="I63" s="9">
        <v>578.58650661436309</v>
      </c>
      <c r="L63" s="68"/>
      <c r="M63" s="68"/>
    </row>
    <row r="64" spans="2:13" hidden="1">
      <c r="B64" s="4"/>
      <c r="C64" s="4" t="s">
        <v>385</v>
      </c>
      <c r="D64" s="17" t="s">
        <v>189</v>
      </c>
      <c r="E64" s="21" t="s">
        <v>236</v>
      </c>
      <c r="F64" s="5">
        <v>936.75305544520052</v>
      </c>
      <c r="G64" s="5">
        <v>68.444418854233007</v>
      </c>
      <c r="H64" s="3"/>
      <c r="I64" s="5"/>
      <c r="L64" s="68"/>
      <c r="M64" s="68"/>
    </row>
    <row r="65" spans="2:13" hidden="1">
      <c r="B65" s="6"/>
      <c r="C65" s="6" t="s">
        <v>385</v>
      </c>
      <c r="D65" s="16" t="s">
        <v>23</v>
      </c>
      <c r="E65" s="20" t="s">
        <v>235</v>
      </c>
      <c r="F65" s="7">
        <v>429.16519226778132</v>
      </c>
      <c r="G65" s="7">
        <v>31.357209892710969</v>
      </c>
      <c r="H65" s="3"/>
      <c r="I65" s="7"/>
      <c r="L65" s="68"/>
      <c r="M65" s="68"/>
    </row>
    <row r="66" spans="2:13">
      <c r="B66" s="10" t="s">
        <v>144</v>
      </c>
      <c r="C66" s="11" t="s">
        <v>145</v>
      </c>
      <c r="D66" s="11"/>
      <c r="E66" s="11"/>
      <c r="F66" s="12">
        <v>7478.5256330968132</v>
      </c>
      <c r="G66" s="23"/>
      <c r="H66" s="3"/>
      <c r="I66" s="67">
        <v>4226.4076001514932</v>
      </c>
      <c r="J66" s="69">
        <f>I66/$I$366</f>
        <v>7.8280514975675782E-3</v>
      </c>
      <c r="L66" s="68"/>
      <c r="M66" s="68"/>
    </row>
    <row r="67" spans="2:13" hidden="1">
      <c r="B67" s="8" t="s">
        <v>144</v>
      </c>
      <c r="C67" s="8" t="s">
        <v>386</v>
      </c>
      <c r="D67" s="15" t="s">
        <v>525</v>
      </c>
      <c r="E67" s="19"/>
      <c r="F67" s="9">
        <v>2440.2920139395833</v>
      </c>
      <c r="G67" s="9">
        <v>100</v>
      </c>
      <c r="H67" s="24"/>
      <c r="I67" s="9">
        <v>950.06441172321092</v>
      </c>
      <c r="L67" s="68"/>
      <c r="M67" s="68"/>
    </row>
    <row r="68" spans="2:13" hidden="1">
      <c r="B68" s="4"/>
      <c r="C68" s="4" t="s">
        <v>386</v>
      </c>
      <c r="D68" s="17" t="s">
        <v>24</v>
      </c>
      <c r="E68" s="21" t="s">
        <v>238</v>
      </c>
      <c r="F68" s="5">
        <v>1341.2293110289274</v>
      </c>
      <c r="G68" s="5">
        <v>54.961836672311208</v>
      </c>
      <c r="H68" s="3"/>
      <c r="I68" s="5"/>
      <c r="L68" s="68"/>
      <c r="M68" s="68"/>
    </row>
    <row r="69" spans="2:13" hidden="1">
      <c r="B69" s="6"/>
      <c r="C69" s="6" t="s">
        <v>386</v>
      </c>
      <c r="D69" s="16" t="s">
        <v>60</v>
      </c>
      <c r="E69" s="20" t="s">
        <v>281</v>
      </c>
      <c r="F69" s="7">
        <v>708.37652700000001</v>
      </c>
      <c r="G69" s="7">
        <v>29.028350826604722</v>
      </c>
      <c r="H69" s="3"/>
      <c r="I69" s="7"/>
      <c r="L69" s="68"/>
      <c r="M69" s="68"/>
    </row>
    <row r="70" spans="2:13" hidden="1">
      <c r="B70" s="8" t="s">
        <v>144</v>
      </c>
      <c r="C70" s="8" t="s">
        <v>387</v>
      </c>
      <c r="D70" s="15" t="s">
        <v>526</v>
      </c>
      <c r="E70" s="19"/>
      <c r="F70" s="9">
        <v>1086.814528380472</v>
      </c>
      <c r="G70" s="9">
        <v>100</v>
      </c>
      <c r="H70" s="24"/>
      <c r="I70" s="9">
        <v>758.19388022912926</v>
      </c>
      <c r="L70" s="68"/>
      <c r="M70" s="68"/>
    </row>
    <row r="71" spans="2:13" hidden="1">
      <c r="B71" s="4"/>
      <c r="C71" s="4" t="s">
        <v>387</v>
      </c>
      <c r="D71" s="17" t="s">
        <v>25</v>
      </c>
      <c r="E71" s="21" t="s">
        <v>239</v>
      </c>
      <c r="F71" s="5">
        <v>945.15333993505328</v>
      </c>
      <c r="G71" s="5">
        <v>86.96546791139086</v>
      </c>
      <c r="H71" s="3"/>
      <c r="I71" s="5"/>
      <c r="L71" s="68"/>
      <c r="M71" s="68"/>
    </row>
    <row r="72" spans="2:13" hidden="1">
      <c r="B72" s="6"/>
      <c r="C72" s="6" t="s">
        <v>387</v>
      </c>
      <c r="D72" s="16" t="s">
        <v>115</v>
      </c>
      <c r="E72" s="20" t="s">
        <v>337</v>
      </c>
      <c r="F72" s="7">
        <v>141.66118844541876</v>
      </c>
      <c r="G72" s="7">
        <v>13.034532088609144</v>
      </c>
      <c r="H72" s="3"/>
      <c r="I72" s="7"/>
      <c r="L72" s="68"/>
      <c r="M72" s="68"/>
    </row>
    <row r="73" spans="2:13" hidden="1">
      <c r="B73" s="8" t="s">
        <v>144</v>
      </c>
      <c r="C73" s="8" t="s">
        <v>388</v>
      </c>
      <c r="D73" s="15" t="s">
        <v>527</v>
      </c>
      <c r="E73" s="19"/>
      <c r="F73" s="9">
        <v>3508.2249711063928</v>
      </c>
      <c r="G73" s="9">
        <v>100</v>
      </c>
      <c r="H73" s="24"/>
      <c r="I73" s="9">
        <v>2229.7405071344365</v>
      </c>
      <c r="L73" s="68"/>
      <c r="M73" s="68"/>
    </row>
    <row r="74" spans="2:13" hidden="1">
      <c r="B74" s="6"/>
      <c r="C74" s="6" t="s">
        <v>388</v>
      </c>
      <c r="D74" s="16" t="s">
        <v>26</v>
      </c>
      <c r="E74" s="20" t="s">
        <v>240</v>
      </c>
      <c r="F74" s="7">
        <v>3472.4928520660619</v>
      </c>
      <c r="G74" s="7">
        <v>98.981475836509375</v>
      </c>
      <c r="H74" s="3"/>
      <c r="I74" s="7"/>
      <c r="L74" s="68"/>
      <c r="M74" s="68"/>
    </row>
    <row r="75" spans="2:13" hidden="1">
      <c r="B75" s="8" t="s">
        <v>144</v>
      </c>
      <c r="C75" s="8" t="s">
        <v>389</v>
      </c>
      <c r="D75" s="15" t="s">
        <v>528</v>
      </c>
      <c r="E75" s="19"/>
      <c r="F75" s="9">
        <v>423.28941383264169</v>
      </c>
      <c r="G75" s="9">
        <v>100</v>
      </c>
      <c r="H75" s="24"/>
      <c r="I75" s="9">
        <v>280.61177551238143</v>
      </c>
      <c r="L75" s="68"/>
      <c r="M75" s="68"/>
    </row>
    <row r="76" spans="2:13" hidden="1">
      <c r="B76" s="4"/>
      <c r="C76" s="4" t="s">
        <v>389</v>
      </c>
      <c r="D76" s="17" t="s">
        <v>28</v>
      </c>
      <c r="E76" s="21" t="s">
        <v>241</v>
      </c>
      <c r="F76" s="5">
        <v>264.25150373720686</v>
      </c>
      <c r="G76" s="5">
        <v>62.428091774032758</v>
      </c>
      <c r="H76" s="3"/>
      <c r="I76" s="5"/>
      <c r="L76" s="68"/>
      <c r="M76" s="68"/>
    </row>
    <row r="77" spans="2:13" hidden="1">
      <c r="B77" s="6"/>
      <c r="C77" s="6" t="s">
        <v>389</v>
      </c>
      <c r="D77" s="16" t="s">
        <v>27</v>
      </c>
      <c r="E77" s="20" t="s">
        <v>242</v>
      </c>
      <c r="F77" s="7">
        <v>152.06714878105069</v>
      </c>
      <c r="G77" s="7">
        <v>35.925100843928576</v>
      </c>
      <c r="H77" s="3"/>
      <c r="I77" s="7"/>
      <c r="L77" s="68"/>
      <c r="M77" s="68"/>
    </row>
    <row r="78" spans="2:13" hidden="1">
      <c r="B78" s="8" t="s">
        <v>144</v>
      </c>
      <c r="C78" s="8" t="s">
        <v>390</v>
      </c>
      <c r="D78" s="15" t="s">
        <v>529</v>
      </c>
      <c r="E78" s="19"/>
      <c r="F78" s="9">
        <v>19.904705837723188</v>
      </c>
      <c r="G78" s="9">
        <v>100</v>
      </c>
      <c r="H78" s="24"/>
      <c r="I78" s="9">
        <v>7.7970255523354624</v>
      </c>
      <c r="L78" s="68"/>
      <c r="M78" s="68"/>
    </row>
    <row r="79" spans="2:13" hidden="1">
      <c r="B79" s="6"/>
      <c r="C79" s="6" t="s">
        <v>390</v>
      </c>
      <c r="D79" s="16" t="s">
        <v>29</v>
      </c>
      <c r="E79" s="20" t="s">
        <v>243</v>
      </c>
      <c r="F79" s="7">
        <v>19.700435024515684</v>
      </c>
      <c r="G79" s="7">
        <v>98.973756181714705</v>
      </c>
      <c r="H79" s="3"/>
      <c r="I79" s="7"/>
      <c r="L79" s="68"/>
      <c r="M79" s="68"/>
    </row>
    <row r="80" spans="2:13">
      <c r="B80" s="10" t="s">
        <v>142</v>
      </c>
      <c r="C80" s="11" t="s">
        <v>146</v>
      </c>
      <c r="D80" s="11"/>
      <c r="E80" s="11"/>
      <c r="F80" s="12">
        <v>290729.34705098363</v>
      </c>
      <c r="G80" s="23"/>
      <c r="H80" s="3"/>
      <c r="I80" s="67">
        <v>104349.64413197397</v>
      </c>
      <c r="J80" s="69">
        <f>I80/$I$366</f>
        <v>0.19327392558840351</v>
      </c>
      <c r="L80" s="68"/>
      <c r="M80" s="68"/>
    </row>
    <row r="81" spans="2:13" hidden="1">
      <c r="B81" s="8" t="s">
        <v>142</v>
      </c>
      <c r="C81" s="8" t="s">
        <v>391</v>
      </c>
      <c r="D81" s="15" t="s">
        <v>530</v>
      </c>
      <c r="E81" s="19"/>
      <c r="F81" s="9">
        <v>9298.8396443836882</v>
      </c>
      <c r="G81" s="9">
        <v>100</v>
      </c>
      <c r="H81" s="24"/>
      <c r="I81" s="9">
        <v>2293.4968473362023</v>
      </c>
      <c r="L81" s="68"/>
      <c r="M81" s="68"/>
    </row>
    <row r="82" spans="2:13" hidden="1">
      <c r="B82" s="6"/>
      <c r="C82" s="6" t="s">
        <v>391</v>
      </c>
      <c r="D82" s="16" t="s">
        <v>30</v>
      </c>
      <c r="E82" s="20" t="s">
        <v>244</v>
      </c>
      <c r="F82" s="7">
        <v>8904.6478325257722</v>
      </c>
      <c r="G82" s="7">
        <v>95.760849450759153</v>
      </c>
      <c r="H82" s="3"/>
      <c r="I82" s="7"/>
      <c r="L82" s="68"/>
      <c r="M82" s="68"/>
    </row>
    <row r="83" spans="2:13" hidden="1">
      <c r="B83" s="8" t="s">
        <v>142</v>
      </c>
      <c r="C83" s="8" t="s">
        <v>392</v>
      </c>
      <c r="D83" s="15" t="s">
        <v>531</v>
      </c>
      <c r="E83" s="19"/>
      <c r="F83" s="9">
        <v>2340.48297879141</v>
      </c>
      <c r="G83" s="9">
        <v>100</v>
      </c>
      <c r="H83" s="24"/>
      <c r="I83" s="9">
        <v>663.60340220959324</v>
      </c>
      <c r="L83" s="68"/>
      <c r="M83" s="68"/>
    </row>
    <row r="84" spans="2:13" hidden="1">
      <c r="B84" s="4"/>
      <c r="C84" s="4" t="s">
        <v>392</v>
      </c>
      <c r="D84" s="17" t="s">
        <v>31</v>
      </c>
      <c r="E84" s="21" t="s">
        <v>245</v>
      </c>
      <c r="F84" s="5">
        <v>1769.5300020838727</v>
      </c>
      <c r="G84" s="5">
        <v>75.605335228612986</v>
      </c>
      <c r="H84" s="3"/>
      <c r="I84" s="5"/>
      <c r="L84" s="68"/>
      <c r="M84" s="68"/>
    </row>
    <row r="85" spans="2:13" hidden="1">
      <c r="B85" s="6"/>
      <c r="C85" s="6" t="s">
        <v>392</v>
      </c>
      <c r="D85" s="16" t="s">
        <v>33</v>
      </c>
      <c r="E85" s="20" t="s">
        <v>247</v>
      </c>
      <c r="F85" s="7">
        <v>238.67365333890947</v>
      </c>
      <c r="G85" s="7">
        <v>10.197623973414109</v>
      </c>
      <c r="H85" s="3"/>
      <c r="I85" s="7"/>
      <c r="L85" s="68"/>
      <c r="M85" s="68"/>
    </row>
    <row r="86" spans="2:13" hidden="1">
      <c r="B86" s="8" t="s">
        <v>142</v>
      </c>
      <c r="C86" s="8" t="s">
        <v>393</v>
      </c>
      <c r="D86" s="15" t="s">
        <v>532</v>
      </c>
      <c r="E86" s="19"/>
      <c r="F86" s="9">
        <v>13487.919419543732</v>
      </c>
      <c r="G86" s="9">
        <v>100</v>
      </c>
      <c r="H86" s="24"/>
      <c r="I86" s="9">
        <v>3651.4040455195518</v>
      </c>
      <c r="L86" s="68"/>
      <c r="M86" s="68"/>
    </row>
    <row r="87" spans="2:13" hidden="1">
      <c r="B87" s="6"/>
      <c r="C87" s="6" t="s">
        <v>393</v>
      </c>
      <c r="D87" s="16" t="s">
        <v>32</v>
      </c>
      <c r="E87" s="20" t="s">
        <v>246</v>
      </c>
      <c r="F87" s="7">
        <v>12872.662512351295</v>
      </c>
      <c r="G87" s="7">
        <v>95.438459498053192</v>
      </c>
      <c r="H87" s="3"/>
      <c r="I87" s="7"/>
      <c r="L87" s="68"/>
      <c r="M87" s="68"/>
    </row>
    <row r="88" spans="2:13" hidden="1">
      <c r="B88" s="8" t="s">
        <v>142</v>
      </c>
      <c r="C88" s="8" t="s">
        <v>394</v>
      </c>
      <c r="D88" s="15" t="s">
        <v>533</v>
      </c>
      <c r="E88" s="19"/>
      <c r="F88" s="9">
        <v>3804.6624030937569</v>
      </c>
      <c r="G88" s="9">
        <v>100</v>
      </c>
      <c r="H88" s="24"/>
      <c r="I88" s="9">
        <v>1198.4314170979824</v>
      </c>
      <c r="L88" s="68"/>
      <c r="M88" s="68"/>
    </row>
    <row r="89" spans="2:13" hidden="1">
      <c r="B89" s="6"/>
      <c r="C89" s="6" t="s">
        <v>394</v>
      </c>
      <c r="D89" s="16" t="s">
        <v>33</v>
      </c>
      <c r="E89" s="20" t="s">
        <v>247</v>
      </c>
      <c r="F89" s="7">
        <v>3603.9197009061836</v>
      </c>
      <c r="G89" s="7">
        <v>94.723770970471918</v>
      </c>
      <c r="H89" s="3"/>
      <c r="I89" s="7"/>
      <c r="L89" s="68"/>
      <c r="M89" s="68"/>
    </row>
    <row r="90" spans="2:13" hidden="1">
      <c r="B90" s="8" t="s">
        <v>142</v>
      </c>
      <c r="C90" s="8" t="s">
        <v>395</v>
      </c>
      <c r="D90" s="15" t="s">
        <v>534</v>
      </c>
      <c r="E90" s="19"/>
      <c r="F90" s="9">
        <v>1491.6421119058491</v>
      </c>
      <c r="G90" s="9">
        <v>100</v>
      </c>
      <c r="H90" s="24"/>
      <c r="I90" s="9">
        <v>353.14674514522858</v>
      </c>
      <c r="L90" s="68"/>
      <c r="M90" s="68"/>
    </row>
    <row r="91" spans="2:13" hidden="1">
      <c r="B91" s="4"/>
      <c r="C91" s="4" t="s">
        <v>395</v>
      </c>
      <c r="D91" s="17" t="s">
        <v>190</v>
      </c>
      <c r="E91" s="21" t="s">
        <v>516</v>
      </c>
      <c r="F91" s="5">
        <v>745.05685835623672</v>
      </c>
      <c r="G91" s="5">
        <v>49.94876803285532</v>
      </c>
      <c r="H91" s="3"/>
      <c r="I91" s="5"/>
      <c r="L91" s="68"/>
      <c r="M91" s="68"/>
    </row>
    <row r="92" spans="2:13" hidden="1">
      <c r="B92" s="6"/>
      <c r="C92" s="6" t="s">
        <v>395</v>
      </c>
      <c r="D92" s="16" t="s">
        <v>34</v>
      </c>
      <c r="E92" s="20" t="s">
        <v>248</v>
      </c>
      <c r="F92" s="7">
        <v>743.18318429215969</v>
      </c>
      <c r="G92" s="7">
        <v>49.82315653066442</v>
      </c>
      <c r="H92" s="3"/>
      <c r="I92" s="7"/>
      <c r="L92" s="68"/>
      <c r="M92" s="68"/>
    </row>
    <row r="93" spans="2:13" hidden="1">
      <c r="B93" s="8" t="s">
        <v>142</v>
      </c>
      <c r="C93" s="8" t="s">
        <v>396</v>
      </c>
      <c r="D93" s="15" t="s">
        <v>535</v>
      </c>
      <c r="E93" s="19"/>
      <c r="F93" s="9">
        <v>5901.3351995864268</v>
      </c>
      <c r="G93" s="9">
        <v>100</v>
      </c>
      <c r="H93" s="24"/>
      <c r="I93" s="9">
        <v>1683.6569498450417</v>
      </c>
      <c r="L93" s="68"/>
      <c r="M93" s="68"/>
    </row>
    <row r="94" spans="2:13" hidden="1">
      <c r="B94" s="4"/>
      <c r="C94" s="4" t="s">
        <v>396</v>
      </c>
      <c r="D94" s="17" t="s">
        <v>191</v>
      </c>
      <c r="E94" s="21" t="s">
        <v>250</v>
      </c>
      <c r="F94" s="5">
        <v>1940.2444613754376</v>
      </c>
      <c r="G94" s="5">
        <v>32.878058875750902</v>
      </c>
      <c r="H94" s="3"/>
      <c r="I94" s="5"/>
      <c r="L94" s="68"/>
      <c r="M94" s="68"/>
    </row>
    <row r="95" spans="2:13" hidden="1">
      <c r="B95" s="4"/>
      <c r="C95" s="4" t="s">
        <v>396</v>
      </c>
      <c r="D95" s="17" t="s">
        <v>35</v>
      </c>
      <c r="E95" s="21" t="s">
        <v>249</v>
      </c>
      <c r="F95" s="5">
        <v>1392.5097715427228</v>
      </c>
      <c r="G95" s="5">
        <v>23.596520523699649</v>
      </c>
      <c r="H95" s="3"/>
      <c r="I95" s="5"/>
      <c r="L95" s="68"/>
      <c r="M95" s="68"/>
    </row>
    <row r="96" spans="2:13" hidden="1">
      <c r="B96" s="4"/>
      <c r="C96" s="4" t="s">
        <v>396</v>
      </c>
      <c r="D96" s="17" t="s">
        <v>192</v>
      </c>
      <c r="E96" s="21" t="s">
        <v>517</v>
      </c>
      <c r="F96" s="5">
        <v>1083.1775736150867</v>
      </c>
      <c r="G96" s="5">
        <v>18.354788145079389</v>
      </c>
      <c r="H96" s="3"/>
      <c r="I96" s="5"/>
      <c r="L96" s="68"/>
      <c r="M96" s="68"/>
    </row>
    <row r="97" spans="2:13" hidden="1">
      <c r="B97" s="6"/>
      <c r="C97" s="6" t="s">
        <v>396</v>
      </c>
      <c r="D97" s="16" t="s">
        <v>48</v>
      </c>
      <c r="E97" s="20" t="s">
        <v>268</v>
      </c>
      <c r="F97" s="7">
        <v>670.59578865742958</v>
      </c>
      <c r="G97" s="7">
        <v>11.363458708538126</v>
      </c>
      <c r="H97" s="3"/>
      <c r="I97" s="7"/>
      <c r="L97" s="68"/>
      <c r="M97" s="68"/>
    </row>
    <row r="98" spans="2:13" hidden="1">
      <c r="B98" s="8" t="s">
        <v>142</v>
      </c>
      <c r="C98" s="8" t="s">
        <v>398</v>
      </c>
      <c r="D98" s="15" t="s">
        <v>536</v>
      </c>
      <c r="E98" s="19"/>
      <c r="F98" s="9">
        <v>15864.34442747215</v>
      </c>
      <c r="G98" s="9">
        <v>100</v>
      </c>
      <c r="H98" s="24"/>
      <c r="I98" s="9">
        <v>5881.5027195020648</v>
      </c>
      <c r="L98" s="68"/>
      <c r="M98" s="68"/>
    </row>
    <row r="99" spans="2:13" hidden="1">
      <c r="B99" s="6"/>
      <c r="C99" s="6" t="s">
        <v>398</v>
      </c>
      <c r="D99" s="16" t="s">
        <v>193</v>
      </c>
      <c r="E99" s="20" t="s">
        <v>251</v>
      </c>
      <c r="F99" s="7">
        <v>12982.824730678154</v>
      </c>
      <c r="G99" s="7">
        <v>81.836503172459544</v>
      </c>
      <c r="H99" s="3"/>
      <c r="I99" s="7"/>
      <c r="L99" s="68"/>
      <c r="M99" s="68"/>
    </row>
    <row r="100" spans="2:13" hidden="1">
      <c r="B100" s="8" t="s">
        <v>142</v>
      </c>
      <c r="C100" s="8" t="s">
        <v>399</v>
      </c>
      <c r="D100" s="15" t="s">
        <v>537</v>
      </c>
      <c r="E100" s="19"/>
      <c r="F100" s="9">
        <v>4950.6646427537808</v>
      </c>
      <c r="G100" s="9">
        <v>100</v>
      </c>
      <c r="H100" s="24"/>
      <c r="I100" s="9">
        <v>2004.8728096294944</v>
      </c>
      <c r="L100" s="68"/>
      <c r="M100" s="68"/>
    </row>
    <row r="101" spans="2:13" hidden="1">
      <c r="B101" s="4"/>
      <c r="C101" s="4" t="s">
        <v>399</v>
      </c>
      <c r="D101" s="17" t="s">
        <v>194</v>
      </c>
      <c r="E101" s="21" t="s">
        <v>253</v>
      </c>
      <c r="F101" s="5">
        <v>3340.5071829020808</v>
      </c>
      <c r="G101" s="5">
        <v>67.475933515139928</v>
      </c>
      <c r="H101" s="3"/>
      <c r="I101" s="5"/>
      <c r="L101" s="68"/>
      <c r="M101" s="68"/>
    </row>
    <row r="102" spans="2:13" hidden="1">
      <c r="B102" s="6"/>
      <c r="C102" s="6" t="s">
        <v>399</v>
      </c>
      <c r="D102" s="16" t="s">
        <v>36</v>
      </c>
      <c r="E102" s="20" t="s">
        <v>252</v>
      </c>
      <c r="F102" s="7">
        <v>1560.7598771317005</v>
      </c>
      <c r="G102" s="7">
        <v>31.526269496281937</v>
      </c>
      <c r="H102" s="3"/>
      <c r="I102" s="7"/>
      <c r="L102" s="68"/>
      <c r="M102" s="68"/>
    </row>
    <row r="103" spans="2:13" hidden="1">
      <c r="B103" s="8" t="s">
        <v>142</v>
      </c>
      <c r="C103" s="8" t="s">
        <v>400</v>
      </c>
      <c r="D103" s="15" t="s">
        <v>538</v>
      </c>
      <c r="E103" s="19"/>
      <c r="F103" s="9">
        <v>3945.6109500818343</v>
      </c>
      <c r="G103" s="9">
        <v>100</v>
      </c>
      <c r="H103" s="24"/>
      <c r="I103" s="9">
        <v>974.22887396186206</v>
      </c>
      <c r="L103" s="68"/>
      <c r="M103" s="68"/>
    </row>
    <row r="104" spans="2:13" hidden="1">
      <c r="B104" s="6"/>
      <c r="C104" s="6" t="s">
        <v>400</v>
      </c>
      <c r="D104" s="16" t="s">
        <v>37</v>
      </c>
      <c r="E104" s="20" t="s">
        <v>254</v>
      </c>
      <c r="F104" s="7">
        <v>3450.3240786082069</v>
      </c>
      <c r="G104" s="7">
        <v>87.447143731610069</v>
      </c>
      <c r="H104" s="3"/>
      <c r="I104" s="7"/>
      <c r="L104" s="68"/>
      <c r="M104" s="68"/>
    </row>
    <row r="105" spans="2:13" hidden="1">
      <c r="B105" s="8" t="s">
        <v>142</v>
      </c>
      <c r="C105" s="8" t="s">
        <v>401</v>
      </c>
      <c r="D105" s="15" t="s">
        <v>539</v>
      </c>
      <c r="E105" s="19"/>
      <c r="F105" s="9">
        <v>1520.33015374405</v>
      </c>
      <c r="G105" s="9">
        <v>100</v>
      </c>
      <c r="H105" s="24"/>
      <c r="I105" s="9">
        <v>765.900937209821</v>
      </c>
      <c r="L105" s="68"/>
      <c r="M105" s="68"/>
    </row>
    <row r="106" spans="2:13" hidden="1">
      <c r="B106" s="4"/>
      <c r="C106" s="4" t="s">
        <v>401</v>
      </c>
      <c r="D106" s="17" t="s">
        <v>38</v>
      </c>
      <c r="E106" s="21" t="s">
        <v>255</v>
      </c>
      <c r="F106" s="5">
        <v>967.800986927233</v>
      </c>
      <c r="G106" s="5">
        <v>63.657290789363884</v>
      </c>
      <c r="H106" s="3"/>
      <c r="I106" s="5"/>
      <c r="L106" s="68"/>
      <c r="M106" s="68"/>
    </row>
    <row r="107" spans="2:13" hidden="1">
      <c r="B107" s="6"/>
      <c r="C107" s="6" t="s">
        <v>401</v>
      </c>
      <c r="D107" s="16" t="s">
        <v>39</v>
      </c>
      <c r="E107" s="20" t="s">
        <v>256</v>
      </c>
      <c r="F107" s="7">
        <v>386.30193112372262</v>
      </c>
      <c r="G107" s="7">
        <v>25.409081716388631</v>
      </c>
      <c r="H107" s="3"/>
      <c r="I107" s="7"/>
      <c r="L107" s="68"/>
      <c r="M107" s="68"/>
    </row>
    <row r="108" spans="2:13" hidden="1">
      <c r="B108" s="8" t="s">
        <v>142</v>
      </c>
      <c r="C108" s="8" t="s">
        <v>402</v>
      </c>
      <c r="D108" s="15" t="s">
        <v>540</v>
      </c>
      <c r="E108" s="19"/>
      <c r="F108" s="9">
        <v>2366.5371905558918</v>
      </c>
      <c r="G108" s="9">
        <v>100</v>
      </c>
      <c r="H108" s="24"/>
      <c r="I108" s="9">
        <v>899.59999198330388</v>
      </c>
      <c r="L108" s="68"/>
      <c r="M108" s="68"/>
    </row>
    <row r="109" spans="2:13" hidden="1">
      <c r="B109" s="4"/>
      <c r="C109" s="4" t="s">
        <v>402</v>
      </c>
      <c r="D109" s="17" t="s">
        <v>39</v>
      </c>
      <c r="E109" s="21" t="s">
        <v>256</v>
      </c>
      <c r="F109" s="5">
        <v>1827.8865945315831</v>
      </c>
      <c r="G109" s="5">
        <v>77.238870440156433</v>
      </c>
      <c r="H109" s="3"/>
      <c r="I109" s="5"/>
      <c r="L109" s="68"/>
      <c r="M109" s="68"/>
    </row>
    <row r="110" spans="2:13" hidden="1">
      <c r="B110" s="6"/>
      <c r="C110" s="6" t="s">
        <v>402</v>
      </c>
      <c r="D110" s="16" t="s">
        <v>197</v>
      </c>
      <c r="E110" s="20" t="s">
        <v>263</v>
      </c>
      <c r="F110" s="7">
        <v>319.81572529933311</v>
      </c>
      <c r="G110" s="7">
        <v>13.514079836801951</v>
      </c>
      <c r="H110" s="3"/>
      <c r="I110" s="7"/>
      <c r="L110" s="68"/>
      <c r="M110" s="68"/>
    </row>
    <row r="111" spans="2:13" hidden="1">
      <c r="B111" s="8" t="s">
        <v>142</v>
      </c>
      <c r="C111" s="8" t="s">
        <v>403</v>
      </c>
      <c r="D111" s="15" t="s">
        <v>541</v>
      </c>
      <c r="E111" s="19"/>
      <c r="F111" s="9">
        <v>2091.5041076723992</v>
      </c>
      <c r="G111" s="9">
        <v>100</v>
      </c>
      <c r="H111" s="24"/>
      <c r="I111" s="9">
        <v>1181.3967791707048</v>
      </c>
      <c r="L111" s="68"/>
      <c r="M111" s="68"/>
    </row>
    <row r="112" spans="2:13" hidden="1">
      <c r="B112" s="6"/>
      <c r="C112" s="6" t="s">
        <v>403</v>
      </c>
      <c r="D112" s="16" t="s">
        <v>51</v>
      </c>
      <c r="E112" s="20" t="s">
        <v>308</v>
      </c>
      <c r="F112" s="7">
        <v>2021.8558307581347</v>
      </c>
      <c r="G112" s="7">
        <v>96.669943096990863</v>
      </c>
      <c r="H112" s="3"/>
      <c r="I112" s="7"/>
      <c r="L112" s="68"/>
      <c r="M112" s="68"/>
    </row>
    <row r="113" spans="2:13" hidden="1">
      <c r="B113" s="8" t="s">
        <v>142</v>
      </c>
      <c r="C113" s="8" t="s">
        <v>404</v>
      </c>
      <c r="D113" s="15" t="s">
        <v>542</v>
      </c>
      <c r="E113" s="19"/>
      <c r="F113" s="9">
        <v>12936.486303296619</v>
      </c>
      <c r="G113" s="9">
        <v>100</v>
      </c>
      <c r="H113" s="24"/>
      <c r="I113" s="9">
        <v>5985.6467383188892</v>
      </c>
      <c r="L113" s="68"/>
      <c r="M113" s="68"/>
    </row>
    <row r="114" spans="2:13" hidden="1">
      <c r="B114" s="4"/>
      <c r="C114" s="4" t="s">
        <v>404</v>
      </c>
      <c r="D114" s="17" t="s">
        <v>40</v>
      </c>
      <c r="E114" s="21" t="s">
        <v>257</v>
      </c>
      <c r="F114" s="5">
        <v>10246.002565375236</v>
      </c>
      <c r="G114" s="5">
        <v>79.202360866445147</v>
      </c>
      <c r="H114" s="3"/>
      <c r="I114" s="5"/>
      <c r="L114" s="68"/>
      <c r="M114" s="68"/>
    </row>
    <row r="115" spans="2:13" hidden="1">
      <c r="B115" s="6"/>
      <c r="C115" s="6" t="s">
        <v>404</v>
      </c>
      <c r="D115" s="16" t="s">
        <v>195</v>
      </c>
      <c r="E115" s="20" t="s">
        <v>258</v>
      </c>
      <c r="F115" s="7">
        <v>2525.6825228109574</v>
      </c>
      <c r="G115" s="7">
        <v>19.523713499911757</v>
      </c>
      <c r="H115" s="3"/>
      <c r="I115" s="7"/>
      <c r="L115" s="68"/>
      <c r="M115" s="68"/>
    </row>
    <row r="116" spans="2:13" hidden="1">
      <c r="B116" s="8" t="s">
        <v>142</v>
      </c>
      <c r="C116" s="8" t="s">
        <v>405</v>
      </c>
      <c r="D116" s="15" t="s">
        <v>543</v>
      </c>
      <c r="E116" s="19"/>
      <c r="F116" s="9">
        <v>10633.24960188697</v>
      </c>
      <c r="G116" s="9">
        <v>100</v>
      </c>
      <c r="H116" s="24"/>
      <c r="I116" s="9">
        <v>5629.0697314511908</v>
      </c>
      <c r="L116" s="68"/>
      <c r="M116" s="68"/>
    </row>
    <row r="117" spans="2:13" hidden="1">
      <c r="B117" s="6"/>
      <c r="C117" s="6" t="s">
        <v>405</v>
      </c>
      <c r="D117" s="16" t="s">
        <v>41</v>
      </c>
      <c r="E117" s="20" t="s">
        <v>259</v>
      </c>
      <c r="F117" s="7">
        <v>10581.927533079841</v>
      </c>
      <c r="G117" s="7">
        <v>99.517343514648417</v>
      </c>
      <c r="H117" s="3"/>
      <c r="I117" s="7"/>
      <c r="L117" s="68"/>
      <c r="M117" s="68"/>
    </row>
    <row r="118" spans="2:13" hidden="1">
      <c r="B118" s="8" t="s">
        <v>142</v>
      </c>
      <c r="C118" s="8" t="s">
        <v>406</v>
      </c>
      <c r="D118" s="15" t="s">
        <v>544</v>
      </c>
      <c r="E118" s="19"/>
      <c r="F118" s="9">
        <v>13926.703018197051</v>
      </c>
      <c r="G118" s="9">
        <v>100</v>
      </c>
      <c r="H118" s="24"/>
      <c r="I118" s="9">
        <v>4028.7624489067166</v>
      </c>
      <c r="L118" s="68"/>
      <c r="M118" s="68"/>
    </row>
    <row r="119" spans="2:13" hidden="1">
      <c r="B119" s="6"/>
      <c r="C119" s="6" t="s">
        <v>406</v>
      </c>
      <c r="D119" s="16" t="s">
        <v>196</v>
      </c>
      <c r="E119" s="20" t="s">
        <v>260</v>
      </c>
      <c r="F119" s="7">
        <v>12219.085600297092</v>
      </c>
      <c r="G119" s="7">
        <v>87.738537860190348</v>
      </c>
      <c r="H119" s="3"/>
      <c r="I119" s="7"/>
      <c r="L119" s="68"/>
      <c r="M119" s="68"/>
    </row>
    <row r="120" spans="2:13" hidden="1">
      <c r="B120" s="8" t="s">
        <v>142</v>
      </c>
      <c r="C120" s="8" t="s">
        <v>407</v>
      </c>
      <c r="D120" s="15" t="s">
        <v>545</v>
      </c>
      <c r="E120" s="19"/>
      <c r="F120" s="9">
        <v>2058.1049198310357</v>
      </c>
      <c r="G120" s="9">
        <v>100</v>
      </c>
      <c r="H120" s="24"/>
      <c r="I120" s="9">
        <v>665.01541447940258</v>
      </c>
      <c r="L120" s="68"/>
      <c r="M120" s="68"/>
    </row>
    <row r="121" spans="2:13" hidden="1">
      <c r="B121" s="6"/>
      <c r="C121" s="6" t="s">
        <v>407</v>
      </c>
      <c r="D121" s="16" t="s">
        <v>42</v>
      </c>
      <c r="E121" s="20" t="s">
        <v>261</v>
      </c>
      <c r="F121" s="7">
        <v>1874.9165041829406</v>
      </c>
      <c r="G121" s="7">
        <v>91.09917021805019</v>
      </c>
      <c r="H121" s="3"/>
      <c r="I121" s="7"/>
      <c r="L121" s="68"/>
      <c r="M121" s="68"/>
    </row>
    <row r="122" spans="2:13" hidden="1">
      <c r="B122" s="8" t="s">
        <v>142</v>
      </c>
      <c r="C122" s="8" t="s">
        <v>408</v>
      </c>
      <c r="D122" s="15" t="s">
        <v>546</v>
      </c>
      <c r="E122" s="19"/>
      <c r="F122" s="9">
        <v>1155.3669533160687</v>
      </c>
      <c r="G122" s="9">
        <v>100</v>
      </c>
      <c r="H122" s="24"/>
      <c r="I122" s="9">
        <v>471.95034198907513</v>
      </c>
      <c r="L122" s="68"/>
      <c r="M122" s="68"/>
    </row>
    <row r="123" spans="2:13" hidden="1">
      <c r="B123" s="6"/>
      <c r="C123" s="6" t="s">
        <v>408</v>
      </c>
      <c r="D123" s="16" t="s">
        <v>43</v>
      </c>
      <c r="E123" s="20" t="s">
        <v>262</v>
      </c>
      <c r="F123" s="7">
        <v>1101.7418991776758</v>
      </c>
      <c r="G123" s="7">
        <v>95.358612778002581</v>
      </c>
      <c r="H123" s="3"/>
      <c r="I123" s="7"/>
      <c r="L123" s="68"/>
      <c r="M123" s="68"/>
    </row>
    <row r="124" spans="2:13" hidden="1">
      <c r="B124" s="8" t="s">
        <v>142</v>
      </c>
      <c r="C124" s="8" t="s">
        <v>397</v>
      </c>
      <c r="D124" s="15" t="s">
        <v>547</v>
      </c>
      <c r="E124" s="19"/>
      <c r="F124" s="9">
        <v>8185.5011525767268</v>
      </c>
      <c r="G124" s="9">
        <v>100</v>
      </c>
      <c r="H124" s="24"/>
      <c r="I124" s="9">
        <v>3023.1300940517722</v>
      </c>
      <c r="L124" s="68"/>
      <c r="M124" s="68"/>
    </row>
    <row r="125" spans="2:13" hidden="1">
      <c r="B125" s="6"/>
      <c r="C125" s="6" t="s">
        <v>397</v>
      </c>
      <c r="D125" s="16" t="s">
        <v>197</v>
      </c>
      <c r="E125" s="20" t="s">
        <v>263</v>
      </c>
      <c r="F125" s="7">
        <v>7822.1232879446334</v>
      </c>
      <c r="G125" s="7">
        <v>95.560713292212967</v>
      </c>
      <c r="H125" s="3"/>
      <c r="I125" s="7"/>
      <c r="L125" s="68"/>
      <c r="M125" s="68"/>
    </row>
    <row r="126" spans="2:13" hidden="1">
      <c r="B126" s="8" t="s">
        <v>142</v>
      </c>
      <c r="C126" s="8" t="s">
        <v>409</v>
      </c>
      <c r="D126" s="15" t="s">
        <v>548</v>
      </c>
      <c r="E126" s="19"/>
      <c r="F126" s="9">
        <v>7267.5921563897145</v>
      </c>
      <c r="G126" s="9">
        <v>100</v>
      </c>
      <c r="H126" s="24"/>
      <c r="I126" s="9">
        <v>2724.8798051861431</v>
      </c>
      <c r="L126" s="68"/>
      <c r="M126" s="68"/>
    </row>
    <row r="127" spans="2:13" hidden="1">
      <c r="B127" s="6"/>
      <c r="C127" s="6" t="s">
        <v>409</v>
      </c>
      <c r="D127" s="16" t="s">
        <v>44</v>
      </c>
      <c r="E127" s="20" t="s">
        <v>264</v>
      </c>
      <c r="F127" s="7">
        <v>7162.7511675951937</v>
      </c>
      <c r="G127" s="7">
        <v>98.557417827824253</v>
      </c>
      <c r="H127" s="3"/>
      <c r="I127" s="7"/>
      <c r="L127" s="68"/>
      <c r="M127" s="68"/>
    </row>
    <row r="128" spans="2:13" hidden="1">
      <c r="B128" s="8" t="s">
        <v>142</v>
      </c>
      <c r="C128" s="8" t="s">
        <v>410</v>
      </c>
      <c r="D128" s="15" t="s">
        <v>549</v>
      </c>
      <c r="E128" s="19"/>
      <c r="F128" s="9">
        <v>878.1311479969014</v>
      </c>
      <c r="G128" s="9">
        <v>100</v>
      </c>
      <c r="H128" s="24"/>
      <c r="I128" s="9">
        <v>240.86267546609474</v>
      </c>
      <c r="L128" s="68"/>
      <c r="M128" s="68"/>
    </row>
    <row r="129" spans="2:13" hidden="1">
      <c r="B129" s="6"/>
      <c r="C129" s="6" t="s">
        <v>410</v>
      </c>
      <c r="D129" s="16" t="s">
        <v>45</v>
      </c>
      <c r="E129" s="20" t="s">
        <v>265</v>
      </c>
      <c r="F129" s="7">
        <v>799.91634450329082</v>
      </c>
      <c r="G129" s="7">
        <v>91.09303847471692</v>
      </c>
      <c r="H129" s="3"/>
      <c r="I129" s="7"/>
      <c r="L129" s="68"/>
      <c r="M129" s="68"/>
    </row>
    <row r="130" spans="2:13" hidden="1">
      <c r="B130" s="8" t="s">
        <v>142</v>
      </c>
      <c r="C130" s="8" t="s">
        <v>412</v>
      </c>
      <c r="D130" s="15" t="s">
        <v>550</v>
      </c>
      <c r="E130" s="19"/>
      <c r="F130" s="9">
        <v>34.667856858564441</v>
      </c>
      <c r="G130" s="9">
        <v>100</v>
      </c>
      <c r="H130" s="24"/>
      <c r="I130" s="9">
        <v>13.349359091360686</v>
      </c>
      <c r="L130" s="68"/>
      <c r="M130" s="68"/>
    </row>
    <row r="131" spans="2:13" hidden="1">
      <c r="B131" s="6"/>
      <c r="C131" s="6" t="s">
        <v>412</v>
      </c>
      <c r="D131" s="16" t="s">
        <v>46</v>
      </c>
      <c r="E131" s="20" t="s">
        <v>266</v>
      </c>
      <c r="F131" s="7">
        <v>32.035334722564535</v>
      </c>
      <c r="G131" s="7">
        <v>92.406446851503134</v>
      </c>
      <c r="H131" s="3"/>
      <c r="I131" s="7"/>
      <c r="L131" s="68"/>
      <c r="M131" s="68"/>
    </row>
    <row r="132" spans="2:13" hidden="1">
      <c r="B132" s="8" t="s">
        <v>142</v>
      </c>
      <c r="C132" s="8" t="s">
        <v>413</v>
      </c>
      <c r="D132" s="15" t="s">
        <v>551</v>
      </c>
      <c r="E132" s="19"/>
      <c r="F132" s="9">
        <v>3029.7594103614033</v>
      </c>
      <c r="G132" s="9">
        <v>100</v>
      </c>
      <c r="H132" s="24"/>
      <c r="I132" s="9">
        <v>658.64412518399376</v>
      </c>
      <c r="L132" s="68"/>
      <c r="M132" s="68"/>
    </row>
    <row r="133" spans="2:13" hidden="1">
      <c r="B133" s="4"/>
      <c r="C133" s="4" t="s">
        <v>413</v>
      </c>
      <c r="D133" s="17" t="s">
        <v>47</v>
      </c>
      <c r="E133" s="21" t="s">
        <v>267</v>
      </c>
      <c r="F133" s="5">
        <v>2573.7402812742039</v>
      </c>
      <c r="G133" s="5">
        <v>84.948668612838688</v>
      </c>
      <c r="H133" s="3"/>
      <c r="I133" s="5"/>
      <c r="L133" s="68"/>
      <c r="M133" s="68"/>
    </row>
    <row r="134" spans="2:13" hidden="1">
      <c r="B134" s="6"/>
      <c r="C134" s="6" t="s">
        <v>413</v>
      </c>
      <c r="D134" s="16" t="s">
        <v>92</v>
      </c>
      <c r="E134" s="20" t="s">
        <v>316</v>
      </c>
      <c r="F134" s="7">
        <v>368.268524007949</v>
      </c>
      <c r="G134" s="7">
        <v>12.155041840897205</v>
      </c>
      <c r="H134" s="3"/>
      <c r="I134" s="7"/>
      <c r="L134" s="68"/>
      <c r="M134" s="68"/>
    </row>
    <row r="135" spans="2:13" hidden="1">
      <c r="B135" s="8" t="s">
        <v>142</v>
      </c>
      <c r="C135" s="8" t="s">
        <v>414</v>
      </c>
      <c r="D135" s="15" t="s">
        <v>552</v>
      </c>
      <c r="E135" s="19"/>
      <c r="F135" s="9">
        <v>14340.218678954658</v>
      </c>
      <c r="G135" s="9">
        <v>100</v>
      </c>
      <c r="H135" s="24"/>
      <c r="I135" s="9">
        <v>3733.6506540269183</v>
      </c>
      <c r="L135" s="68"/>
      <c r="M135" s="68"/>
    </row>
    <row r="136" spans="2:13" hidden="1">
      <c r="B136" s="6"/>
      <c r="C136" s="6" t="s">
        <v>414</v>
      </c>
      <c r="D136" s="16" t="s">
        <v>48</v>
      </c>
      <c r="E136" s="20" t="s">
        <v>268</v>
      </c>
      <c r="F136" s="7">
        <v>11621.953178657766</v>
      </c>
      <c r="G136" s="7">
        <v>81.044462702049657</v>
      </c>
      <c r="H136" s="3"/>
      <c r="I136" s="7"/>
      <c r="L136" s="68"/>
      <c r="M136" s="68"/>
    </row>
    <row r="137" spans="2:13" hidden="1">
      <c r="B137" s="8" t="s">
        <v>142</v>
      </c>
      <c r="C137" s="8" t="s">
        <v>415</v>
      </c>
      <c r="D137" s="15" t="s">
        <v>553</v>
      </c>
      <c r="E137" s="19"/>
      <c r="F137" s="9">
        <v>440.11407276109418</v>
      </c>
      <c r="G137" s="9">
        <v>100</v>
      </c>
      <c r="H137" s="24"/>
      <c r="I137" s="9">
        <v>136.43915626828903</v>
      </c>
      <c r="L137" s="68"/>
      <c r="M137" s="68"/>
    </row>
    <row r="138" spans="2:13" hidden="1">
      <c r="B138" s="6"/>
      <c r="C138" s="6" t="s">
        <v>415</v>
      </c>
      <c r="D138" s="16" t="s">
        <v>49</v>
      </c>
      <c r="E138" s="20" t="s">
        <v>269</v>
      </c>
      <c r="F138" s="7">
        <v>404.96309744396495</v>
      </c>
      <c r="G138" s="7">
        <v>92.013212598132455</v>
      </c>
      <c r="H138" s="3"/>
      <c r="I138" s="7"/>
      <c r="L138" s="68"/>
      <c r="M138" s="68"/>
    </row>
    <row r="139" spans="2:13" hidden="1">
      <c r="B139" s="8" t="s">
        <v>142</v>
      </c>
      <c r="C139" s="8" t="s">
        <v>416</v>
      </c>
      <c r="D139" s="15" t="s">
        <v>554</v>
      </c>
      <c r="E139" s="19"/>
      <c r="F139" s="9">
        <v>3739.5654325200658</v>
      </c>
      <c r="G139" s="9">
        <v>100</v>
      </c>
      <c r="H139" s="24"/>
      <c r="I139" s="9">
        <v>1009.9897097161256</v>
      </c>
      <c r="L139" s="68"/>
      <c r="M139" s="68"/>
    </row>
    <row r="140" spans="2:13" hidden="1">
      <c r="B140" s="4"/>
      <c r="C140" s="4" t="s">
        <v>416</v>
      </c>
      <c r="D140" s="17" t="s">
        <v>50</v>
      </c>
      <c r="E140" s="21" t="s">
        <v>270</v>
      </c>
      <c r="F140" s="5">
        <v>2822.1039207318322</v>
      </c>
      <c r="G140" s="5">
        <v>75.466092829669705</v>
      </c>
      <c r="H140" s="3"/>
      <c r="I140" s="5"/>
      <c r="L140" s="68"/>
      <c r="M140" s="68"/>
    </row>
    <row r="141" spans="2:13" hidden="1">
      <c r="B141" s="6"/>
      <c r="C141" s="6" t="s">
        <v>416</v>
      </c>
      <c r="D141" s="16" t="s">
        <v>51</v>
      </c>
      <c r="E141" s="20" t="s">
        <v>308</v>
      </c>
      <c r="F141" s="7">
        <v>675.26920073212455</v>
      </c>
      <c r="G141" s="7">
        <v>18.057424396424203</v>
      </c>
      <c r="H141" s="3"/>
      <c r="I141" s="7"/>
      <c r="L141" s="68"/>
      <c r="M141" s="68"/>
    </row>
    <row r="142" spans="2:13" hidden="1">
      <c r="B142" s="8" t="s">
        <v>142</v>
      </c>
      <c r="C142" s="8" t="s">
        <v>417</v>
      </c>
      <c r="D142" s="15" t="s">
        <v>555</v>
      </c>
      <c r="E142" s="19"/>
      <c r="F142" s="9">
        <v>4636.9259037490119</v>
      </c>
      <c r="G142" s="9">
        <v>100</v>
      </c>
      <c r="H142" s="24"/>
      <c r="I142" s="9">
        <v>1823.3050436465455</v>
      </c>
      <c r="L142" s="68"/>
      <c r="M142" s="68"/>
    </row>
    <row r="143" spans="2:13" hidden="1">
      <c r="B143" s="6"/>
      <c r="C143" s="6" t="s">
        <v>417</v>
      </c>
      <c r="D143" s="16" t="s">
        <v>52</v>
      </c>
      <c r="E143" s="20" t="s">
        <v>271</v>
      </c>
      <c r="F143" s="7">
        <v>4047.3121755161419</v>
      </c>
      <c r="G143" s="7">
        <v>87.284383221302718</v>
      </c>
      <c r="H143" s="3"/>
      <c r="I143" s="7"/>
      <c r="L143" s="68"/>
      <c r="M143" s="68"/>
    </row>
    <row r="144" spans="2:13" hidden="1">
      <c r="B144" s="8" t="s">
        <v>142</v>
      </c>
      <c r="C144" s="8" t="s">
        <v>418</v>
      </c>
      <c r="D144" s="15" t="s">
        <v>556</v>
      </c>
      <c r="E144" s="19"/>
      <c r="F144" s="9">
        <v>16131.452404454198</v>
      </c>
      <c r="G144" s="9">
        <v>100</v>
      </c>
      <c r="H144" s="24"/>
      <c r="I144" s="9">
        <v>7713.4459698159008</v>
      </c>
      <c r="L144" s="68"/>
      <c r="M144" s="68"/>
    </row>
    <row r="145" spans="2:13" hidden="1">
      <c r="B145" s="4"/>
      <c r="C145" s="4" t="s">
        <v>418</v>
      </c>
      <c r="D145" s="17" t="s">
        <v>53</v>
      </c>
      <c r="E145" s="21" t="s">
        <v>272</v>
      </c>
      <c r="F145" s="5">
        <v>10425.586937494412</v>
      </c>
      <c r="G145" s="5">
        <v>64.628941499500144</v>
      </c>
      <c r="H145" s="3"/>
      <c r="I145" s="5"/>
      <c r="L145" s="68"/>
      <c r="M145" s="68"/>
    </row>
    <row r="146" spans="2:13" hidden="1">
      <c r="B146" s="6"/>
      <c r="C146" s="6" t="s">
        <v>418</v>
      </c>
      <c r="D146" s="16" t="s">
        <v>51</v>
      </c>
      <c r="E146" s="20" t="s">
        <v>308</v>
      </c>
      <c r="F146" s="7">
        <v>5233.0026408781259</v>
      </c>
      <c r="G146" s="7">
        <v>32.439748819103201</v>
      </c>
      <c r="H146" s="3"/>
      <c r="I146" s="7"/>
      <c r="L146" s="68"/>
      <c r="M146" s="68"/>
    </row>
    <row r="147" spans="2:13" hidden="1">
      <c r="B147" s="8" t="s">
        <v>142</v>
      </c>
      <c r="C147" s="8" t="s">
        <v>419</v>
      </c>
      <c r="D147" s="15" t="s">
        <v>557</v>
      </c>
      <c r="E147" s="19"/>
      <c r="F147" s="9">
        <v>1007.8272822403886</v>
      </c>
      <c r="G147" s="9">
        <v>100</v>
      </c>
      <c r="H147" s="24"/>
      <c r="I147" s="9">
        <v>347.35198911100792</v>
      </c>
      <c r="L147" s="68"/>
      <c r="M147" s="68"/>
    </row>
    <row r="148" spans="2:13" hidden="1">
      <c r="B148" s="4"/>
      <c r="C148" s="4" t="s">
        <v>419</v>
      </c>
      <c r="D148" s="17" t="s">
        <v>198</v>
      </c>
      <c r="E148" s="21" t="s">
        <v>273</v>
      </c>
      <c r="F148" s="5">
        <v>709.80405900522192</v>
      </c>
      <c r="G148" s="5">
        <v>70.429137165977039</v>
      </c>
      <c r="H148" s="3"/>
      <c r="I148" s="5"/>
      <c r="L148" s="68"/>
      <c r="M148" s="68"/>
    </row>
    <row r="149" spans="2:13" hidden="1">
      <c r="B149" s="6"/>
      <c r="C149" s="6" t="s">
        <v>419</v>
      </c>
      <c r="D149" s="16" t="s">
        <v>54</v>
      </c>
      <c r="E149" s="20" t="s">
        <v>274</v>
      </c>
      <c r="F149" s="7">
        <v>297.65845994331244</v>
      </c>
      <c r="G149" s="7">
        <v>29.534669797946041</v>
      </c>
      <c r="H149" s="3"/>
      <c r="I149" s="7"/>
      <c r="L149" s="68"/>
      <c r="M149" s="68"/>
    </row>
    <row r="150" spans="2:13" hidden="1">
      <c r="B150" s="8" t="s">
        <v>142</v>
      </c>
      <c r="C150" s="8" t="s">
        <v>420</v>
      </c>
      <c r="D150" s="15" t="s">
        <v>558</v>
      </c>
      <c r="E150" s="19"/>
      <c r="F150" s="9">
        <v>1929.7278903444708</v>
      </c>
      <c r="G150" s="9">
        <v>100</v>
      </c>
      <c r="H150" s="24"/>
      <c r="I150" s="9">
        <v>688.59840803848465</v>
      </c>
      <c r="L150" s="68"/>
      <c r="M150" s="68"/>
    </row>
    <row r="151" spans="2:13" hidden="1">
      <c r="B151" s="6"/>
      <c r="C151" s="6" t="s">
        <v>420</v>
      </c>
      <c r="D151" s="16" t="s">
        <v>55</v>
      </c>
      <c r="E151" s="20" t="s">
        <v>275</v>
      </c>
      <c r="F151" s="7">
        <v>1703.3215227388341</v>
      </c>
      <c r="G151" s="7">
        <v>88.267445957615223</v>
      </c>
      <c r="H151" s="3"/>
      <c r="I151" s="7"/>
      <c r="L151" s="68"/>
      <c r="M151" s="68"/>
    </row>
    <row r="152" spans="2:13" hidden="1">
      <c r="B152" s="8" t="s">
        <v>142</v>
      </c>
      <c r="C152" s="8" t="s">
        <v>421</v>
      </c>
      <c r="D152" s="15" t="s">
        <v>559</v>
      </c>
      <c r="E152" s="19"/>
      <c r="F152" s="9">
        <v>3338.2264209096793</v>
      </c>
      <c r="G152" s="9">
        <v>100</v>
      </c>
      <c r="H152" s="24"/>
      <c r="I152" s="9">
        <v>1220.3556449615762</v>
      </c>
      <c r="L152" s="68"/>
      <c r="M152" s="68"/>
    </row>
    <row r="153" spans="2:13" hidden="1">
      <c r="B153" s="6"/>
      <c r="C153" s="6" t="s">
        <v>421</v>
      </c>
      <c r="D153" s="16" t="s">
        <v>56</v>
      </c>
      <c r="E153" s="20" t="s">
        <v>276</v>
      </c>
      <c r="F153" s="7">
        <v>3293.7218535576731</v>
      </c>
      <c r="G153" s="7">
        <v>98.666819989403876</v>
      </c>
      <c r="H153" s="3"/>
      <c r="I153" s="7"/>
      <c r="L153" s="68"/>
      <c r="M153" s="68"/>
    </row>
    <row r="154" spans="2:13" hidden="1">
      <c r="B154" s="8" t="s">
        <v>142</v>
      </c>
      <c r="C154" s="8" t="s">
        <v>422</v>
      </c>
      <c r="D154" s="15" t="s">
        <v>560</v>
      </c>
      <c r="E154" s="19"/>
      <c r="F154" s="9">
        <v>1948.8467814103271</v>
      </c>
      <c r="G154" s="9">
        <v>100</v>
      </c>
      <c r="H154" s="24"/>
      <c r="I154" s="9">
        <v>806.12846037661529</v>
      </c>
      <c r="L154" s="68"/>
      <c r="M154" s="68"/>
    </row>
    <row r="155" spans="2:13" hidden="1">
      <c r="B155" s="6"/>
      <c r="C155" s="6" t="s">
        <v>422</v>
      </c>
      <c r="D155" s="16" t="s">
        <v>57</v>
      </c>
      <c r="E155" s="20" t="s">
        <v>277</v>
      </c>
      <c r="F155" s="7">
        <v>1880.5783708613476</v>
      </c>
      <c r="G155" s="7">
        <v>96.496984206240384</v>
      </c>
      <c r="H155" s="3"/>
      <c r="I155" s="7"/>
      <c r="L155" s="68"/>
      <c r="M155" s="68"/>
    </row>
    <row r="156" spans="2:13" hidden="1">
      <c r="B156" s="8" t="s">
        <v>142</v>
      </c>
      <c r="C156" s="8" t="s">
        <v>424</v>
      </c>
      <c r="D156" s="15" t="s">
        <v>561</v>
      </c>
      <c r="E156" s="19"/>
      <c r="F156" s="9">
        <v>8977.2815823287692</v>
      </c>
      <c r="G156" s="9">
        <v>100</v>
      </c>
      <c r="H156" s="24"/>
      <c r="I156" s="9">
        <v>2599.6730538096081</v>
      </c>
      <c r="L156" s="68"/>
      <c r="M156" s="68"/>
    </row>
    <row r="157" spans="2:13" hidden="1">
      <c r="B157" s="4"/>
      <c r="C157" s="4" t="s">
        <v>424</v>
      </c>
      <c r="D157" s="17" t="s">
        <v>199</v>
      </c>
      <c r="E157" s="21" t="s">
        <v>279</v>
      </c>
      <c r="F157" s="5">
        <v>4945.0143363447924</v>
      </c>
      <c r="G157" s="5">
        <v>55.083649666049816</v>
      </c>
      <c r="H157" s="3"/>
      <c r="I157" s="5"/>
      <c r="L157" s="68"/>
      <c r="M157" s="68"/>
    </row>
    <row r="158" spans="2:13" hidden="1">
      <c r="B158" s="6"/>
      <c r="C158" s="6" t="s">
        <v>424</v>
      </c>
      <c r="D158" s="16" t="s">
        <v>58</v>
      </c>
      <c r="E158" s="20" t="s">
        <v>278</v>
      </c>
      <c r="F158" s="7">
        <v>3835.5570210545989</v>
      </c>
      <c r="G158" s="7">
        <v>42.725149989777066</v>
      </c>
      <c r="H158" s="3"/>
      <c r="I158" s="7"/>
      <c r="L158" s="68"/>
      <c r="M158" s="68"/>
    </row>
    <row r="159" spans="2:13" hidden="1">
      <c r="B159" s="8" t="s">
        <v>142</v>
      </c>
      <c r="C159" s="8" t="s">
        <v>425</v>
      </c>
      <c r="D159" s="15" t="s">
        <v>562</v>
      </c>
      <c r="E159" s="19"/>
      <c r="F159" s="9">
        <v>2875.8252344252123</v>
      </c>
      <c r="G159" s="9">
        <v>100</v>
      </c>
      <c r="H159" s="24"/>
      <c r="I159" s="9">
        <v>974.77201474931667</v>
      </c>
      <c r="L159" s="68"/>
      <c r="M159" s="68"/>
    </row>
    <row r="160" spans="2:13" hidden="1">
      <c r="B160" s="6"/>
      <c r="C160" s="6" t="s">
        <v>425</v>
      </c>
      <c r="D160" s="16" t="s">
        <v>59</v>
      </c>
      <c r="E160" s="20" t="s">
        <v>280</v>
      </c>
      <c r="F160" s="7">
        <v>2419.4202668551993</v>
      </c>
      <c r="G160" s="7">
        <v>84.129600015098475</v>
      </c>
      <c r="H160" s="3"/>
      <c r="I160" s="7"/>
      <c r="L160" s="68"/>
      <c r="M160" s="68"/>
    </row>
    <row r="161" spans="2:13" hidden="1">
      <c r="B161" s="8" t="s">
        <v>142</v>
      </c>
      <c r="C161" s="8" t="s">
        <v>563</v>
      </c>
      <c r="D161" s="15" t="s">
        <v>564</v>
      </c>
      <c r="E161" s="19"/>
      <c r="F161" s="9">
        <v>0</v>
      </c>
      <c r="G161" s="9">
        <v>0</v>
      </c>
      <c r="H161" s="24"/>
      <c r="I161" s="9">
        <v>0</v>
      </c>
      <c r="L161" s="68"/>
      <c r="M161" s="68"/>
    </row>
    <row r="162" spans="2:13" hidden="1">
      <c r="B162" s="6"/>
      <c r="C162" s="6" t="s">
        <v>563</v>
      </c>
      <c r="D162" s="16" t="s">
        <v>0</v>
      </c>
      <c r="E162" s="20" t="s">
        <v>205</v>
      </c>
      <c r="F162" s="7">
        <v>0</v>
      </c>
      <c r="G162" s="7">
        <v>0</v>
      </c>
      <c r="H162" s="3"/>
      <c r="I162" s="7"/>
      <c r="L162" s="68"/>
      <c r="M162" s="68"/>
    </row>
    <row r="163" spans="2:13" hidden="1">
      <c r="B163" s="8" t="s">
        <v>142</v>
      </c>
      <c r="C163" s="8" t="s">
        <v>411</v>
      </c>
      <c r="D163" s="15" t="s">
        <v>565</v>
      </c>
      <c r="E163" s="19"/>
      <c r="F163" s="9">
        <v>2066.3512157835544</v>
      </c>
      <c r="G163" s="9">
        <v>100</v>
      </c>
      <c r="H163" s="24"/>
      <c r="I163" s="9">
        <v>682.1159479201026</v>
      </c>
      <c r="L163" s="68"/>
      <c r="M163" s="68"/>
    </row>
    <row r="164" spans="2:13" hidden="1">
      <c r="B164" s="4"/>
      <c r="C164" s="4" t="s">
        <v>411</v>
      </c>
      <c r="D164" s="17" t="s">
        <v>61</v>
      </c>
      <c r="E164" s="21" t="s">
        <v>282</v>
      </c>
      <c r="F164" s="5">
        <v>1662.3763965464318</v>
      </c>
      <c r="G164" s="5">
        <v>80.449847240323251</v>
      </c>
      <c r="H164" s="3"/>
      <c r="I164" s="5"/>
      <c r="L164" s="68"/>
      <c r="M164" s="68"/>
    </row>
    <row r="165" spans="2:13" hidden="1">
      <c r="B165" s="6"/>
      <c r="C165" s="6" t="s">
        <v>411</v>
      </c>
      <c r="D165" s="16" t="s">
        <v>45</v>
      </c>
      <c r="E165" s="20" t="s">
        <v>265</v>
      </c>
      <c r="F165" s="7">
        <v>395.44741149151218</v>
      </c>
      <c r="G165" s="7">
        <v>19.137473265480654</v>
      </c>
      <c r="H165" s="3"/>
      <c r="I165" s="7"/>
      <c r="L165" s="68"/>
      <c r="M165" s="68"/>
    </row>
    <row r="166" spans="2:13" hidden="1">
      <c r="B166" s="8" t="s">
        <v>142</v>
      </c>
      <c r="C166" s="8" t="s">
        <v>426</v>
      </c>
      <c r="D166" s="15" t="s">
        <v>566</v>
      </c>
      <c r="E166" s="19"/>
      <c r="F166" s="9">
        <v>7866.4176404272966</v>
      </c>
      <c r="G166" s="9">
        <v>100</v>
      </c>
      <c r="H166" s="24"/>
      <c r="I166" s="9">
        <v>3265.1851949527281</v>
      </c>
      <c r="L166" s="68"/>
      <c r="M166" s="68"/>
    </row>
    <row r="167" spans="2:13" hidden="1">
      <c r="B167" s="6"/>
      <c r="C167" s="6" t="s">
        <v>426</v>
      </c>
      <c r="D167" s="16" t="s">
        <v>15</v>
      </c>
      <c r="E167" s="20" t="s">
        <v>283</v>
      </c>
      <c r="F167" s="7">
        <v>7641.5353947355561</v>
      </c>
      <c r="G167" s="7">
        <v>97.141236888618522</v>
      </c>
      <c r="H167" s="3"/>
      <c r="I167" s="7"/>
      <c r="L167" s="68"/>
      <c r="M167" s="68"/>
    </row>
    <row r="168" spans="2:13" hidden="1">
      <c r="B168" s="8" t="s">
        <v>142</v>
      </c>
      <c r="C168" s="8" t="s">
        <v>567</v>
      </c>
      <c r="D168" s="15" t="s">
        <v>568</v>
      </c>
      <c r="E168" s="19"/>
      <c r="F168" s="9">
        <v>0</v>
      </c>
      <c r="G168" s="9">
        <v>0</v>
      </c>
      <c r="H168" s="24"/>
      <c r="I168" s="9">
        <v>0</v>
      </c>
      <c r="L168" s="68"/>
      <c r="M168" s="68"/>
    </row>
    <row r="169" spans="2:13" hidden="1">
      <c r="B169" s="6"/>
      <c r="C169" s="6" t="s">
        <v>567</v>
      </c>
      <c r="D169" s="16" t="s">
        <v>0</v>
      </c>
      <c r="E169" s="20" t="s">
        <v>205</v>
      </c>
      <c r="F169" s="7">
        <v>0</v>
      </c>
      <c r="G169" s="7">
        <v>0</v>
      </c>
      <c r="H169" s="3"/>
      <c r="I169" s="7"/>
      <c r="L169" s="68"/>
      <c r="M169" s="68"/>
    </row>
    <row r="170" spans="2:13" hidden="1">
      <c r="B170" s="8" t="s">
        <v>142</v>
      </c>
      <c r="C170" s="8" t="s">
        <v>428</v>
      </c>
      <c r="D170" s="15" t="s">
        <v>569</v>
      </c>
      <c r="E170" s="19"/>
      <c r="F170" s="9">
        <v>1628.8204080522182</v>
      </c>
      <c r="G170" s="9">
        <v>100</v>
      </c>
      <c r="H170" s="24"/>
      <c r="I170" s="9">
        <v>642.92717669458852</v>
      </c>
      <c r="L170" s="68"/>
      <c r="M170" s="68"/>
    </row>
    <row r="171" spans="2:13" hidden="1">
      <c r="B171" s="6"/>
      <c r="C171" s="6" t="s">
        <v>428</v>
      </c>
      <c r="D171" s="16" t="s">
        <v>62</v>
      </c>
      <c r="E171" s="20" t="s">
        <v>284</v>
      </c>
      <c r="F171" s="7">
        <v>1585.5088713735486</v>
      </c>
      <c r="G171" s="7">
        <v>97.340926202511014</v>
      </c>
      <c r="H171" s="3"/>
      <c r="I171" s="7"/>
      <c r="L171" s="68"/>
      <c r="M171" s="68"/>
    </row>
    <row r="172" spans="2:13" hidden="1">
      <c r="B172" s="8" t="s">
        <v>142</v>
      </c>
      <c r="C172" s="8" t="s">
        <v>429</v>
      </c>
      <c r="D172" s="15" t="s">
        <v>570</v>
      </c>
      <c r="E172" s="19"/>
      <c r="F172" s="9">
        <v>7377.2438715911121</v>
      </c>
      <c r="G172" s="9">
        <v>100</v>
      </c>
      <c r="H172" s="24"/>
      <c r="I172" s="9">
        <v>2797.538719193627</v>
      </c>
      <c r="L172" s="68"/>
      <c r="M172" s="68"/>
    </row>
    <row r="173" spans="2:13" hidden="1">
      <c r="B173" s="6"/>
      <c r="C173" s="6" t="s">
        <v>429</v>
      </c>
      <c r="D173" s="16" t="s">
        <v>63</v>
      </c>
      <c r="E173" s="20" t="s">
        <v>285</v>
      </c>
      <c r="F173" s="7">
        <v>7204.2104712162554</v>
      </c>
      <c r="G173" s="7">
        <v>97.654498029525811</v>
      </c>
      <c r="H173" s="3"/>
      <c r="I173" s="7"/>
      <c r="L173" s="68"/>
      <c r="M173" s="68"/>
    </row>
    <row r="174" spans="2:13" hidden="1">
      <c r="B174" s="8" t="s">
        <v>142</v>
      </c>
      <c r="C174" s="8" t="s">
        <v>430</v>
      </c>
      <c r="D174" s="15" t="s">
        <v>571</v>
      </c>
      <c r="E174" s="19"/>
      <c r="F174" s="9">
        <v>2889.9206611490831</v>
      </c>
      <c r="G174" s="9">
        <v>100</v>
      </c>
      <c r="H174" s="24"/>
      <c r="I174" s="9">
        <v>1268.0804276893725</v>
      </c>
      <c r="L174" s="68"/>
      <c r="M174" s="68"/>
    </row>
    <row r="175" spans="2:13" hidden="1">
      <c r="B175" s="4"/>
      <c r="C175" s="4" t="s">
        <v>430</v>
      </c>
      <c r="D175" s="17" t="s">
        <v>74</v>
      </c>
      <c r="E175" s="21" t="s">
        <v>286</v>
      </c>
      <c r="F175" s="5">
        <v>1625.4978667797056</v>
      </c>
      <c r="G175" s="5">
        <v>56.247145073296899</v>
      </c>
      <c r="H175" s="3"/>
      <c r="I175" s="5"/>
      <c r="L175" s="68"/>
      <c r="M175" s="68"/>
    </row>
    <row r="176" spans="2:13" hidden="1">
      <c r="B176" s="6"/>
      <c r="C176" s="6" t="s">
        <v>430</v>
      </c>
      <c r="D176" s="16" t="s">
        <v>64</v>
      </c>
      <c r="E176" s="20" t="s">
        <v>287</v>
      </c>
      <c r="F176" s="7">
        <v>799.51279563260505</v>
      </c>
      <c r="G176" s="7">
        <v>27.665562116667409</v>
      </c>
      <c r="H176" s="3"/>
      <c r="I176" s="7"/>
      <c r="L176" s="68"/>
      <c r="M176" s="68"/>
    </row>
    <row r="177" spans="2:13" hidden="1">
      <c r="B177" s="8" t="s">
        <v>142</v>
      </c>
      <c r="C177" s="8" t="s">
        <v>431</v>
      </c>
      <c r="D177" s="15" t="s">
        <v>572</v>
      </c>
      <c r="E177" s="19"/>
      <c r="F177" s="9">
        <v>6160.5907210755067</v>
      </c>
      <c r="G177" s="9">
        <v>100</v>
      </c>
      <c r="H177" s="24"/>
      <c r="I177" s="9">
        <v>2201.879717185122</v>
      </c>
      <c r="L177" s="68"/>
      <c r="M177" s="68"/>
    </row>
    <row r="178" spans="2:13" hidden="1">
      <c r="B178" s="4"/>
      <c r="C178" s="4" t="s">
        <v>431</v>
      </c>
      <c r="D178" s="17" t="s">
        <v>65</v>
      </c>
      <c r="E178" s="21" t="s">
        <v>288</v>
      </c>
      <c r="F178" s="5">
        <v>4950.6422810597414</v>
      </c>
      <c r="G178" s="5">
        <v>80.35986328589388</v>
      </c>
      <c r="H178" s="3"/>
      <c r="I178" s="5"/>
      <c r="L178" s="68"/>
      <c r="M178" s="68"/>
    </row>
    <row r="179" spans="2:13" hidden="1">
      <c r="B179" s="6"/>
      <c r="C179" s="6" t="s">
        <v>431</v>
      </c>
      <c r="D179" s="16" t="s">
        <v>15</v>
      </c>
      <c r="E179" s="20" t="s">
        <v>283</v>
      </c>
      <c r="F179" s="7">
        <v>687.15225030026295</v>
      </c>
      <c r="G179" s="7">
        <v>11.153999371350883</v>
      </c>
      <c r="H179" s="3"/>
      <c r="I179" s="7"/>
      <c r="L179" s="68"/>
      <c r="M179" s="68"/>
    </row>
    <row r="180" spans="2:13" hidden="1">
      <c r="B180" s="8" t="s">
        <v>142</v>
      </c>
      <c r="C180" s="8" t="s">
        <v>432</v>
      </c>
      <c r="D180" s="15" t="s">
        <v>573</v>
      </c>
      <c r="E180" s="19"/>
      <c r="F180" s="9">
        <v>1392.4107228206426</v>
      </c>
      <c r="G180" s="9">
        <v>100</v>
      </c>
      <c r="H180" s="24"/>
      <c r="I180" s="9">
        <v>412.53986055599853</v>
      </c>
      <c r="L180" s="68"/>
      <c r="M180" s="68"/>
    </row>
    <row r="181" spans="2:13" hidden="1">
      <c r="B181" s="6"/>
      <c r="C181" s="6" t="s">
        <v>432</v>
      </c>
      <c r="D181" s="16" t="s">
        <v>66</v>
      </c>
      <c r="E181" s="20" t="s">
        <v>289</v>
      </c>
      <c r="F181" s="7">
        <v>1189.9988982588056</v>
      </c>
      <c r="G181" s="7">
        <v>85.463209867286423</v>
      </c>
      <c r="H181" s="3"/>
      <c r="I181" s="7"/>
      <c r="L181" s="68"/>
      <c r="M181" s="68"/>
    </row>
    <row r="182" spans="2:13" hidden="1">
      <c r="B182" s="8" t="s">
        <v>142</v>
      </c>
      <c r="C182" s="8" t="s">
        <v>433</v>
      </c>
      <c r="D182" s="15" t="s">
        <v>574</v>
      </c>
      <c r="E182" s="19"/>
      <c r="F182" s="9">
        <v>15371.64777371978</v>
      </c>
      <c r="G182" s="9">
        <v>100</v>
      </c>
      <c r="H182" s="24"/>
      <c r="I182" s="9">
        <v>5894.757392317244</v>
      </c>
      <c r="L182" s="68"/>
      <c r="M182" s="68"/>
    </row>
    <row r="183" spans="2:13" hidden="1">
      <c r="B183" s="6"/>
      <c r="C183" s="6" t="s">
        <v>433</v>
      </c>
      <c r="D183" s="16" t="s">
        <v>67</v>
      </c>
      <c r="E183" s="20" t="s">
        <v>290</v>
      </c>
      <c r="F183" s="7">
        <v>14544.411711554671</v>
      </c>
      <c r="G183" s="7">
        <v>94.618429498629297</v>
      </c>
      <c r="H183" s="3"/>
      <c r="I183" s="7"/>
      <c r="L183" s="68"/>
      <c r="M183" s="68"/>
    </row>
    <row r="184" spans="2:13" hidden="1">
      <c r="B184" s="8" t="s">
        <v>142</v>
      </c>
      <c r="C184" s="8" t="s">
        <v>434</v>
      </c>
      <c r="D184" s="15" t="s">
        <v>575</v>
      </c>
      <c r="E184" s="19"/>
      <c r="F184" s="9">
        <v>1306.7459380271307</v>
      </c>
      <c r="G184" s="9">
        <v>100</v>
      </c>
      <c r="H184" s="24"/>
      <c r="I184" s="9">
        <v>498.44563923866042</v>
      </c>
      <c r="L184" s="68"/>
      <c r="M184" s="68"/>
    </row>
    <row r="185" spans="2:13" hidden="1">
      <c r="B185" s="6"/>
      <c r="C185" s="6" t="s">
        <v>434</v>
      </c>
      <c r="D185" s="16" t="s">
        <v>68</v>
      </c>
      <c r="E185" s="20" t="s">
        <v>291</v>
      </c>
      <c r="F185" s="7">
        <v>1285.7628380776298</v>
      </c>
      <c r="G185" s="7">
        <v>98.394247930000816</v>
      </c>
      <c r="H185" s="3"/>
      <c r="I185" s="7"/>
      <c r="L185" s="68"/>
      <c r="M185" s="68"/>
    </row>
    <row r="186" spans="2:13" hidden="1">
      <c r="B186" s="8" t="s">
        <v>142</v>
      </c>
      <c r="C186" s="8" t="s">
        <v>435</v>
      </c>
      <c r="D186" s="15" t="s">
        <v>576</v>
      </c>
      <c r="E186" s="19"/>
      <c r="F186" s="9">
        <v>2402.5001688866214</v>
      </c>
      <c r="G186" s="9">
        <v>100</v>
      </c>
      <c r="H186" s="24"/>
      <c r="I186" s="9">
        <v>1101.6198419111633</v>
      </c>
      <c r="L186" s="68"/>
      <c r="M186" s="68"/>
    </row>
    <row r="187" spans="2:13" hidden="1">
      <c r="B187" s="4"/>
      <c r="C187" s="4" t="s">
        <v>435</v>
      </c>
      <c r="D187" s="17" t="s">
        <v>69</v>
      </c>
      <c r="E187" s="21" t="s">
        <v>293</v>
      </c>
      <c r="F187" s="5">
        <v>1850.7718620965443</v>
      </c>
      <c r="G187" s="5">
        <v>77.035243787484859</v>
      </c>
      <c r="H187" s="3"/>
      <c r="I187" s="5"/>
      <c r="L187" s="68"/>
      <c r="M187" s="68"/>
    </row>
    <row r="188" spans="2:13" hidden="1">
      <c r="B188" s="6"/>
      <c r="C188" s="6" t="s">
        <v>435</v>
      </c>
      <c r="D188" s="16" t="s">
        <v>70</v>
      </c>
      <c r="E188" s="20" t="s">
        <v>292</v>
      </c>
      <c r="F188" s="7">
        <v>526.92432485883</v>
      </c>
      <c r="G188" s="7">
        <v>21.93233247941955</v>
      </c>
      <c r="H188" s="3"/>
      <c r="I188" s="7"/>
      <c r="L188" s="68"/>
      <c r="M188" s="68"/>
    </row>
    <row r="189" spans="2:13" hidden="1">
      <c r="B189" s="8" t="s">
        <v>142</v>
      </c>
      <c r="C189" s="8" t="s">
        <v>436</v>
      </c>
      <c r="D189" s="15" t="s">
        <v>577</v>
      </c>
      <c r="E189" s="19"/>
      <c r="F189" s="9">
        <v>8721.4612251677354</v>
      </c>
      <c r="G189" s="9">
        <v>100</v>
      </c>
      <c r="H189" s="24"/>
      <c r="I189" s="9">
        <v>4490.8048446499633</v>
      </c>
      <c r="L189" s="68"/>
      <c r="M189" s="68"/>
    </row>
    <row r="190" spans="2:13" hidden="1">
      <c r="B190" s="6"/>
      <c r="C190" s="6" t="s">
        <v>436</v>
      </c>
      <c r="D190" s="16" t="s">
        <v>71</v>
      </c>
      <c r="E190" s="20" t="s">
        <v>294</v>
      </c>
      <c r="F190" s="7">
        <v>8508.5892526832195</v>
      </c>
      <c r="G190" s="7">
        <v>97.559216661191755</v>
      </c>
      <c r="H190" s="3"/>
      <c r="I190" s="7"/>
      <c r="L190" s="68"/>
      <c r="M190" s="68"/>
    </row>
    <row r="191" spans="2:13" hidden="1">
      <c r="B191" s="8" t="s">
        <v>142</v>
      </c>
      <c r="C191" s="8" t="s">
        <v>437</v>
      </c>
      <c r="D191" s="15" t="s">
        <v>578</v>
      </c>
      <c r="E191" s="19"/>
      <c r="F191" s="9">
        <v>3852.4829076107053</v>
      </c>
      <c r="G191" s="9">
        <v>100</v>
      </c>
      <c r="H191" s="24"/>
      <c r="I191" s="9">
        <v>954.18889804385481</v>
      </c>
      <c r="L191" s="68"/>
      <c r="M191" s="68"/>
    </row>
    <row r="192" spans="2:13" hidden="1">
      <c r="B192" s="6"/>
      <c r="C192" s="6" t="s">
        <v>437</v>
      </c>
      <c r="D192" s="16" t="s">
        <v>72</v>
      </c>
      <c r="E192" s="20" t="s">
        <v>295</v>
      </c>
      <c r="F192" s="7">
        <v>3794.1783592998731</v>
      </c>
      <c r="G192" s="7">
        <v>98.486572174125683</v>
      </c>
      <c r="H192" s="3"/>
      <c r="I192" s="7"/>
      <c r="L192" s="68"/>
      <c r="M192" s="68"/>
    </row>
    <row r="193" spans="2:13" hidden="1">
      <c r="B193" s="8" t="s">
        <v>142</v>
      </c>
      <c r="C193" s="8" t="s">
        <v>438</v>
      </c>
      <c r="D193" s="15" t="s">
        <v>579</v>
      </c>
      <c r="E193" s="19"/>
      <c r="F193" s="9">
        <v>106.96510811492782</v>
      </c>
      <c r="G193" s="9">
        <v>100</v>
      </c>
      <c r="H193" s="24"/>
      <c r="I193" s="9">
        <v>42.833634985445812</v>
      </c>
      <c r="L193" s="68"/>
      <c r="M193" s="68"/>
    </row>
    <row r="194" spans="2:13" hidden="1">
      <c r="B194" s="6"/>
      <c r="C194" s="6" t="s">
        <v>438</v>
      </c>
      <c r="D194" s="16" t="s">
        <v>73</v>
      </c>
      <c r="E194" s="20" t="s">
        <v>296</v>
      </c>
      <c r="F194" s="7">
        <v>84.072049702739776</v>
      </c>
      <c r="G194" s="7">
        <v>78.597639159499778</v>
      </c>
      <c r="H194" s="3"/>
      <c r="I194" s="7"/>
      <c r="L194" s="68"/>
      <c r="M194" s="68"/>
    </row>
    <row r="195" spans="2:13" hidden="1">
      <c r="B195" s="8" t="s">
        <v>142</v>
      </c>
      <c r="C195" s="8" t="s">
        <v>440</v>
      </c>
      <c r="D195" s="15" t="s">
        <v>580</v>
      </c>
      <c r="E195" s="19"/>
      <c r="F195" s="9">
        <v>16180.225770206425</v>
      </c>
      <c r="G195" s="9">
        <v>100</v>
      </c>
      <c r="H195" s="24"/>
      <c r="I195" s="9">
        <v>5364.9640139019011</v>
      </c>
      <c r="L195" s="68"/>
      <c r="M195" s="68"/>
    </row>
    <row r="196" spans="2:13" hidden="1">
      <c r="B196" s="6"/>
      <c r="C196" s="6" t="s">
        <v>440</v>
      </c>
      <c r="D196" s="16" t="s">
        <v>75</v>
      </c>
      <c r="E196" s="20" t="s">
        <v>297</v>
      </c>
      <c r="F196" s="7">
        <v>15336.787155729302</v>
      </c>
      <c r="G196" s="7">
        <v>94.787225923446655</v>
      </c>
      <c r="H196" s="3"/>
      <c r="I196" s="7"/>
      <c r="L196" s="68"/>
      <c r="M196" s="68"/>
    </row>
    <row r="197" spans="2:13" hidden="1">
      <c r="B197" s="8" t="s">
        <v>142</v>
      </c>
      <c r="C197" s="8" t="s">
        <v>441</v>
      </c>
      <c r="D197" s="15" t="s">
        <v>581</v>
      </c>
      <c r="E197" s="19"/>
      <c r="F197" s="9">
        <v>6438.1343358258109</v>
      </c>
      <c r="G197" s="9">
        <v>100</v>
      </c>
      <c r="H197" s="24"/>
      <c r="I197" s="9">
        <v>1477.7477806931174</v>
      </c>
      <c r="L197" s="68"/>
      <c r="M197" s="68"/>
    </row>
    <row r="198" spans="2:13" hidden="1">
      <c r="B198" s="4"/>
      <c r="C198" s="4" t="s">
        <v>441</v>
      </c>
      <c r="D198" s="17" t="s">
        <v>77</v>
      </c>
      <c r="E198" s="21" t="s">
        <v>299</v>
      </c>
      <c r="F198" s="5">
        <v>4008.4519942159791</v>
      </c>
      <c r="G198" s="5">
        <v>62.261080386447397</v>
      </c>
      <c r="H198" s="3"/>
      <c r="I198" s="5"/>
      <c r="L198" s="68"/>
      <c r="M198" s="68"/>
    </row>
    <row r="199" spans="2:13" hidden="1">
      <c r="B199" s="6"/>
      <c r="C199" s="6" t="s">
        <v>441</v>
      </c>
      <c r="D199" s="16" t="s">
        <v>76</v>
      </c>
      <c r="E199" s="20" t="s">
        <v>298</v>
      </c>
      <c r="F199" s="7">
        <v>2162.1095957702273</v>
      </c>
      <c r="G199" s="7">
        <v>33.582859303492562</v>
      </c>
      <c r="H199" s="3"/>
      <c r="I199" s="7"/>
      <c r="L199" s="68"/>
      <c r="M199" s="68"/>
    </row>
    <row r="200" spans="2:13" hidden="1">
      <c r="B200" s="8" t="s">
        <v>142</v>
      </c>
      <c r="C200" s="8" t="s">
        <v>442</v>
      </c>
      <c r="D200" s="15" t="s">
        <v>582</v>
      </c>
      <c r="E200" s="19"/>
      <c r="F200" s="9">
        <v>9182.8126362122694</v>
      </c>
      <c r="G200" s="9">
        <v>100</v>
      </c>
      <c r="H200" s="24"/>
      <c r="I200" s="9">
        <v>2897.0784764291157</v>
      </c>
      <c r="L200" s="68"/>
      <c r="M200" s="68"/>
    </row>
    <row r="201" spans="2:13" hidden="1">
      <c r="B201" s="4"/>
      <c r="C201" s="4" t="s">
        <v>442</v>
      </c>
      <c r="D201" s="17" t="s">
        <v>84</v>
      </c>
      <c r="E201" s="21" t="s">
        <v>307</v>
      </c>
      <c r="F201" s="5">
        <v>5165.8367065969996</v>
      </c>
      <c r="G201" s="5">
        <v>56.255495034556283</v>
      </c>
      <c r="H201" s="3"/>
      <c r="I201" s="5"/>
      <c r="L201" s="68"/>
      <c r="M201" s="68"/>
    </row>
    <row r="202" spans="2:13" hidden="1">
      <c r="B202" s="4"/>
      <c r="C202" s="4" t="s">
        <v>442</v>
      </c>
      <c r="D202" s="17" t="s">
        <v>78</v>
      </c>
      <c r="E202" s="21" t="s">
        <v>300</v>
      </c>
      <c r="F202" s="5">
        <v>1729.0049478832491</v>
      </c>
      <c r="G202" s="5">
        <v>18.828707677917187</v>
      </c>
      <c r="H202" s="3"/>
      <c r="I202" s="5"/>
      <c r="L202" s="68"/>
      <c r="M202" s="68"/>
    </row>
    <row r="203" spans="2:13" hidden="1">
      <c r="B203" s="4"/>
      <c r="C203" s="4" t="s">
        <v>442</v>
      </c>
      <c r="D203" s="17" t="s">
        <v>79</v>
      </c>
      <c r="E203" s="21" t="s">
        <v>301</v>
      </c>
      <c r="F203" s="5">
        <v>1009.6467405574847</v>
      </c>
      <c r="G203" s="5">
        <v>10.994961789549745</v>
      </c>
      <c r="H203" s="3"/>
      <c r="I203" s="5"/>
      <c r="L203" s="68"/>
      <c r="M203" s="68"/>
    </row>
    <row r="204" spans="2:13" hidden="1">
      <c r="B204" s="4"/>
      <c r="C204" s="4" t="s">
        <v>442</v>
      </c>
      <c r="D204" s="17" t="s">
        <v>642</v>
      </c>
      <c r="E204" s="21" t="s">
        <v>643</v>
      </c>
      <c r="F204" s="5">
        <v>841.89557412000022</v>
      </c>
      <c r="G204" s="5">
        <v>9.1681667422898183</v>
      </c>
      <c r="H204" s="3"/>
      <c r="I204" s="5"/>
      <c r="L204" s="68"/>
      <c r="M204" s="68"/>
    </row>
    <row r="205" spans="2:13" hidden="1">
      <c r="B205" s="8" t="s">
        <v>142</v>
      </c>
      <c r="C205" s="8" t="s">
        <v>423</v>
      </c>
      <c r="D205" s="15" t="s">
        <v>583</v>
      </c>
      <c r="E205" s="19"/>
      <c r="F205" s="9">
        <v>9233.8962785053245</v>
      </c>
      <c r="G205" s="9">
        <v>100</v>
      </c>
      <c r="H205" s="24"/>
      <c r="I205" s="9">
        <v>3485.72406075855</v>
      </c>
      <c r="L205" s="68"/>
      <c r="M205" s="68"/>
    </row>
    <row r="206" spans="2:13" hidden="1">
      <c r="B206" s="6"/>
      <c r="C206" s="6" t="s">
        <v>423</v>
      </c>
      <c r="D206" s="16" t="s">
        <v>80</v>
      </c>
      <c r="E206" s="20" t="s">
        <v>302</v>
      </c>
      <c r="F206" s="7">
        <v>8381.0069490246187</v>
      </c>
      <c r="G206" s="7">
        <v>90.763494588237222</v>
      </c>
      <c r="H206" s="3"/>
      <c r="I206" s="7"/>
      <c r="L206" s="68"/>
      <c r="M206" s="68"/>
    </row>
    <row r="207" spans="2:13" hidden="1">
      <c r="B207" s="8" t="s">
        <v>142</v>
      </c>
      <c r="C207" s="8" t="s">
        <v>443</v>
      </c>
      <c r="D207" s="15" t="s">
        <v>584</v>
      </c>
      <c r="E207" s="19"/>
      <c r="F207" s="9">
        <v>2015.2722334135103</v>
      </c>
      <c r="G207" s="9">
        <v>100</v>
      </c>
      <c r="H207" s="24"/>
      <c r="I207" s="9">
        <v>824.95014759750165</v>
      </c>
      <c r="L207" s="68"/>
      <c r="M207" s="68"/>
    </row>
    <row r="208" spans="2:13" hidden="1">
      <c r="B208" s="4"/>
      <c r="C208" s="4" t="s">
        <v>443</v>
      </c>
      <c r="D208" s="17" t="s">
        <v>82</v>
      </c>
      <c r="E208" s="21" t="s">
        <v>304</v>
      </c>
      <c r="F208" s="5">
        <v>1407.8449223281104</v>
      </c>
      <c r="G208" s="5">
        <v>69.858796195662023</v>
      </c>
      <c r="H208" s="3"/>
      <c r="I208" s="5"/>
      <c r="L208" s="68"/>
      <c r="M208" s="68"/>
    </row>
    <row r="209" spans="2:13" hidden="1">
      <c r="B209" s="6"/>
      <c r="C209" s="6" t="s">
        <v>443</v>
      </c>
      <c r="D209" s="16" t="s">
        <v>81</v>
      </c>
      <c r="E209" s="20" t="s">
        <v>303</v>
      </c>
      <c r="F209" s="7">
        <v>269.28323503164512</v>
      </c>
      <c r="G209" s="7">
        <v>13.362126990432827</v>
      </c>
      <c r="H209" s="3"/>
      <c r="I209" s="7"/>
      <c r="L209" s="68"/>
      <c r="M209" s="68"/>
    </row>
    <row r="210" spans="2:13">
      <c r="B210" s="10" t="s">
        <v>147</v>
      </c>
      <c r="C210" s="11" t="s">
        <v>148</v>
      </c>
      <c r="D210" s="11"/>
      <c r="E210" s="11"/>
      <c r="F210" s="12">
        <v>27848.680540852954</v>
      </c>
      <c r="G210" s="23"/>
      <c r="H210" s="3"/>
      <c r="I210" s="67">
        <v>17019.65984649547</v>
      </c>
      <c r="J210" s="69">
        <f>I210/$I$366</f>
        <v>3.1523408614132262E-2</v>
      </c>
      <c r="L210" s="68"/>
      <c r="M210" s="68"/>
    </row>
    <row r="211" spans="2:13" hidden="1">
      <c r="B211" s="8" t="s">
        <v>147</v>
      </c>
      <c r="C211" s="8" t="s">
        <v>445</v>
      </c>
      <c r="D211" s="15" t="s">
        <v>148</v>
      </c>
      <c r="E211" s="19"/>
      <c r="F211" s="9">
        <v>20749.447699276145</v>
      </c>
      <c r="G211" s="9">
        <v>100</v>
      </c>
      <c r="H211" s="24"/>
      <c r="I211" s="9">
        <v>12093.331056389025</v>
      </c>
      <c r="L211" s="68"/>
      <c r="M211" s="68"/>
    </row>
    <row r="212" spans="2:13" hidden="1">
      <c r="B212" s="4"/>
      <c r="C212" s="4" t="s">
        <v>445</v>
      </c>
      <c r="D212" s="17" t="s">
        <v>87</v>
      </c>
      <c r="E212" s="21" t="s">
        <v>309</v>
      </c>
      <c r="F212" s="5">
        <v>12522.850540199855</v>
      </c>
      <c r="G212" s="5">
        <v>60.352693342467724</v>
      </c>
      <c r="H212" s="3"/>
      <c r="I212" s="5"/>
      <c r="L212" s="68"/>
      <c r="M212" s="68"/>
    </row>
    <row r="213" spans="2:13" hidden="1">
      <c r="B213" s="6"/>
      <c r="C213" s="6" t="s">
        <v>445</v>
      </c>
      <c r="D213" s="16" t="s">
        <v>200</v>
      </c>
      <c r="E213" s="20" t="s">
        <v>310</v>
      </c>
      <c r="F213" s="7">
        <v>5184.386541384778</v>
      </c>
      <c r="G213" s="7">
        <v>24.985660421051296</v>
      </c>
      <c r="H213" s="3"/>
      <c r="I213" s="7"/>
      <c r="L213" s="68"/>
      <c r="M213" s="68"/>
    </row>
    <row r="214" spans="2:13" hidden="1">
      <c r="B214" s="8" t="s">
        <v>147</v>
      </c>
      <c r="C214" s="8" t="s">
        <v>446</v>
      </c>
      <c r="D214" s="15" t="s">
        <v>585</v>
      </c>
      <c r="E214" s="19"/>
      <c r="F214" s="9">
        <v>4828.2384174456529</v>
      </c>
      <c r="G214" s="9">
        <v>100</v>
      </c>
      <c r="H214" s="24"/>
      <c r="I214" s="9">
        <v>3543.0784123366725</v>
      </c>
      <c r="L214" s="68"/>
      <c r="M214" s="68"/>
    </row>
    <row r="215" spans="2:13" hidden="1">
      <c r="B215" s="6"/>
      <c r="C215" s="6" t="s">
        <v>446</v>
      </c>
      <c r="D215" s="16" t="s">
        <v>88</v>
      </c>
      <c r="E215" s="20" t="s">
        <v>311</v>
      </c>
      <c r="F215" s="7">
        <v>4644.9818279566371</v>
      </c>
      <c r="G215" s="7">
        <v>96.204483423460132</v>
      </c>
      <c r="H215" s="3"/>
      <c r="I215" s="7"/>
      <c r="L215" s="68"/>
      <c r="M215" s="68"/>
    </row>
    <row r="216" spans="2:13" hidden="1">
      <c r="B216" s="8" t="s">
        <v>147</v>
      </c>
      <c r="C216" s="8" t="s">
        <v>427</v>
      </c>
      <c r="D216" s="15" t="s">
        <v>586</v>
      </c>
      <c r="E216" s="19"/>
      <c r="F216" s="9">
        <v>2270.9944241311578</v>
      </c>
      <c r="G216" s="9">
        <v>100</v>
      </c>
      <c r="H216" s="24"/>
      <c r="I216" s="9">
        <v>1383.2503777697725</v>
      </c>
      <c r="L216" s="68"/>
      <c r="M216" s="68"/>
    </row>
    <row r="217" spans="2:13" hidden="1">
      <c r="B217" s="4"/>
      <c r="C217" s="4" t="s">
        <v>427</v>
      </c>
      <c r="D217" s="17" t="s">
        <v>89</v>
      </c>
      <c r="E217" s="21" t="s">
        <v>312</v>
      </c>
      <c r="F217" s="5">
        <v>951.39940932278819</v>
      </c>
      <c r="G217" s="5">
        <v>41.893515863068522</v>
      </c>
      <c r="H217" s="3"/>
      <c r="I217" s="5"/>
      <c r="L217" s="68"/>
      <c r="M217" s="68"/>
    </row>
    <row r="218" spans="2:13" hidden="1">
      <c r="B218" s="4"/>
      <c r="C218" s="4" t="s">
        <v>427</v>
      </c>
      <c r="D218" s="17" t="s">
        <v>85</v>
      </c>
      <c r="E218" s="21" t="s">
        <v>306</v>
      </c>
      <c r="F218" s="5">
        <v>821.03993597269107</v>
      </c>
      <c r="G218" s="5">
        <v>36.153322405747716</v>
      </c>
      <c r="H218" s="3"/>
      <c r="I218" s="5"/>
      <c r="L218" s="68"/>
      <c r="M218" s="68"/>
    </row>
    <row r="219" spans="2:13" hidden="1">
      <c r="B219" s="6"/>
      <c r="C219" s="6" t="s">
        <v>427</v>
      </c>
      <c r="D219" s="16" t="s">
        <v>96</v>
      </c>
      <c r="E219" s="20" t="s">
        <v>305</v>
      </c>
      <c r="F219" s="7">
        <v>393.84013524704619</v>
      </c>
      <c r="G219" s="7">
        <v>17.342188561194838</v>
      </c>
      <c r="H219" s="3"/>
      <c r="I219" s="7"/>
      <c r="L219" s="68"/>
      <c r="M219" s="68"/>
    </row>
    <row r="220" spans="2:13">
      <c r="B220" s="10" t="s">
        <v>149</v>
      </c>
      <c r="C220" s="11" t="s">
        <v>150</v>
      </c>
      <c r="D220" s="11"/>
      <c r="E220" s="11"/>
      <c r="F220" s="12">
        <v>94365.673229565873</v>
      </c>
      <c r="G220" s="23"/>
      <c r="H220" s="3"/>
      <c r="I220" s="67">
        <v>42109.533179720645</v>
      </c>
      <c r="J220" s="69">
        <f>I220/$I$366</f>
        <v>7.7994274441861272E-2</v>
      </c>
      <c r="L220" s="68"/>
      <c r="M220" s="68"/>
    </row>
    <row r="221" spans="2:13" hidden="1">
      <c r="B221" s="8" t="s">
        <v>149</v>
      </c>
      <c r="C221" s="8" t="s">
        <v>448</v>
      </c>
      <c r="D221" s="15" t="s">
        <v>587</v>
      </c>
      <c r="E221" s="19"/>
      <c r="F221" s="9">
        <v>38374.52923030599</v>
      </c>
      <c r="G221" s="9">
        <v>100</v>
      </c>
      <c r="H221" s="24"/>
      <c r="I221" s="9">
        <v>18547.442704415578</v>
      </c>
      <c r="L221" s="68"/>
      <c r="M221" s="68"/>
    </row>
    <row r="222" spans="2:13" hidden="1">
      <c r="B222" s="4"/>
      <c r="C222" s="4" t="s">
        <v>448</v>
      </c>
      <c r="D222" s="17" t="s">
        <v>90</v>
      </c>
      <c r="E222" s="21" t="s">
        <v>313</v>
      </c>
      <c r="F222" s="5">
        <v>16475.514966933733</v>
      </c>
      <c r="G222" s="5">
        <v>42.9334647157634</v>
      </c>
      <c r="H222" s="3"/>
      <c r="I222" s="5"/>
      <c r="L222" s="68"/>
      <c r="M222" s="68"/>
    </row>
    <row r="223" spans="2:13" hidden="1">
      <c r="B223" s="4"/>
      <c r="C223" s="4" t="s">
        <v>448</v>
      </c>
      <c r="D223" s="17" t="s">
        <v>201</v>
      </c>
      <c r="E223" s="21" t="s">
        <v>314</v>
      </c>
      <c r="F223" s="5">
        <v>14207.568281254004</v>
      </c>
      <c r="G223" s="5">
        <v>37.023433423734836</v>
      </c>
      <c r="H223" s="3"/>
      <c r="I223" s="5"/>
      <c r="L223" s="68"/>
      <c r="M223" s="68"/>
    </row>
    <row r="224" spans="2:13" hidden="1">
      <c r="B224" s="6"/>
      <c r="C224" s="6" t="s">
        <v>448</v>
      </c>
      <c r="D224" s="16" t="s">
        <v>86</v>
      </c>
      <c r="E224" s="20" t="s">
        <v>315</v>
      </c>
      <c r="F224" s="7">
        <v>7691.4459821182545</v>
      </c>
      <c r="G224" s="7">
        <v>20.043101860501768</v>
      </c>
      <c r="H224" s="3"/>
      <c r="I224" s="7"/>
      <c r="L224" s="68"/>
      <c r="M224" s="68"/>
    </row>
    <row r="225" spans="2:13" hidden="1">
      <c r="B225" s="8" t="s">
        <v>149</v>
      </c>
      <c r="C225" s="8" t="s">
        <v>447</v>
      </c>
      <c r="D225" s="15" t="s">
        <v>587</v>
      </c>
      <c r="E225" s="19"/>
      <c r="F225" s="9">
        <v>23981.682475291247</v>
      </c>
      <c r="G225" s="9">
        <v>100</v>
      </c>
      <c r="H225" s="24"/>
      <c r="I225" s="9">
        <v>10176.0131989127</v>
      </c>
      <c r="L225" s="68"/>
      <c r="M225" s="68"/>
    </row>
    <row r="226" spans="2:13" hidden="1">
      <c r="B226" s="6"/>
      <c r="C226" s="6" t="s">
        <v>447</v>
      </c>
      <c r="D226" s="16" t="s">
        <v>90</v>
      </c>
      <c r="E226" s="20" t="s">
        <v>313</v>
      </c>
      <c r="F226" s="7">
        <v>23953.142218279758</v>
      </c>
      <c r="G226" s="7">
        <v>99.880991431519064</v>
      </c>
      <c r="H226" s="3"/>
      <c r="I226" s="7"/>
      <c r="L226" s="68"/>
      <c r="M226" s="68"/>
    </row>
    <row r="227" spans="2:13" hidden="1">
      <c r="B227" s="8" t="s">
        <v>149</v>
      </c>
      <c r="C227" s="8" t="s">
        <v>439</v>
      </c>
      <c r="D227" s="15" t="s">
        <v>588</v>
      </c>
      <c r="E227" s="19"/>
      <c r="F227" s="9">
        <v>27490.035870215805</v>
      </c>
      <c r="G227" s="9">
        <v>100</v>
      </c>
      <c r="H227" s="24"/>
      <c r="I227" s="9">
        <v>10920.516163037231</v>
      </c>
      <c r="L227" s="68"/>
      <c r="M227" s="68"/>
    </row>
    <row r="228" spans="2:13" hidden="1">
      <c r="B228" s="6"/>
      <c r="C228" s="6" t="s">
        <v>439</v>
      </c>
      <c r="D228" s="16" t="s">
        <v>91</v>
      </c>
      <c r="E228" s="20" t="s">
        <v>518</v>
      </c>
      <c r="F228" s="7">
        <v>19521.607742576605</v>
      </c>
      <c r="G228" s="7">
        <v>71.01339494331971</v>
      </c>
      <c r="H228" s="3"/>
      <c r="I228" s="7"/>
      <c r="L228" s="68"/>
      <c r="M228" s="68"/>
    </row>
    <row r="229" spans="2:13" hidden="1">
      <c r="B229" s="8" t="s">
        <v>149</v>
      </c>
      <c r="C229" s="8" t="s">
        <v>632</v>
      </c>
      <c r="D229" s="15" t="s">
        <v>588</v>
      </c>
      <c r="E229" s="19"/>
      <c r="F229" s="9">
        <v>435.43587481647398</v>
      </c>
      <c r="G229" s="9">
        <v>100</v>
      </c>
      <c r="H229" s="24"/>
      <c r="I229" s="9">
        <v>212.94158917738261</v>
      </c>
      <c r="L229" s="68"/>
      <c r="M229" s="68"/>
    </row>
    <row r="230" spans="2:13" hidden="1">
      <c r="B230" s="6"/>
      <c r="C230" s="6" t="s">
        <v>632</v>
      </c>
      <c r="D230" s="16" t="s">
        <v>91</v>
      </c>
      <c r="E230" s="20" t="s">
        <v>518</v>
      </c>
      <c r="F230" s="7">
        <v>435.43587481647398</v>
      </c>
      <c r="G230" s="7">
        <v>100</v>
      </c>
      <c r="H230" s="3"/>
      <c r="I230" s="7"/>
      <c r="L230" s="68"/>
      <c r="M230" s="68"/>
    </row>
    <row r="231" spans="2:13" hidden="1">
      <c r="B231" s="8" t="s">
        <v>149</v>
      </c>
      <c r="C231" s="8" t="s">
        <v>449</v>
      </c>
      <c r="D231" s="15" t="s">
        <v>589</v>
      </c>
      <c r="E231" s="19"/>
      <c r="F231" s="9">
        <v>4083.9897789363677</v>
      </c>
      <c r="G231" s="9">
        <v>100</v>
      </c>
      <c r="H231" s="24"/>
      <c r="I231" s="9">
        <v>2252.6195241777541</v>
      </c>
      <c r="L231" s="68"/>
      <c r="M231" s="68"/>
    </row>
    <row r="232" spans="2:13" hidden="1">
      <c r="B232" s="6"/>
      <c r="C232" s="6" t="s">
        <v>449</v>
      </c>
      <c r="D232" s="16" t="s">
        <v>86</v>
      </c>
      <c r="E232" s="20" t="s">
        <v>315</v>
      </c>
      <c r="F232" s="7">
        <v>3818.8090674535506</v>
      </c>
      <c r="G232" s="7">
        <v>93.506822351747402</v>
      </c>
      <c r="H232" s="3"/>
      <c r="I232" s="7"/>
      <c r="L232" s="68"/>
      <c r="M232" s="68"/>
    </row>
    <row r="233" spans="2:13">
      <c r="B233" s="10" t="s">
        <v>151</v>
      </c>
      <c r="C233" s="11" t="s">
        <v>152</v>
      </c>
      <c r="D233" s="11"/>
      <c r="E233" s="11"/>
      <c r="F233" s="12">
        <v>207299.06309842371</v>
      </c>
      <c r="G233" s="23"/>
      <c r="H233" s="3"/>
      <c r="I233" s="67">
        <v>152650.8103479053</v>
      </c>
      <c r="J233" s="69"/>
      <c r="L233" s="68"/>
      <c r="M233" s="68"/>
    </row>
    <row r="234" spans="2:13" hidden="1">
      <c r="B234" s="8" t="s">
        <v>151</v>
      </c>
      <c r="C234" s="8" t="s">
        <v>450</v>
      </c>
      <c r="D234" s="15" t="s">
        <v>590</v>
      </c>
      <c r="E234" s="19"/>
      <c r="F234" s="9">
        <v>191741.69560840962</v>
      </c>
      <c r="G234" s="9">
        <v>100</v>
      </c>
      <c r="H234" s="24"/>
      <c r="I234" s="9">
        <v>141617.77102402865</v>
      </c>
      <c r="L234" s="68"/>
      <c r="M234" s="68"/>
    </row>
    <row r="235" spans="2:13" hidden="1">
      <c r="B235" s="6"/>
      <c r="C235" s="6" t="s">
        <v>450</v>
      </c>
      <c r="D235" s="16" t="s">
        <v>92</v>
      </c>
      <c r="E235" s="20" t="s">
        <v>316</v>
      </c>
      <c r="F235" s="7">
        <v>186110.70540602412</v>
      </c>
      <c r="G235" s="7">
        <v>97.063241678072174</v>
      </c>
      <c r="H235" s="3"/>
      <c r="I235" s="7"/>
      <c r="L235" s="68"/>
      <c r="M235" s="68"/>
    </row>
    <row r="236" spans="2:13" hidden="1">
      <c r="B236" s="8" t="s">
        <v>151</v>
      </c>
      <c r="C236" s="8" t="s">
        <v>451</v>
      </c>
      <c r="D236" s="15" t="s">
        <v>591</v>
      </c>
      <c r="E236" s="19"/>
      <c r="F236" s="9">
        <v>15557.367490014092</v>
      </c>
      <c r="G236" s="9">
        <v>100</v>
      </c>
      <c r="H236" s="24"/>
      <c r="I236" s="9">
        <v>11033.039323876648</v>
      </c>
      <c r="L236" s="68"/>
      <c r="M236" s="68"/>
    </row>
    <row r="237" spans="2:13" hidden="1">
      <c r="B237" s="6"/>
      <c r="C237" s="6" t="s">
        <v>451</v>
      </c>
      <c r="D237" s="16" t="s">
        <v>93</v>
      </c>
      <c r="E237" s="20" t="s">
        <v>317</v>
      </c>
      <c r="F237" s="7">
        <v>14849.389820888568</v>
      </c>
      <c r="G237" s="7">
        <v>95.449245062958383</v>
      </c>
      <c r="H237" s="3"/>
      <c r="I237" s="7"/>
      <c r="L237" s="68"/>
      <c r="M237" s="68"/>
    </row>
    <row r="238" spans="2:13">
      <c r="B238" s="10" t="s">
        <v>153</v>
      </c>
      <c r="C238" s="11" t="s">
        <v>154</v>
      </c>
      <c r="D238" s="11"/>
      <c r="E238" s="11"/>
      <c r="F238" s="12">
        <v>40619.083515529441</v>
      </c>
      <c r="G238" s="23"/>
      <c r="H238" s="3"/>
      <c r="I238" s="67">
        <v>22115.181092845429</v>
      </c>
      <c r="J238" s="69">
        <f>I238/$I$366</f>
        <v>4.0961211707697454E-2</v>
      </c>
      <c r="L238" s="68"/>
      <c r="M238" s="68"/>
    </row>
    <row r="239" spans="2:13" hidden="1">
      <c r="B239" s="8" t="s">
        <v>153</v>
      </c>
      <c r="C239" s="8" t="s">
        <v>452</v>
      </c>
      <c r="D239" s="15" t="s">
        <v>592</v>
      </c>
      <c r="E239" s="19"/>
      <c r="F239" s="9">
        <v>27961.367075712271</v>
      </c>
      <c r="G239" s="9">
        <v>100</v>
      </c>
      <c r="H239" s="24"/>
      <c r="I239" s="9">
        <v>15768.626761779653</v>
      </c>
      <c r="L239" s="68"/>
      <c r="M239" s="68"/>
    </row>
    <row r="240" spans="2:13" hidden="1">
      <c r="B240" s="4"/>
      <c r="C240" s="4" t="s">
        <v>452</v>
      </c>
      <c r="D240" s="17" t="s">
        <v>95</v>
      </c>
      <c r="E240" s="21" t="s">
        <v>319</v>
      </c>
      <c r="F240" s="5">
        <v>17923.416647085971</v>
      </c>
      <c r="G240" s="5">
        <v>64.100645002634948</v>
      </c>
      <c r="H240" s="3"/>
      <c r="I240" s="5"/>
      <c r="L240" s="68"/>
      <c r="M240" s="68"/>
    </row>
    <row r="241" spans="2:13" hidden="1">
      <c r="B241" s="6"/>
      <c r="C241" s="6" t="s">
        <v>452</v>
      </c>
      <c r="D241" s="16" t="s">
        <v>94</v>
      </c>
      <c r="E241" s="20" t="s">
        <v>318</v>
      </c>
      <c r="F241" s="7">
        <v>9303.5040867944972</v>
      </c>
      <c r="G241" s="7">
        <v>33.272708239203666</v>
      </c>
      <c r="H241" s="3"/>
      <c r="I241" s="7"/>
      <c r="L241" s="68"/>
      <c r="M241" s="68"/>
    </row>
    <row r="242" spans="2:13" hidden="1">
      <c r="B242" s="8" t="s">
        <v>153</v>
      </c>
      <c r="C242" s="8" t="s">
        <v>453</v>
      </c>
      <c r="D242" s="15" t="s">
        <v>593</v>
      </c>
      <c r="E242" s="19"/>
      <c r="F242" s="9">
        <v>741.32555522859457</v>
      </c>
      <c r="G242" s="9">
        <v>100</v>
      </c>
      <c r="H242" s="24"/>
      <c r="I242" s="9">
        <v>423.12032343796017</v>
      </c>
      <c r="L242" s="68"/>
      <c r="M242" s="68"/>
    </row>
    <row r="243" spans="2:13" hidden="1">
      <c r="B243" s="6"/>
      <c r="C243" s="6" t="s">
        <v>453</v>
      </c>
      <c r="D243" s="16" t="s">
        <v>97</v>
      </c>
      <c r="E243" s="20" t="s">
        <v>320</v>
      </c>
      <c r="F243" s="7">
        <v>654.05200243689694</v>
      </c>
      <c r="G243" s="7">
        <v>88.227364863364784</v>
      </c>
      <c r="H243" s="3"/>
      <c r="I243" s="7"/>
      <c r="L243" s="68"/>
      <c r="M243" s="68"/>
    </row>
    <row r="244" spans="2:13" hidden="1">
      <c r="B244" s="8" t="s">
        <v>153</v>
      </c>
      <c r="C244" s="8" t="s">
        <v>454</v>
      </c>
      <c r="D244" s="15" t="s">
        <v>594</v>
      </c>
      <c r="E244" s="19"/>
      <c r="F244" s="9">
        <v>10156.599153194766</v>
      </c>
      <c r="G244" s="9">
        <v>100</v>
      </c>
      <c r="H244" s="24"/>
      <c r="I244" s="9">
        <v>5033.6150368828366</v>
      </c>
      <c r="L244" s="68"/>
      <c r="M244" s="68"/>
    </row>
    <row r="245" spans="2:13" hidden="1">
      <c r="B245" s="6"/>
      <c r="C245" s="6" t="s">
        <v>454</v>
      </c>
      <c r="D245" s="16" t="s">
        <v>98</v>
      </c>
      <c r="E245" s="20" t="s">
        <v>321</v>
      </c>
      <c r="F245" s="7">
        <v>9493.27967153797</v>
      </c>
      <c r="G245" s="7">
        <v>93.46907885551289</v>
      </c>
      <c r="H245" s="3"/>
      <c r="I245" s="7"/>
      <c r="L245" s="68"/>
      <c r="M245" s="68"/>
    </row>
    <row r="246" spans="2:13" hidden="1">
      <c r="B246" s="8" t="s">
        <v>153</v>
      </c>
      <c r="C246" s="8" t="s">
        <v>455</v>
      </c>
      <c r="D246" s="15" t="s">
        <v>595</v>
      </c>
      <c r="E246" s="19"/>
      <c r="F246" s="9">
        <v>1759.7917313938119</v>
      </c>
      <c r="G246" s="9">
        <v>100</v>
      </c>
      <c r="H246" s="24"/>
      <c r="I246" s="9">
        <v>889.81897074497704</v>
      </c>
      <c r="L246" s="68"/>
      <c r="M246" s="68"/>
    </row>
    <row r="247" spans="2:13" hidden="1">
      <c r="B247" s="6"/>
      <c r="C247" s="6" t="s">
        <v>455</v>
      </c>
      <c r="D247" s="16" t="s">
        <v>99</v>
      </c>
      <c r="E247" s="20" t="s">
        <v>322</v>
      </c>
      <c r="F247" s="7">
        <v>1751.0008059317395</v>
      </c>
      <c r="G247" s="7">
        <v>99.500456485546181</v>
      </c>
      <c r="H247" s="3"/>
      <c r="I247" s="7"/>
      <c r="L247" s="68"/>
      <c r="M247" s="68"/>
    </row>
    <row r="248" spans="2:13">
      <c r="B248" s="10" t="s">
        <v>155</v>
      </c>
      <c r="C248" s="11" t="s">
        <v>156</v>
      </c>
      <c r="D248" s="11"/>
      <c r="E248" s="11"/>
      <c r="F248" s="12">
        <v>52059.263219826214</v>
      </c>
      <c r="G248" s="23"/>
      <c r="H248" s="3"/>
      <c r="I248" s="67">
        <v>20838.978143122407</v>
      </c>
      <c r="J248" s="69">
        <f>I248/$I$366</f>
        <v>3.8597458999269293E-2</v>
      </c>
      <c r="L248" s="68"/>
      <c r="M248" s="68"/>
    </row>
    <row r="249" spans="2:13" hidden="1">
      <c r="B249" s="8" t="s">
        <v>155</v>
      </c>
      <c r="C249" s="8" t="s">
        <v>456</v>
      </c>
      <c r="D249" s="15" t="s">
        <v>596</v>
      </c>
      <c r="E249" s="19"/>
      <c r="F249" s="9">
        <v>3285.8738433470317</v>
      </c>
      <c r="G249" s="9">
        <v>100</v>
      </c>
      <c r="H249" s="24"/>
      <c r="I249" s="9">
        <v>1888.7155080501059</v>
      </c>
      <c r="L249" s="68"/>
      <c r="M249" s="68"/>
    </row>
    <row r="250" spans="2:13" hidden="1">
      <c r="B250" s="6"/>
      <c r="C250" s="6" t="s">
        <v>456</v>
      </c>
      <c r="D250" s="16" t="s">
        <v>100</v>
      </c>
      <c r="E250" s="20" t="s">
        <v>323</v>
      </c>
      <c r="F250" s="7">
        <v>2675.7821385347952</v>
      </c>
      <c r="G250" s="7">
        <v>81.432893230289409</v>
      </c>
      <c r="H250" s="3"/>
      <c r="I250" s="7"/>
      <c r="L250" s="68"/>
      <c r="M250" s="68"/>
    </row>
    <row r="251" spans="2:13" hidden="1">
      <c r="B251" s="8" t="s">
        <v>155</v>
      </c>
      <c r="C251" s="8" t="s">
        <v>457</v>
      </c>
      <c r="D251" s="15" t="s">
        <v>597</v>
      </c>
      <c r="E251" s="19"/>
      <c r="F251" s="9">
        <v>48773.389376479186</v>
      </c>
      <c r="G251" s="9">
        <v>100</v>
      </c>
      <c r="H251" s="24"/>
      <c r="I251" s="9">
        <v>18950.2626350723</v>
      </c>
      <c r="L251" s="68"/>
      <c r="M251" s="68"/>
    </row>
    <row r="252" spans="2:13" hidden="1">
      <c r="B252" s="6"/>
      <c r="C252" s="6" t="s">
        <v>457</v>
      </c>
      <c r="D252" s="16" t="s">
        <v>101</v>
      </c>
      <c r="E252" s="20" t="s">
        <v>324</v>
      </c>
      <c r="F252" s="7">
        <v>47778.975060470912</v>
      </c>
      <c r="G252" s="7">
        <v>97.961153963829645</v>
      </c>
      <c r="H252" s="3"/>
      <c r="I252" s="7"/>
      <c r="L252" s="68"/>
      <c r="M252" s="68"/>
    </row>
    <row r="253" spans="2:13">
      <c r="B253" s="10" t="s">
        <v>157</v>
      </c>
      <c r="C253" s="11" t="s">
        <v>158</v>
      </c>
      <c r="D253" s="11"/>
      <c r="E253" s="11"/>
      <c r="F253" s="12">
        <v>43043.220921714732</v>
      </c>
      <c r="G253" s="23"/>
      <c r="H253" s="3"/>
      <c r="I253" s="67">
        <v>25081.17145240464</v>
      </c>
      <c r="J253" s="69">
        <f>I253/$I$366</f>
        <v>4.6454748411324021E-2</v>
      </c>
      <c r="L253" s="68"/>
      <c r="M253" s="68"/>
    </row>
    <row r="254" spans="2:13" hidden="1">
      <c r="B254" s="8" t="s">
        <v>157</v>
      </c>
      <c r="C254" s="8" t="s">
        <v>458</v>
      </c>
      <c r="D254" s="15" t="s">
        <v>598</v>
      </c>
      <c r="E254" s="19"/>
      <c r="F254" s="9">
        <v>2318.3429286318378</v>
      </c>
      <c r="G254" s="9">
        <v>100</v>
      </c>
      <c r="H254" s="24"/>
      <c r="I254" s="9">
        <v>1258.2771735762956</v>
      </c>
      <c r="L254" s="68"/>
      <c r="M254" s="68"/>
    </row>
    <row r="255" spans="2:13" hidden="1">
      <c r="B255" s="4"/>
      <c r="C255" s="4" t="s">
        <v>458</v>
      </c>
      <c r="D255" s="17" t="s">
        <v>83</v>
      </c>
      <c r="E255" s="21" t="s">
        <v>325</v>
      </c>
      <c r="F255" s="5">
        <v>1717.6392374396237</v>
      </c>
      <c r="G255" s="5">
        <v>74.08909252494766</v>
      </c>
      <c r="H255" s="3"/>
      <c r="I255" s="5"/>
      <c r="L255" s="68"/>
      <c r="M255" s="68"/>
    </row>
    <row r="256" spans="2:13" hidden="1">
      <c r="B256" s="6"/>
      <c r="C256" s="6" t="s">
        <v>458</v>
      </c>
      <c r="D256" s="16" t="s">
        <v>117</v>
      </c>
      <c r="E256" s="20" t="s">
        <v>339</v>
      </c>
      <c r="F256" s="7">
        <v>576.81954722244609</v>
      </c>
      <c r="G256" s="7">
        <v>24.880682667721388</v>
      </c>
      <c r="H256" s="3"/>
      <c r="I256" s="7"/>
      <c r="L256" s="68"/>
      <c r="M256" s="68"/>
    </row>
    <row r="257" spans="2:13" hidden="1">
      <c r="B257" s="8" t="s">
        <v>157</v>
      </c>
      <c r="C257" s="8" t="s">
        <v>459</v>
      </c>
      <c r="D257" s="15" t="s">
        <v>599</v>
      </c>
      <c r="E257" s="19"/>
      <c r="F257" s="9">
        <v>2375.9050811521142</v>
      </c>
      <c r="G257" s="9">
        <v>100</v>
      </c>
      <c r="H257" s="24"/>
      <c r="I257" s="9">
        <v>1041.6275483909869</v>
      </c>
      <c r="L257" s="68"/>
      <c r="M257" s="68"/>
    </row>
    <row r="258" spans="2:13" hidden="1">
      <c r="B258" s="4"/>
      <c r="C258" s="4" t="s">
        <v>459</v>
      </c>
      <c r="D258" s="17" t="s">
        <v>117</v>
      </c>
      <c r="E258" s="21" t="s">
        <v>339</v>
      </c>
      <c r="F258" s="5">
        <v>1418.9980551709734</v>
      </c>
      <c r="G258" s="5">
        <v>59.724526304850464</v>
      </c>
      <c r="H258" s="3"/>
      <c r="I258" s="5"/>
      <c r="L258" s="68"/>
      <c r="M258" s="68"/>
    </row>
    <row r="259" spans="2:13" hidden="1">
      <c r="B259" s="6"/>
      <c r="C259" s="6" t="s">
        <v>459</v>
      </c>
      <c r="D259" s="16" t="s">
        <v>102</v>
      </c>
      <c r="E259" s="20" t="s">
        <v>328</v>
      </c>
      <c r="F259" s="7">
        <v>502.56571683498237</v>
      </c>
      <c r="G259" s="7">
        <v>21.152600784509463</v>
      </c>
      <c r="H259" s="3"/>
      <c r="I259" s="7"/>
      <c r="L259" s="68"/>
      <c r="M259" s="68"/>
    </row>
    <row r="260" spans="2:13" hidden="1">
      <c r="B260" s="8" t="s">
        <v>157</v>
      </c>
      <c r="C260" s="8" t="s">
        <v>460</v>
      </c>
      <c r="D260" s="15" t="s">
        <v>600</v>
      </c>
      <c r="E260" s="19"/>
      <c r="F260" s="9">
        <v>33997.540003353999</v>
      </c>
      <c r="G260" s="9">
        <v>100</v>
      </c>
      <c r="H260" s="24"/>
      <c r="I260" s="9">
        <v>20130.487782213553</v>
      </c>
      <c r="L260" s="68"/>
      <c r="M260" s="68"/>
    </row>
    <row r="261" spans="2:13" hidden="1">
      <c r="B261" s="6"/>
      <c r="C261" s="6" t="s">
        <v>460</v>
      </c>
      <c r="D261" s="16" t="s">
        <v>103</v>
      </c>
      <c r="E261" s="20" t="s">
        <v>326</v>
      </c>
      <c r="F261" s="7">
        <v>32304.981165164816</v>
      </c>
      <c r="G261" s="7">
        <v>95.021525563254855</v>
      </c>
      <c r="H261" s="3"/>
      <c r="I261" s="7"/>
      <c r="L261" s="68"/>
      <c r="M261" s="68"/>
    </row>
    <row r="262" spans="2:13" hidden="1">
      <c r="B262" s="8" t="s">
        <v>157</v>
      </c>
      <c r="C262" s="8" t="s">
        <v>461</v>
      </c>
      <c r="D262" s="15" t="s">
        <v>601</v>
      </c>
      <c r="E262" s="19"/>
      <c r="F262" s="9">
        <v>4351.4329085767858</v>
      </c>
      <c r="G262" s="9">
        <v>100</v>
      </c>
      <c r="H262" s="24"/>
      <c r="I262" s="9">
        <v>2650.7789482238049</v>
      </c>
      <c r="L262" s="68"/>
      <c r="M262" s="68"/>
    </row>
    <row r="263" spans="2:13" hidden="1">
      <c r="B263" s="6"/>
      <c r="C263" s="6" t="s">
        <v>461</v>
      </c>
      <c r="D263" s="16" t="s">
        <v>104</v>
      </c>
      <c r="E263" s="20" t="s">
        <v>327</v>
      </c>
      <c r="F263" s="7">
        <v>3715.8802317386908</v>
      </c>
      <c r="G263" s="7">
        <v>85.394404781344463</v>
      </c>
      <c r="H263" s="3"/>
      <c r="I263" s="7"/>
      <c r="L263" s="68"/>
      <c r="M263" s="68"/>
    </row>
    <row r="264" spans="2:13">
      <c r="B264" s="10" t="s">
        <v>159</v>
      </c>
      <c r="C264" s="11" t="s">
        <v>160</v>
      </c>
      <c r="D264" s="11"/>
      <c r="E264" s="11"/>
      <c r="F264" s="12">
        <v>47371.249432569428</v>
      </c>
      <c r="G264" s="23"/>
      <c r="H264" s="3"/>
      <c r="I264" s="67">
        <v>28679.159469688439</v>
      </c>
      <c r="J264" s="69">
        <f>I264/$I$366</f>
        <v>5.3118856124436939E-2</v>
      </c>
      <c r="L264" s="68"/>
      <c r="M264" s="68"/>
    </row>
    <row r="265" spans="2:13" hidden="1">
      <c r="B265" s="8" t="s">
        <v>159</v>
      </c>
      <c r="C265" s="8" t="s">
        <v>464</v>
      </c>
      <c r="D265" s="15" t="s">
        <v>602</v>
      </c>
      <c r="E265" s="19"/>
      <c r="F265" s="9">
        <v>34621.046432034258</v>
      </c>
      <c r="G265" s="9">
        <v>100</v>
      </c>
      <c r="H265" s="24"/>
      <c r="I265" s="9">
        <v>23307.258304379135</v>
      </c>
      <c r="L265" s="68"/>
      <c r="M265" s="68"/>
    </row>
    <row r="266" spans="2:13" hidden="1">
      <c r="B266" s="4"/>
      <c r="C266" s="4" t="s">
        <v>464</v>
      </c>
      <c r="D266" s="17" t="s">
        <v>202</v>
      </c>
      <c r="E266" s="21" t="s">
        <v>519</v>
      </c>
      <c r="F266" s="5">
        <v>26194.192083611822</v>
      </c>
      <c r="G266" s="5">
        <v>75.659735285686764</v>
      </c>
      <c r="H266" s="3"/>
      <c r="I266" s="5"/>
      <c r="L266" s="68"/>
      <c r="M266" s="68"/>
    </row>
    <row r="267" spans="2:13" hidden="1">
      <c r="B267" s="6"/>
      <c r="C267" s="6" t="s">
        <v>464</v>
      </c>
      <c r="D267" s="16" t="s">
        <v>106</v>
      </c>
      <c r="E267" s="20" t="s">
        <v>329</v>
      </c>
      <c r="F267" s="7">
        <v>3811.4576586819189</v>
      </c>
      <c r="G267" s="7">
        <v>11.009076996457399</v>
      </c>
      <c r="H267" s="3"/>
      <c r="I267" s="7"/>
      <c r="L267" s="68"/>
      <c r="M267" s="68"/>
    </row>
    <row r="268" spans="2:13" hidden="1">
      <c r="B268" s="8" t="s">
        <v>159</v>
      </c>
      <c r="C268" s="8" t="s">
        <v>465</v>
      </c>
      <c r="D268" s="15" t="s">
        <v>603</v>
      </c>
      <c r="E268" s="19"/>
      <c r="F268" s="9">
        <v>6165.1139056864877</v>
      </c>
      <c r="G268" s="9">
        <v>100</v>
      </c>
      <c r="H268" s="24"/>
      <c r="I268" s="9">
        <v>1752.023738088069</v>
      </c>
      <c r="L268" s="68"/>
      <c r="M268" s="68"/>
    </row>
    <row r="269" spans="2:13" hidden="1">
      <c r="B269" s="6"/>
      <c r="C269" s="6" t="s">
        <v>465</v>
      </c>
      <c r="D269" s="16" t="s">
        <v>107</v>
      </c>
      <c r="E269" s="20" t="s">
        <v>330</v>
      </c>
      <c r="F269" s="7">
        <v>6136.3285003764877</v>
      </c>
      <c r="G269" s="7">
        <v>99.533092076637075</v>
      </c>
      <c r="H269" s="3"/>
      <c r="I269" s="7"/>
      <c r="L269" s="68"/>
      <c r="M269" s="68"/>
    </row>
    <row r="270" spans="2:13" hidden="1">
      <c r="B270" s="8" t="s">
        <v>159</v>
      </c>
      <c r="C270" s="8" t="s">
        <v>466</v>
      </c>
      <c r="D270" s="15" t="s">
        <v>604</v>
      </c>
      <c r="E270" s="19"/>
      <c r="F270" s="9">
        <v>6585.0890948486813</v>
      </c>
      <c r="G270" s="9">
        <v>100</v>
      </c>
      <c r="H270" s="24"/>
      <c r="I270" s="9">
        <v>3619.8774272212363</v>
      </c>
      <c r="L270" s="68"/>
      <c r="M270" s="68"/>
    </row>
    <row r="271" spans="2:13" hidden="1">
      <c r="B271" s="4"/>
      <c r="C271" s="4" t="s">
        <v>466</v>
      </c>
      <c r="D271" s="17" t="s">
        <v>108</v>
      </c>
      <c r="E271" s="21" t="s">
        <v>331</v>
      </c>
      <c r="F271" s="5">
        <v>3884.5967025832833</v>
      </c>
      <c r="G271" s="5">
        <v>58.990799465751905</v>
      </c>
      <c r="H271" s="3"/>
      <c r="I271" s="5"/>
      <c r="L271" s="68"/>
      <c r="M271" s="68"/>
    </row>
    <row r="272" spans="2:13" hidden="1">
      <c r="B272" s="6"/>
      <c r="C272" s="6" t="s">
        <v>466</v>
      </c>
      <c r="D272" s="16" t="s">
        <v>109</v>
      </c>
      <c r="E272" s="20" t="s">
        <v>332</v>
      </c>
      <c r="F272" s="7">
        <v>1638.5853167210958</v>
      </c>
      <c r="G272" s="7">
        <v>24.883267228729103</v>
      </c>
      <c r="H272" s="3"/>
      <c r="I272" s="7"/>
      <c r="L272" s="68"/>
      <c r="M272" s="68"/>
    </row>
    <row r="273" spans="2:13">
      <c r="B273" s="10" t="s">
        <v>161</v>
      </c>
      <c r="C273" s="11" t="s">
        <v>162</v>
      </c>
      <c r="D273" s="11"/>
      <c r="E273" s="11"/>
      <c r="F273" s="12">
        <v>65715.297874034513</v>
      </c>
      <c r="G273" s="23"/>
      <c r="H273" s="3"/>
      <c r="I273" s="67">
        <v>57660.124075633081</v>
      </c>
      <c r="J273" s="69">
        <f>I273/$I$366</f>
        <v>0.10679670853422016</v>
      </c>
      <c r="L273" s="68"/>
      <c r="M273" s="68"/>
    </row>
    <row r="274" spans="2:13" hidden="1">
      <c r="B274" s="8" t="s">
        <v>161</v>
      </c>
      <c r="C274" s="8" t="s">
        <v>605</v>
      </c>
      <c r="D274" s="15" t="s">
        <v>606</v>
      </c>
      <c r="E274" s="19"/>
      <c r="F274" s="9">
        <v>7768.4220506159872</v>
      </c>
      <c r="G274" s="9">
        <v>100</v>
      </c>
      <c r="H274" s="24"/>
      <c r="I274" s="9">
        <v>7478.1464205460206</v>
      </c>
      <c r="L274" s="68"/>
      <c r="M274" s="68"/>
    </row>
    <row r="275" spans="2:13" hidden="1">
      <c r="B275" s="6"/>
      <c r="C275" s="6" t="s">
        <v>605</v>
      </c>
      <c r="D275" s="16" t="s">
        <v>110</v>
      </c>
      <c r="E275" s="20" t="s">
        <v>333</v>
      </c>
      <c r="F275" s="7">
        <v>7768.4220506159872</v>
      </c>
      <c r="G275" s="7">
        <v>100</v>
      </c>
      <c r="H275" s="3"/>
      <c r="I275" s="7"/>
      <c r="L275" s="68"/>
      <c r="M275" s="68"/>
    </row>
    <row r="276" spans="2:13" hidden="1">
      <c r="B276" s="8" t="s">
        <v>161</v>
      </c>
      <c r="C276" s="8" t="s">
        <v>467</v>
      </c>
      <c r="D276" s="15" t="s">
        <v>606</v>
      </c>
      <c r="E276" s="19"/>
      <c r="F276" s="9">
        <v>39522.370290973071</v>
      </c>
      <c r="G276" s="9">
        <v>100</v>
      </c>
      <c r="H276" s="24"/>
      <c r="I276" s="9">
        <v>36564.183521028281</v>
      </c>
      <c r="L276" s="68"/>
      <c r="M276" s="68"/>
    </row>
    <row r="277" spans="2:13" hidden="1">
      <c r="B277" s="6"/>
      <c r="C277" s="6" t="s">
        <v>467</v>
      </c>
      <c r="D277" s="16" t="s">
        <v>110</v>
      </c>
      <c r="E277" s="20" t="s">
        <v>333</v>
      </c>
      <c r="F277" s="7">
        <v>39522.370290973071</v>
      </c>
      <c r="G277" s="7">
        <v>100</v>
      </c>
      <c r="H277" s="3"/>
      <c r="I277" s="7"/>
      <c r="L277" s="68"/>
      <c r="M277" s="68"/>
    </row>
    <row r="278" spans="2:13" hidden="1">
      <c r="B278" s="8" t="s">
        <v>161</v>
      </c>
      <c r="C278" s="8" t="s">
        <v>468</v>
      </c>
      <c r="D278" s="15" t="s">
        <v>607</v>
      </c>
      <c r="E278" s="19"/>
      <c r="F278" s="9">
        <v>18424.505532445462</v>
      </c>
      <c r="G278" s="9">
        <v>100</v>
      </c>
      <c r="H278" s="24"/>
      <c r="I278" s="9">
        <v>13617.794134058777</v>
      </c>
      <c r="L278" s="68"/>
      <c r="M278" s="68"/>
    </row>
    <row r="279" spans="2:13" hidden="1">
      <c r="B279" s="6"/>
      <c r="C279" s="6" t="s">
        <v>468</v>
      </c>
      <c r="D279" s="16" t="s">
        <v>111</v>
      </c>
      <c r="E279" s="20" t="s">
        <v>334</v>
      </c>
      <c r="F279" s="7">
        <v>17844.664536520082</v>
      </c>
      <c r="G279" s="7">
        <v>96.852881642309029</v>
      </c>
      <c r="H279" s="3"/>
      <c r="I279" s="7"/>
      <c r="L279" s="68"/>
      <c r="M279" s="68"/>
    </row>
    <row r="280" spans="2:13">
      <c r="B280" s="10" t="s">
        <v>163</v>
      </c>
      <c r="C280" s="11" t="s">
        <v>164</v>
      </c>
      <c r="D280" s="11"/>
      <c r="E280" s="11"/>
      <c r="F280" s="12">
        <v>25435.879476079244</v>
      </c>
      <c r="G280" s="23"/>
      <c r="H280" s="3"/>
      <c r="I280" s="67">
        <v>17230.922806513041</v>
      </c>
      <c r="J280" s="69">
        <f>I280/$I$366</f>
        <v>3.1914704837072719E-2</v>
      </c>
      <c r="L280" s="68"/>
      <c r="M280" s="68"/>
    </row>
    <row r="281" spans="2:13" hidden="1">
      <c r="B281" s="8" t="s">
        <v>163</v>
      </c>
      <c r="C281" s="8" t="s">
        <v>469</v>
      </c>
      <c r="D281" s="15" t="s">
        <v>608</v>
      </c>
      <c r="E281" s="19"/>
      <c r="F281" s="9">
        <v>6465.651439989515</v>
      </c>
      <c r="G281" s="9">
        <v>100</v>
      </c>
      <c r="H281" s="24"/>
      <c r="I281" s="9">
        <v>5187.6165928981327</v>
      </c>
      <c r="L281" s="68"/>
      <c r="M281" s="68"/>
    </row>
    <row r="282" spans="2:13" hidden="1">
      <c r="B282" s="4"/>
      <c r="C282" s="4" t="s">
        <v>469</v>
      </c>
      <c r="D282" s="17" t="s">
        <v>113</v>
      </c>
      <c r="E282" s="21" t="s">
        <v>336</v>
      </c>
      <c r="F282" s="5">
        <v>3392.907105486096</v>
      </c>
      <c r="G282" s="5">
        <v>52.475874039563109</v>
      </c>
      <c r="H282" s="3"/>
      <c r="I282" s="5"/>
      <c r="L282" s="68"/>
      <c r="M282" s="68"/>
    </row>
    <row r="283" spans="2:13" hidden="1">
      <c r="B283" s="6"/>
      <c r="C283" s="6" t="s">
        <v>469</v>
      </c>
      <c r="D283" s="16" t="s">
        <v>112</v>
      </c>
      <c r="E283" s="20" t="s">
        <v>335</v>
      </c>
      <c r="F283" s="7">
        <v>3072.7443345034185</v>
      </c>
      <c r="G283" s="7">
        <v>47.524125960436884</v>
      </c>
      <c r="H283" s="3"/>
      <c r="I283" s="7"/>
      <c r="L283" s="68"/>
      <c r="M283" s="68"/>
    </row>
    <row r="284" spans="2:13" hidden="1">
      <c r="B284" s="8" t="s">
        <v>163</v>
      </c>
      <c r="C284" s="8" t="s">
        <v>474</v>
      </c>
      <c r="D284" s="15" t="s">
        <v>609</v>
      </c>
      <c r="E284" s="19"/>
      <c r="F284" s="9">
        <v>8523.1470535507797</v>
      </c>
      <c r="G284" s="9">
        <v>100</v>
      </c>
      <c r="H284" s="24"/>
      <c r="I284" s="9">
        <v>6039.7360558036289</v>
      </c>
      <c r="L284" s="68"/>
      <c r="M284" s="68"/>
    </row>
    <row r="285" spans="2:13" hidden="1">
      <c r="B285" s="6"/>
      <c r="C285" s="6" t="s">
        <v>474</v>
      </c>
      <c r="D285" s="16" t="s">
        <v>114</v>
      </c>
      <c r="E285" s="20" t="s">
        <v>340</v>
      </c>
      <c r="F285" s="7">
        <v>8428.0036977147265</v>
      </c>
      <c r="G285" s="7">
        <v>98.883706273771068</v>
      </c>
      <c r="H285" s="3"/>
      <c r="I285" s="7"/>
      <c r="L285" s="68"/>
      <c r="M285" s="68"/>
    </row>
    <row r="286" spans="2:13" hidden="1">
      <c r="B286" s="8" t="s">
        <v>163</v>
      </c>
      <c r="C286" s="8" t="s">
        <v>470</v>
      </c>
      <c r="D286" s="15" t="s">
        <v>610</v>
      </c>
      <c r="E286" s="19"/>
      <c r="F286" s="9">
        <v>3413.5208674757482</v>
      </c>
      <c r="G286" s="9">
        <v>100</v>
      </c>
      <c r="H286" s="24"/>
      <c r="I286" s="9">
        <v>1971.0781078954506</v>
      </c>
      <c r="L286" s="68"/>
      <c r="M286" s="68"/>
    </row>
    <row r="287" spans="2:13" hidden="1">
      <c r="B287" s="6"/>
      <c r="C287" s="6" t="s">
        <v>470</v>
      </c>
      <c r="D287" s="16" t="s">
        <v>115</v>
      </c>
      <c r="E287" s="20" t="s">
        <v>337</v>
      </c>
      <c r="F287" s="7">
        <v>3343.9655922010097</v>
      </c>
      <c r="G287" s="7">
        <v>97.962359745989374</v>
      </c>
      <c r="H287" s="3"/>
      <c r="I287" s="7"/>
      <c r="L287" s="68"/>
      <c r="M287" s="68"/>
    </row>
    <row r="288" spans="2:13" hidden="1">
      <c r="B288" s="8" t="s">
        <v>163</v>
      </c>
      <c r="C288" s="8" t="s">
        <v>471</v>
      </c>
      <c r="D288" s="15" t="s">
        <v>611</v>
      </c>
      <c r="E288" s="19"/>
      <c r="F288" s="9">
        <v>189.53726976154911</v>
      </c>
      <c r="G288" s="9">
        <v>100</v>
      </c>
      <c r="H288" s="24"/>
      <c r="I288" s="9">
        <v>18.511719750136791</v>
      </c>
      <c r="L288" s="68"/>
      <c r="M288" s="68"/>
    </row>
    <row r="289" spans="2:13" hidden="1">
      <c r="B289" s="6"/>
      <c r="C289" s="6" t="s">
        <v>471</v>
      </c>
      <c r="D289" s="16" t="s">
        <v>116</v>
      </c>
      <c r="E289" s="20" t="s">
        <v>338</v>
      </c>
      <c r="F289" s="7">
        <v>189.53726976154911</v>
      </c>
      <c r="G289" s="7">
        <v>100</v>
      </c>
      <c r="H289" s="3"/>
      <c r="I289" s="7"/>
      <c r="L289" s="68"/>
      <c r="M289" s="68"/>
    </row>
    <row r="290" spans="2:13" hidden="1">
      <c r="B290" s="8" t="s">
        <v>163</v>
      </c>
      <c r="C290" s="8" t="s">
        <v>472</v>
      </c>
      <c r="D290" s="15" t="s">
        <v>611</v>
      </c>
      <c r="E290" s="19"/>
      <c r="F290" s="9">
        <v>78.129652338737444</v>
      </c>
      <c r="G290" s="9">
        <v>100</v>
      </c>
      <c r="H290" s="24"/>
      <c r="I290" s="9">
        <v>46.699787323702225</v>
      </c>
      <c r="L290" s="68"/>
      <c r="M290" s="68"/>
    </row>
    <row r="291" spans="2:13" hidden="1">
      <c r="B291" s="6"/>
      <c r="C291" s="6" t="s">
        <v>472</v>
      </c>
      <c r="D291" s="16" t="s">
        <v>116</v>
      </c>
      <c r="E291" s="20" t="s">
        <v>338</v>
      </c>
      <c r="F291" s="7">
        <v>78.129652338737444</v>
      </c>
      <c r="G291" s="7">
        <v>100</v>
      </c>
      <c r="H291" s="3"/>
      <c r="I291" s="7"/>
      <c r="L291" s="68"/>
      <c r="M291" s="68"/>
    </row>
    <row r="292" spans="2:13" hidden="1">
      <c r="B292" s="8" t="s">
        <v>163</v>
      </c>
      <c r="C292" s="8" t="s">
        <v>473</v>
      </c>
      <c r="D292" s="15" t="s">
        <v>612</v>
      </c>
      <c r="E292" s="19"/>
      <c r="F292" s="9">
        <v>5559.8525531102305</v>
      </c>
      <c r="G292" s="9">
        <v>100</v>
      </c>
      <c r="H292" s="24"/>
      <c r="I292" s="9">
        <v>3171.05272229294</v>
      </c>
      <c r="L292" s="68"/>
      <c r="M292" s="68"/>
    </row>
    <row r="293" spans="2:13" hidden="1">
      <c r="B293" s="6"/>
      <c r="C293" s="6" t="s">
        <v>473</v>
      </c>
      <c r="D293" s="16" t="s">
        <v>117</v>
      </c>
      <c r="E293" s="20" t="s">
        <v>339</v>
      </c>
      <c r="F293" s="7">
        <v>5559.0623052603078</v>
      </c>
      <c r="G293" s="7">
        <v>99.985786532243907</v>
      </c>
      <c r="H293" s="3"/>
      <c r="I293" s="7"/>
      <c r="L293" s="68"/>
      <c r="M293" s="68"/>
    </row>
    <row r="294" spans="2:13" hidden="1">
      <c r="B294" s="8" t="s">
        <v>163</v>
      </c>
      <c r="C294" s="8" t="s">
        <v>613</v>
      </c>
      <c r="D294" s="15" t="s">
        <v>340</v>
      </c>
      <c r="E294" s="19"/>
      <c r="F294" s="9">
        <v>1012.6963839864009</v>
      </c>
      <c r="G294" s="9">
        <v>100</v>
      </c>
      <c r="H294" s="24"/>
      <c r="I294" s="9">
        <v>665.12039661185077</v>
      </c>
      <c r="L294" s="68"/>
      <c r="M294" s="68"/>
    </row>
    <row r="295" spans="2:13" hidden="1">
      <c r="B295" s="6"/>
      <c r="C295" s="6" t="s">
        <v>613</v>
      </c>
      <c r="D295" s="16" t="s">
        <v>114</v>
      </c>
      <c r="E295" s="20" t="s">
        <v>340</v>
      </c>
      <c r="F295" s="7">
        <v>1003.7374410620494</v>
      </c>
      <c r="G295" s="7">
        <v>99.115337719575408</v>
      </c>
      <c r="H295" s="3"/>
      <c r="I295" s="7"/>
      <c r="L295" s="68"/>
      <c r="M295" s="68"/>
    </row>
    <row r="296" spans="2:13" hidden="1">
      <c r="B296" s="8" t="s">
        <v>163</v>
      </c>
      <c r="C296" s="8" t="s">
        <v>475</v>
      </c>
      <c r="D296" s="15" t="s">
        <v>614</v>
      </c>
      <c r="E296" s="19"/>
      <c r="F296" s="9">
        <v>193.34425586628458</v>
      </c>
      <c r="G296" s="9">
        <v>100</v>
      </c>
      <c r="H296" s="24"/>
      <c r="I296" s="9">
        <v>131.10742393719809</v>
      </c>
      <c r="L296" s="68"/>
      <c r="M296" s="68"/>
    </row>
    <row r="297" spans="2:13" hidden="1">
      <c r="B297" s="6"/>
      <c r="C297" s="6" t="s">
        <v>475</v>
      </c>
      <c r="D297" s="16" t="s">
        <v>118</v>
      </c>
      <c r="E297" s="20" t="s">
        <v>341</v>
      </c>
      <c r="F297" s="7">
        <v>178.02323046358924</v>
      </c>
      <c r="G297" s="7">
        <v>92.075779373920867</v>
      </c>
      <c r="H297" s="3"/>
      <c r="I297" s="7"/>
      <c r="L297" s="68"/>
      <c r="M297" s="68"/>
    </row>
    <row r="298" spans="2:13">
      <c r="B298" s="10" t="s">
        <v>165</v>
      </c>
      <c r="C298" s="11" t="s">
        <v>166</v>
      </c>
      <c r="D298" s="11"/>
      <c r="E298" s="11"/>
      <c r="F298" s="12">
        <v>31975.333063662074</v>
      </c>
      <c r="G298" s="23"/>
      <c r="H298" s="3"/>
      <c r="I298" s="67">
        <v>24763.186454695315</v>
      </c>
      <c r="J298" s="69">
        <f>I298/$I$366</f>
        <v>4.5865784171946519E-2</v>
      </c>
      <c r="L298" s="68"/>
      <c r="M298" s="68"/>
    </row>
    <row r="299" spans="2:13" hidden="1">
      <c r="B299" s="8" t="s">
        <v>165</v>
      </c>
      <c r="C299" s="8" t="s">
        <v>462</v>
      </c>
      <c r="D299" s="15" t="s">
        <v>615</v>
      </c>
      <c r="E299" s="19"/>
      <c r="F299" s="9">
        <v>5287.3558242865256</v>
      </c>
      <c r="G299" s="9">
        <v>100</v>
      </c>
      <c r="H299" s="24"/>
      <c r="I299" s="9">
        <v>3451.9687156580503</v>
      </c>
      <c r="L299" s="68"/>
      <c r="M299" s="68"/>
    </row>
    <row r="300" spans="2:13" hidden="1">
      <c r="B300" s="6"/>
      <c r="C300" s="6" t="s">
        <v>462</v>
      </c>
      <c r="D300" s="16" t="s">
        <v>119</v>
      </c>
      <c r="E300" s="20" t="s">
        <v>342</v>
      </c>
      <c r="F300" s="7">
        <v>4741.3631632669449</v>
      </c>
      <c r="G300" s="7">
        <v>89.673616091588528</v>
      </c>
      <c r="H300" s="3"/>
      <c r="I300" s="7"/>
      <c r="L300" s="68"/>
      <c r="M300" s="68"/>
    </row>
    <row r="301" spans="2:13" hidden="1">
      <c r="B301" s="8" t="s">
        <v>165</v>
      </c>
      <c r="C301" s="8" t="s">
        <v>476</v>
      </c>
      <c r="D301" s="15" t="s">
        <v>616</v>
      </c>
      <c r="E301" s="19"/>
      <c r="F301" s="9">
        <v>8238.2851641974248</v>
      </c>
      <c r="G301" s="9">
        <v>100</v>
      </c>
      <c r="H301" s="24"/>
      <c r="I301" s="9">
        <v>7293.7653755608044</v>
      </c>
      <c r="L301" s="68"/>
      <c r="M301" s="68"/>
    </row>
    <row r="302" spans="2:13" hidden="1">
      <c r="B302" s="6"/>
      <c r="C302" s="6" t="s">
        <v>476</v>
      </c>
      <c r="D302" s="16" t="s">
        <v>120</v>
      </c>
      <c r="E302" s="20" t="s">
        <v>343</v>
      </c>
      <c r="F302" s="7">
        <v>8026.919212390173</v>
      </c>
      <c r="G302" s="7">
        <v>97.434345284309614</v>
      </c>
      <c r="H302" s="3"/>
      <c r="I302" s="7"/>
      <c r="L302" s="68"/>
      <c r="M302" s="68"/>
    </row>
    <row r="303" spans="2:13" hidden="1">
      <c r="B303" s="8" t="s">
        <v>165</v>
      </c>
      <c r="C303" s="8" t="s">
        <v>477</v>
      </c>
      <c r="D303" s="15" t="s">
        <v>617</v>
      </c>
      <c r="E303" s="19"/>
      <c r="F303" s="9">
        <v>936.36759557890332</v>
      </c>
      <c r="G303" s="9">
        <v>100</v>
      </c>
      <c r="H303" s="24"/>
      <c r="I303" s="9">
        <v>491.76204102772903</v>
      </c>
      <c r="L303" s="68"/>
      <c r="M303" s="68"/>
    </row>
    <row r="304" spans="2:13" hidden="1">
      <c r="B304" s="6"/>
      <c r="C304" s="6" t="s">
        <v>477</v>
      </c>
      <c r="D304" s="16" t="s">
        <v>121</v>
      </c>
      <c r="E304" s="20" t="s">
        <v>520</v>
      </c>
      <c r="F304" s="7">
        <v>912.86042330040164</v>
      </c>
      <c r="G304" s="7">
        <v>97.489535905611035</v>
      </c>
      <c r="H304" s="3"/>
      <c r="I304" s="7"/>
      <c r="L304" s="68"/>
      <c r="M304" s="68"/>
    </row>
    <row r="305" spans="2:13" hidden="1">
      <c r="B305" s="8" t="s">
        <v>165</v>
      </c>
      <c r="C305" s="8" t="s">
        <v>478</v>
      </c>
      <c r="D305" s="15" t="s">
        <v>618</v>
      </c>
      <c r="E305" s="19"/>
      <c r="F305" s="9">
        <v>5103.1001881587472</v>
      </c>
      <c r="G305" s="9">
        <v>100</v>
      </c>
      <c r="H305" s="24"/>
      <c r="I305" s="9">
        <v>4138.6719847210525</v>
      </c>
      <c r="L305" s="68"/>
      <c r="M305" s="68"/>
    </row>
    <row r="306" spans="2:13" hidden="1">
      <c r="B306" s="6"/>
      <c r="C306" s="6" t="s">
        <v>478</v>
      </c>
      <c r="D306" s="16" t="s">
        <v>122</v>
      </c>
      <c r="E306" s="20" t="s">
        <v>344</v>
      </c>
      <c r="F306" s="7">
        <v>5026.3691508858592</v>
      </c>
      <c r="G306" s="7">
        <v>98.496383875610846</v>
      </c>
      <c r="H306" s="3"/>
      <c r="I306" s="7"/>
      <c r="L306" s="68"/>
      <c r="M306" s="68"/>
    </row>
    <row r="307" spans="2:13" hidden="1">
      <c r="B307" s="8" t="s">
        <v>165</v>
      </c>
      <c r="C307" s="8" t="s">
        <v>479</v>
      </c>
      <c r="D307" s="15" t="s">
        <v>619</v>
      </c>
      <c r="E307" s="19"/>
      <c r="F307" s="9">
        <v>1766.1487724028507</v>
      </c>
      <c r="G307" s="9">
        <v>100</v>
      </c>
      <c r="H307" s="24"/>
      <c r="I307" s="9">
        <v>1261.6882747873378</v>
      </c>
      <c r="L307" s="68"/>
      <c r="M307" s="68"/>
    </row>
    <row r="308" spans="2:13" hidden="1">
      <c r="B308" s="6"/>
      <c r="C308" s="6" t="s">
        <v>479</v>
      </c>
      <c r="D308" s="16" t="s">
        <v>123</v>
      </c>
      <c r="E308" s="20" t="s">
        <v>345</v>
      </c>
      <c r="F308" s="7">
        <v>1746.4741089511911</v>
      </c>
      <c r="G308" s="7">
        <v>98.886013241971</v>
      </c>
      <c r="H308" s="3"/>
      <c r="I308" s="7"/>
      <c r="L308" s="68"/>
      <c r="M308" s="68"/>
    </row>
    <row r="309" spans="2:13" hidden="1">
      <c r="B309" s="8" t="s">
        <v>165</v>
      </c>
      <c r="C309" s="8" t="s">
        <v>480</v>
      </c>
      <c r="D309" s="15" t="s">
        <v>620</v>
      </c>
      <c r="E309" s="19"/>
      <c r="F309" s="9">
        <v>8181.1077892735029</v>
      </c>
      <c r="G309" s="9">
        <v>100</v>
      </c>
      <c r="H309" s="24"/>
      <c r="I309" s="9">
        <v>6320.6222034834063</v>
      </c>
      <c r="L309" s="68"/>
      <c r="M309" s="68"/>
    </row>
    <row r="310" spans="2:13" hidden="1">
      <c r="B310" s="6"/>
      <c r="C310" s="6" t="s">
        <v>480</v>
      </c>
      <c r="D310" s="16" t="s">
        <v>124</v>
      </c>
      <c r="E310" s="20" t="s">
        <v>346</v>
      </c>
      <c r="F310" s="7">
        <v>8042.3512388158651</v>
      </c>
      <c r="G310" s="7">
        <v>98.303939343769969</v>
      </c>
      <c r="H310" s="3"/>
      <c r="I310" s="7"/>
      <c r="L310" s="68"/>
      <c r="M310" s="68"/>
    </row>
    <row r="311" spans="2:13" hidden="1">
      <c r="B311" s="8" t="s">
        <v>165</v>
      </c>
      <c r="C311" s="8" t="s">
        <v>481</v>
      </c>
      <c r="D311" s="15" t="s">
        <v>621</v>
      </c>
      <c r="E311" s="19"/>
      <c r="F311" s="9">
        <v>2462.9677297641183</v>
      </c>
      <c r="G311" s="9">
        <v>100</v>
      </c>
      <c r="H311" s="24"/>
      <c r="I311" s="9">
        <v>1804.7078594569321</v>
      </c>
      <c r="L311" s="68"/>
      <c r="M311" s="68"/>
    </row>
    <row r="312" spans="2:13" hidden="1">
      <c r="B312" s="6"/>
      <c r="C312" s="6" t="s">
        <v>481</v>
      </c>
      <c r="D312" s="16" t="s">
        <v>105</v>
      </c>
      <c r="E312" s="20" t="s">
        <v>347</v>
      </c>
      <c r="F312" s="7">
        <v>2442.6116207253422</v>
      </c>
      <c r="G312" s="7">
        <v>99.173512961912593</v>
      </c>
      <c r="H312" s="3"/>
      <c r="I312" s="7"/>
      <c r="L312" s="68"/>
      <c r="M312" s="68"/>
    </row>
    <row r="313" spans="2:13">
      <c r="B313" s="10" t="s">
        <v>167</v>
      </c>
      <c r="C313" s="11" t="s">
        <v>168</v>
      </c>
      <c r="D313" s="11"/>
      <c r="E313" s="11"/>
      <c r="F313" s="12">
        <v>47673.317258153344</v>
      </c>
      <c r="G313" s="23"/>
      <c r="H313" s="3"/>
      <c r="I313" s="67">
        <v>29805.270322753662</v>
      </c>
      <c r="J313" s="69">
        <f>I313/$I$366</f>
        <v>5.5204611826146437E-2</v>
      </c>
      <c r="L313" s="68"/>
      <c r="M313" s="68"/>
    </row>
    <row r="314" spans="2:13" hidden="1">
      <c r="B314" s="8" t="s">
        <v>167</v>
      </c>
      <c r="C314" s="8" t="s">
        <v>482</v>
      </c>
      <c r="D314" s="15" t="s">
        <v>634</v>
      </c>
      <c r="E314" s="19"/>
      <c r="F314" s="9">
        <v>46343.108573282145</v>
      </c>
      <c r="G314" s="9">
        <v>100</v>
      </c>
      <c r="H314" s="24"/>
      <c r="I314" s="9">
        <v>29000.339702260917</v>
      </c>
      <c r="L314" s="68"/>
      <c r="M314" s="68"/>
    </row>
    <row r="315" spans="2:13" hidden="1">
      <c r="B315" s="4"/>
      <c r="C315" s="4" t="s">
        <v>482</v>
      </c>
      <c r="D315" s="17" t="s">
        <v>125</v>
      </c>
      <c r="E315" s="21" t="s">
        <v>348</v>
      </c>
      <c r="F315" s="5">
        <v>16422.794457854128</v>
      </c>
      <c r="G315" s="5">
        <v>35.437403668950772</v>
      </c>
      <c r="H315" s="3"/>
      <c r="I315" s="5"/>
      <c r="L315" s="68"/>
      <c r="M315" s="68"/>
    </row>
    <row r="316" spans="2:13" hidden="1">
      <c r="B316" s="4"/>
      <c r="C316" s="4" t="s">
        <v>482</v>
      </c>
      <c r="D316" s="17" t="s">
        <v>127</v>
      </c>
      <c r="E316" s="21" t="s">
        <v>350</v>
      </c>
      <c r="F316" s="5">
        <v>15739.720760442731</v>
      </c>
      <c r="G316" s="5">
        <v>33.963454858781397</v>
      </c>
      <c r="H316" s="3"/>
      <c r="I316" s="5"/>
      <c r="L316" s="68"/>
      <c r="M316" s="68"/>
    </row>
    <row r="317" spans="2:13" hidden="1">
      <c r="B317" s="6"/>
      <c r="C317" s="6" t="s">
        <v>482</v>
      </c>
      <c r="D317" s="16" t="s">
        <v>126</v>
      </c>
      <c r="E317" s="20" t="s">
        <v>349</v>
      </c>
      <c r="F317" s="7">
        <v>8698.2973170259502</v>
      </c>
      <c r="G317" s="7">
        <v>18.769343673334671</v>
      </c>
      <c r="H317" s="3"/>
      <c r="I317" s="7"/>
      <c r="L317" s="68"/>
      <c r="M317" s="68"/>
    </row>
    <row r="318" spans="2:13" hidden="1">
      <c r="B318" s="8" t="s">
        <v>167</v>
      </c>
      <c r="C318" s="8" t="s">
        <v>483</v>
      </c>
      <c r="D318" s="15" t="s">
        <v>635</v>
      </c>
      <c r="E318" s="19"/>
      <c r="F318" s="9">
        <v>1330.2086848711951</v>
      </c>
      <c r="G318" s="9">
        <v>100</v>
      </c>
      <c r="H318" s="24"/>
      <c r="I318" s="9">
        <v>804.93062049274351</v>
      </c>
      <c r="L318" s="68"/>
      <c r="M318" s="68"/>
    </row>
    <row r="319" spans="2:13" hidden="1">
      <c r="B319" s="6"/>
      <c r="C319" s="6" t="s">
        <v>483</v>
      </c>
      <c r="D319" s="16" t="s">
        <v>128</v>
      </c>
      <c r="E319" s="20" t="s">
        <v>351</v>
      </c>
      <c r="F319" s="7">
        <v>1316.3145818111952</v>
      </c>
      <c r="G319" s="7">
        <v>98.955494486089208</v>
      </c>
      <c r="H319" s="3"/>
      <c r="I319" s="7"/>
      <c r="L319" s="68"/>
      <c r="M319" s="68"/>
    </row>
    <row r="320" spans="2:13">
      <c r="B320" s="10" t="s">
        <v>169</v>
      </c>
      <c r="C320" s="11" t="s">
        <v>170</v>
      </c>
      <c r="D320" s="11"/>
      <c r="E320" s="11"/>
      <c r="F320" s="12">
        <v>36539.953621206718</v>
      </c>
      <c r="G320" s="23"/>
      <c r="H320" s="3"/>
      <c r="I320" s="67">
        <v>32250.741526638525</v>
      </c>
      <c r="J320" s="69">
        <f>I320/$I$366</f>
        <v>5.9734055346724789E-2</v>
      </c>
      <c r="L320" s="68"/>
      <c r="M320" s="68"/>
    </row>
    <row r="321" spans="2:13" hidden="1">
      <c r="B321" s="8" t="s">
        <v>169</v>
      </c>
      <c r="C321" s="8" t="s">
        <v>485</v>
      </c>
      <c r="D321" s="15" t="s">
        <v>170</v>
      </c>
      <c r="E321" s="19"/>
      <c r="F321" s="9">
        <v>14433.459418228187</v>
      </c>
      <c r="G321" s="9">
        <v>100</v>
      </c>
      <c r="H321" s="24"/>
      <c r="I321" s="9">
        <v>12012.539604891888</v>
      </c>
      <c r="L321" s="68"/>
      <c r="M321" s="68"/>
    </row>
    <row r="322" spans="2:13" hidden="1">
      <c r="B322" s="6"/>
      <c r="C322" s="6" t="s">
        <v>485</v>
      </c>
      <c r="D322" s="16" t="s">
        <v>129</v>
      </c>
      <c r="E322" s="20" t="s">
        <v>352</v>
      </c>
      <c r="F322" s="7">
        <v>13538.811950361878</v>
      </c>
      <c r="G322" s="7">
        <v>93.801572845824836</v>
      </c>
      <c r="H322" s="3"/>
      <c r="I322" s="7"/>
      <c r="L322" s="68"/>
      <c r="M322" s="68"/>
    </row>
    <row r="323" spans="2:13" hidden="1">
      <c r="B323" s="8" t="s">
        <v>169</v>
      </c>
      <c r="C323" s="8" t="s">
        <v>484</v>
      </c>
      <c r="D323" s="15" t="s">
        <v>170</v>
      </c>
      <c r="E323" s="19"/>
      <c r="F323" s="9">
        <v>22106.494202978534</v>
      </c>
      <c r="G323" s="9">
        <v>100</v>
      </c>
      <c r="H323" s="24"/>
      <c r="I323" s="9">
        <v>20238.201921746637</v>
      </c>
      <c r="L323" s="68"/>
      <c r="M323" s="68"/>
    </row>
    <row r="324" spans="2:13" hidden="1">
      <c r="B324" s="6"/>
      <c r="C324" s="6" t="s">
        <v>484</v>
      </c>
      <c r="D324" s="16" t="s">
        <v>129</v>
      </c>
      <c r="E324" s="20" t="s">
        <v>352</v>
      </c>
      <c r="F324" s="7">
        <v>22002.867425257151</v>
      </c>
      <c r="G324" s="7">
        <v>99.53123830142448</v>
      </c>
      <c r="H324" s="3"/>
      <c r="I324" s="7"/>
      <c r="L324" s="68"/>
      <c r="M324" s="68"/>
    </row>
    <row r="325" spans="2:13">
      <c r="B325" s="10" t="s">
        <v>171</v>
      </c>
      <c r="C325" s="11" t="s">
        <v>172</v>
      </c>
      <c r="D325" s="11"/>
      <c r="E325" s="11"/>
      <c r="F325" s="12">
        <v>31778.346381149342</v>
      </c>
      <c r="G325" s="23"/>
      <c r="H325" s="3"/>
      <c r="I325" s="67">
        <v>20836.071965852872</v>
      </c>
      <c r="J325" s="69">
        <f>I325/$I$366</f>
        <v>3.8592076246946452E-2</v>
      </c>
      <c r="L325" s="68"/>
      <c r="M325" s="68"/>
    </row>
    <row r="326" spans="2:13" hidden="1">
      <c r="B326" s="8" t="s">
        <v>171</v>
      </c>
      <c r="C326" s="8" t="s">
        <v>487</v>
      </c>
      <c r="D326" s="15" t="s">
        <v>622</v>
      </c>
      <c r="E326" s="19"/>
      <c r="F326" s="9">
        <v>4434.7512429182889</v>
      </c>
      <c r="G326" s="9">
        <v>100</v>
      </c>
      <c r="H326" s="24"/>
      <c r="I326" s="9">
        <v>2680.1006377400372</v>
      </c>
      <c r="L326" s="68"/>
      <c r="M326" s="68"/>
    </row>
    <row r="327" spans="2:13" hidden="1">
      <c r="B327" s="6"/>
      <c r="C327" s="6" t="s">
        <v>487</v>
      </c>
      <c r="D327" s="16" t="s">
        <v>203</v>
      </c>
      <c r="E327" s="20" t="s">
        <v>353</v>
      </c>
      <c r="F327" s="7">
        <v>4175.0906940065615</v>
      </c>
      <c r="G327" s="7">
        <v>94.144867779757192</v>
      </c>
      <c r="H327" s="3"/>
      <c r="I327" s="7"/>
      <c r="L327" s="68"/>
      <c r="M327" s="68"/>
    </row>
    <row r="328" spans="2:13" hidden="1">
      <c r="B328" s="8" t="s">
        <v>171</v>
      </c>
      <c r="C328" s="8" t="s">
        <v>486</v>
      </c>
      <c r="D328" s="15" t="s">
        <v>622</v>
      </c>
      <c r="E328" s="19"/>
      <c r="F328" s="9">
        <v>10470.472538461865</v>
      </c>
      <c r="G328" s="9">
        <v>100</v>
      </c>
      <c r="H328" s="24"/>
      <c r="I328" s="9">
        <v>7725.800069938281</v>
      </c>
      <c r="L328" s="68"/>
      <c r="M328" s="68"/>
    </row>
    <row r="329" spans="2:13" hidden="1">
      <c r="B329" s="6"/>
      <c r="C329" s="6" t="s">
        <v>486</v>
      </c>
      <c r="D329" s="16" t="s">
        <v>203</v>
      </c>
      <c r="E329" s="20" t="s">
        <v>353</v>
      </c>
      <c r="F329" s="7">
        <v>10361.594268035458</v>
      </c>
      <c r="G329" s="7">
        <v>98.960139859720215</v>
      </c>
      <c r="H329" s="3"/>
      <c r="I329" s="7"/>
      <c r="L329" s="68"/>
      <c r="M329" s="68"/>
    </row>
    <row r="330" spans="2:13" hidden="1">
      <c r="B330" s="8" t="s">
        <v>171</v>
      </c>
      <c r="C330" s="8" t="s">
        <v>444</v>
      </c>
      <c r="D330" s="15" t="s">
        <v>623</v>
      </c>
      <c r="E330" s="19"/>
      <c r="F330" s="9">
        <v>9282.1763110719858</v>
      </c>
      <c r="G330" s="9">
        <v>100</v>
      </c>
      <c r="H330" s="24"/>
      <c r="I330" s="9">
        <v>6672.5139122025994</v>
      </c>
      <c r="L330" s="68"/>
      <c r="M330" s="68"/>
    </row>
    <row r="331" spans="2:13" hidden="1">
      <c r="B331" s="6"/>
      <c r="C331" s="6" t="s">
        <v>444</v>
      </c>
      <c r="D331" s="16" t="s">
        <v>130</v>
      </c>
      <c r="E331" s="20" t="s">
        <v>354</v>
      </c>
      <c r="F331" s="7">
        <v>9001.284039191949</v>
      </c>
      <c r="G331" s="7">
        <v>96.973853302646475</v>
      </c>
      <c r="H331" s="3"/>
      <c r="I331" s="7"/>
      <c r="L331" s="68"/>
      <c r="M331" s="68"/>
    </row>
    <row r="332" spans="2:13" hidden="1">
      <c r="B332" s="8" t="s">
        <v>171</v>
      </c>
      <c r="C332" s="8" t="s">
        <v>636</v>
      </c>
      <c r="D332" s="15" t="s">
        <v>623</v>
      </c>
      <c r="E332" s="19"/>
      <c r="F332" s="9">
        <v>1934.8401476934953</v>
      </c>
      <c r="G332" s="9">
        <v>100</v>
      </c>
      <c r="H332" s="24"/>
      <c r="I332" s="9">
        <v>549.72351494886402</v>
      </c>
      <c r="L332" s="68"/>
      <c r="M332" s="68"/>
    </row>
    <row r="333" spans="2:13" hidden="1">
      <c r="B333" s="6"/>
      <c r="C333" s="6" t="s">
        <v>636</v>
      </c>
      <c r="D333" s="16" t="s">
        <v>130</v>
      </c>
      <c r="E333" s="20" t="s">
        <v>354</v>
      </c>
      <c r="F333" s="7">
        <v>1931.0953597384923</v>
      </c>
      <c r="G333" s="7">
        <v>99.806454917763261</v>
      </c>
      <c r="H333" s="3"/>
      <c r="I333" s="7"/>
      <c r="L333" s="68"/>
      <c r="M333" s="68"/>
    </row>
    <row r="334" spans="2:13" hidden="1">
      <c r="B334" s="8" t="s">
        <v>171</v>
      </c>
      <c r="C334" s="8" t="s">
        <v>488</v>
      </c>
      <c r="D334" s="15" t="s">
        <v>624</v>
      </c>
      <c r="E334" s="19"/>
      <c r="F334" s="9">
        <v>4372.0884555343946</v>
      </c>
      <c r="G334" s="9">
        <v>100</v>
      </c>
      <c r="H334" s="24"/>
      <c r="I334" s="9">
        <v>2460.3188623593164</v>
      </c>
      <c r="L334" s="68"/>
      <c r="M334" s="68"/>
    </row>
    <row r="335" spans="2:13" hidden="1">
      <c r="B335" s="6"/>
      <c r="C335" s="6" t="s">
        <v>488</v>
      </c>
      <c r="D335" s="16" t="s">
        <v>131</v>
      </c>
      <c r="E335" s="20" t="s">
        <v>355</v>
      </c>
      <c r="F335" s="7">
        <v>4344.5526447339744</v>
      </c>
      <c r="G335" s="7">
        <v>99.37019090348997</v>
      </c>
      <c r="H335" s="3"/>
      <c r="I335" s="7"/>
      <c r="L335" s="68"/>
      <c r="M335" s="68"/>
    </row>
    <row r="336" spans="2:13" hidden="1">
      <c r="B336" s="8" t="s">
        <v>171</v>
      </c>
      <c r="C336" s="8" t="s">
        <v>637</v>
      </c>
      <c r="D336" s="15" t="s">
        <v>624</v>
      </c>
      <c r="E336" s="19"/>
      <c r="F336" s="9">
        <v>112.17557554628549</v>
      </c>
      <c r="G336" s="9">
        <v>100</v>
      </c>
      <c r="H336" s="24"/>
      <c r="I336" s="9">
        <v>49.005508567944531</v>
      </c>
      <c r="L336" s="68"/>
      <c r="M336" s="68"/>
    </row>
    <row r="337" spans="2:13" hidden="1">
      <c r="B337" s="6"/>
      <c r="C337" s="6" t="s">
        <v>637</v>
      </c>
      <c r="D337" s="16" t="s">
        <v>131</v>
      </c>
      <c r="E337" s="20" t="s">
        <v>355</v>
      </c>
      <c r="F337" s="7">
        <v>112.17557554628549</v>
      </c>
      <c r="G337" s="7">
        <v>100</v>
      </c>
      <c r="H337" s="3"/>
      <c r="I337" s="7"/>
      <c r="L337" s="68"/>
      <c r="M337" s="68"/>
    </row>
    <row r="338" spans="2:13" hidden="1">
      <c r="B338" s="8" t="s">
        <v>171</v>
      </c>
      <c r="C338" s="8" t="s">
        <v>625</v>
      </c>
      <c r="D338" s="15" t="s">
        <v>626</v>
      </c>
      <c r="E338" s="19"/>
      <c r="F338" s="9">
        <v>151.43895013784504</v>
      </c>
      <c r="G338" s="9">
        <v>100</v>
      </c>
      <c r="H338" s="24"/>
      <c r="I338" s="9">
        <v>92.895137590365408</v>
      </c>
      <c r="L338" s="68"/>
      <c r="M338" s="68"/>
    </row>
    <row r="339" spans="2:13" hidden="1">
      <c r="B339" s="6"/>
      <c r="C339" s="6" t="s">
        <v>625</v>
      </c>
      <c r="D339" s="16" t="s">
        <v>132</v>
      </c>
      <c r="E339" s="20" t="s">
        <v>521</v>
      </c>
      <c r="F339" s="7">
        <v>151.43895013784504</v>
      </c>
      <c r="G339" s="7">
        <v>100</v>
      </c>
      <c r="H339" s="3"/>
      <c r="I339" s="7"/>
      <c r="L339" s="68"/>
      <c r="M339" s="68"/>
    </row>
    <row r="340" spans="2:13" hidden="1">
      <c r="B340" s="8" t="s">
        <v>171</v>
      </c>
      <c r="C340" s="8" t="s">
        <v>489</v>
      </c>
      <c r="D340" s="15" t="s">
        <v>626</v>
      </c>
      <c r="E340" s="19"/>
      <c r="F340" s="9">
        <v>1020.4031597851797</v>
      </c>
      <c r="G340" s="9">
        <v>100</v>
      </c>
      <c r="H340" s="24"/>
      <c r="I340" s="9">
        <v>605.71432250546309</v>
      </c>
      <c r="L340" s="68"/>
      <c r="M340" s="68"/>
    </row>
    <row r="341" spans="2:13" hidden="1">
      <c r="B341" s="6"/>
      <c r="C341" s="6" t="s">
        <v>489</v>
      </c>
      <c r="D341" s="16" t="s">
        <v>132</v>
      </c>
      <c r="E341" s="20" t="s">
        <v>521</v>
      </c>
      <c r="F341" s="7">
        <v>1010.7182231353574</v>
      </c>
      <c r="G341" s="7">
        <v>99.050871554351005</v>
      </c>
      <c r="H341" s="3"/>
      <c r="I341" s="7"/>
      <c r="L341" s="68"/>
      <c r="M341" s="68"/>
    </row>
    <row r="342" spans="2:13">
      <c r="B342" s="10" t="s">
        <v>173</v>
      </c>
      <c r="C342" s="11" t="s">
        <v>174</v>
      </c>
      <c r="D342" s="11"/>
      <c r="E342" s="11"/>
      <c r="F342" s="12">
        <v>3386.143406232989</v>
      </c>
      <c r="G342" s="23"/>
      <c r="H342" s="3"/>
      <c r="I342" s="67">
        <v>1927.5855475325809</v>
      </c>
      <c r="J342" s="69">
        <f>I342/$I$366</f>
        <v>3.570228042252994E-3</v>
      </c>
      <c r="L342" s="68"/>
      <c r="M342" s="68"/>
    </row>
    <row r="343" spans="2:13" hidden="1">
      <c r="B343" s="8" t="s">
        <v>173</v>
      </c>
      <c r="C343" s="8" t="s">
        <v>463</v>
      </c>
      <c r="D343" s="15" t="s">
        <v>627</v>
      </c>
      <c r="E343" s="19"/>
      <c r="F343" s="9">
        <v>1109.384162518463</v>
      </c>
      <c r="G343" s="9">
        <v>100</v>
      </c>
      <c r="H343" s="24"/>
      <c r="I343" s="9">
        <v>737.35591258693921</v>
      </c>
      <c r="L343" s="68"/>
      <c r="M343" s="68"/>
    </row>
    <row r="344" spans="2:13" hidden="1">
      <c r="B344" s="6"/>
      <c r="C344" s="6" t="s">
        <v>463</v>
      </c>
      <c r="D344" s="16" t="s">
        <v>102</v>
      </c>
      <c r="E344" s="20" t="s">
        <v>328</v>
      </c>
      <c r="F344" s="7">
        <v>1031.541274315096</v>
      </c>
      <c r="G344" s="7">
        <v>92.983234227298468</v>
      </c>
      <c r="H344" s="3"/>
      <c r="I344" s="7"/>
      <c r="L344" s="68"/>
      <c r="M344" s="68"/>
    </row>
    <row r="345" spans="2:13" hidden="1">
      <c r="B345" s="8" t="s">
        <v>173</v>
      </c>
      <c r="C345" s="8" t="s">
        <v>490</v>
      </c>
      <c r="D345" s="15" t="s">
        <v>627</v>
      </c>
      <c r="E345" s="19"/>
      <c r="F345" s="9">
        <v>85.451811590437231</v>
      </c>
      <c r="G345" s="9">
        <v>100</v>
      </c>
      <c r="H345" s="24"/>
      <c r="I345" s="9">
        <v>36.649556003277318</v>
      </c>
      <c r="L345" s="68"/>
      <c r="M345" s="68"/>
    </row>
    <row r="346" spans="2:13" hidden="1">
      <c r="B346" s="6"/>
      <c r="C346" s="6" t="s">
        <v>490</v>
      </c>
      <c r="D346" s="16" t="s">
        <v>133</v>
      </c>
      <c r="E346" s="20" t="s">
        <v>356</v>
      </c>
      <c r="F346" s="7">
        <v>85.451811590437231</v>
      </c>
      <c r="G346" s="7">
        <v>100</v>
      </c>
      <c r="H346" s="3"/>
      <c r="I346" s="7"/>
      <c r="L346" s="68"/>
      <c r="M346" s="68"/>
    </row>
    <row r="347" spans="2:13" hidden="1">
      <c r="B347" s="8" t="s">
        <v>173</v>
      </c>
      <c r="C347" s="8" t="s">
        <v>491</v>
      </c>
      <c r="D347" s="15" t="s">
        <v>628</v>
      </c>
      <c r="E347" s="19"/>
      <c r="F347" s="9">
        <v>1937.0700073261326</v>
      </c>
      <c r="G347" s="9">
        <v>100</v>
      </c>
      <c r="H347" s="24"/>
      <c r="I347" s="9">
        <v>1021.9288890659187</v>
      </c>
      <c r="L347" s="68"/>
      <c r="M347" s="68"/>
    </row>
    <row r="348" spans="2:13" hidden="1">
      <c r="B348" s="4"/>
      <c r="C348" s="4" t="s">
        <v>491</v>
      </c>
      <c r="D348" s="17" t="s">
        <v>134</v>
      </c>
      <c r="E348" s="21" t="s">
        <v>357</v>
      </c>
      <c r="F348" s="5">
        <v>1500.5761690179831</v>
      </c>
      <c r="G348" s="5">
        <v>77.466284818963715</v>
      </c>
      <c r="H348" s="3"/>
      <c r="I348" s="5"/>
      <c r="L348" s="68"/>
      <c r="M348" s="68"/>
    </row>
    <row r="349" spans="2:13" hidden="1">
      <c r="B349" s="6"/>
      <c r="C349" s="6" t="s">
        <v>491</v>
      </c>
      <c r="D349" s="16" t="s">
        <v>101</v>
      </c>
      <c r="E349" s="20" t="s">
        <v>324</v>
      </c>
      <c r="F349" s="7">
        <v>274.96048732218901</v>
      </c>
      <c r="G349" s="7">
        <v>14.194659267980478</v>
      </c>
      <c r="I349" s="7"/>
      <c r="L349" s="68"/>
      <c r="M349" s="68"/>
    </row>
    <row r="350" spans="2:13" hidden="1">
      <c r="B350" s="8" t="s">
        <v>173</v>
      </c>
      <c r="C350" s="8" t="s">
        <v>638</v>
      </c>
      <c r="D350" s="15" t="s">
        <v>628</v>
      </c>
      <c r="E350" s="19"/>
      <c r="F350" s="9">
        <v>254.23742479795615</v>
      </c>
      <c r="G350" s="9">
        <v>100</v>
      </c>
      <c r="H350" s="25"/>
      <c r="I350" s="9">
        <v>131.65118987644564</v>
      </c>
      <c r="L350" s="68"/>
      <c r="M350" s="68"/>
    </row>
    <row r="351" spans="2:13" hidden="1">
      <c r="B351" s="6"/>
      <c r="C351" s="6" t="s">
        <v>638</v>
      </c>
      <c r="D351" s="16" t="s">
        <v>134</v>
      </c>
      <c r="E351" s="20" t="s">
        <v>357</v>
      </c>
      <c r="F351" s="7">
        <v>252.59649933795615</v>
      </c>
      <c r="G351" s="7">
        <v>99.354569666010391</v>
      </c>
      <c r="I351" s="7"/>
      <c r="L351" s="68"/>
      <c r="M351" s="68"/>
    </row>
    <row r="352" spans="2:13">
      <c r="B352" s="10" t="s">
        <v>175</v>
      </c>
      <c r="C352" s="11" t="s">
        <v>176</v>
      </c>
      <c r="D352" s="11"/>
      <c r="E352" s="11"/>
      <c r="F352" s="12">
        <v>17276.657985194684</v>
      </c>
      <c r="G352" s="23"/>
      <c r="I352" s="67">
        <v>13351.553960685336</v>
      </c>
      <c r="J352" s="69">
        <f>I352/$I$366</f>
        <v>2.4729430254916928E-2</v>
      </c>
      <c r="L352" s="68"/>
      <c r="M352" s="68"/>
    </row>
    <row r="353" spans="2:13" hidden="1">
      <c r="B353" s="8" t="s">
        <v>175</v>
      </c>
      <c r="C353" s="8" t="s">
        <v>493</v>
      </c>
      <c r="D353" s="15" t="s">
        <v>629</v>
      </c>
      <c r="E353" s="19"/>
      <c r="F353" s="9">
        <v>497.19341154337917</v>
      </c>
      <c r="G353" s="9">
        <v>100</v>
      </c>
      <c r="H353" s="25"/>
      <c r="I353" s="9">
        <v>328.70513587734445</v>
      </c>
      <c r="L353" s="68"/>
      <c r="M353" s="68"/>
    </row>
    <row r="354" spans="2:13" hidden="1">
      <c r="B354" s="6"/>
      <c r="C354" s="6" t="s">
        <v>493</v>
      </c>
      <c r="D354" s="16" t="s">
        <v>135</v>
      </c>
      <c r="E354" s="20" t="s">
        <v>360</v>
      </c>
      <c r="F354" s="7">
        <v>479.39442300557829</v>
      </c>
      <c r="G354" s="7">
        <v>96.420107723762953</v>
      </c>
      <c r="I354" s="7"/>
      <c r="L354" s="68"/>
      <c r="M354" s="68"/>
    </row>
    <row r="355" spans="2:13" hidden="1">
      <c r="B355" s="8" t="s">
        <v>175</v>
      </c>
      <c r="C355" s="8" t="s">
        <v>494</v>
      </c>
      <c r="D355" s="15" t="s">
        <v>639</v>
      </c>
      <c r="E355" s="19"/>
      <c r="F355" s="9">
        <v>3249.6826804892253</v>
      </c>
      <c r="G355" s="9">
        <v>100</v>
      </c>
      <c r="H355" s="25"/>
      <c r="I355" s="9">
        <v>1659.0239827575806</v>
      </c>
      <c r="L355" s="68"/>
      <c r="M355" s="68"/>
    </row>
    <row r="356" spans="2:13" hidden="1">
      <c r="B356" s="6"/>
      <c r="C356" s="6" t="s">
        <v>494</v>
      </c>
      <c r="D356" s="16" t="s">
        <v>136</v>
      </c>
      <c r="E356" s="20" t="s">
        <v>361</v>
      </c>
      <c r="F356" s="7">
        <v>3078.6338311232521</v>
      </c>
      <c r="G356" s="7">
        <v>94.736444564482142</v>
      </c>
      <c r="I356" s="7"/>
      <c r="L356" s="68"/>
      <c r="M356" s="68"/>
    </row>
    <row r="357" spans="2:13" hidden="1">
      <c r="B357" s="8" t="s">
        <v>175</v>
      </c>
      <c r="C357" s="8" t="s">
        <v>492</v>
      </c>
      <c r="D357" s="15" t="s">
        <v>630</v>
      </c>
      <c r="E357" s="19"/>
      <c r="F357" s="9">
        <v>1422.1308832304849</v>
      </c>
      <c r="G357" s="9">
        <v>100</v>
      </c>
      <c r="H357" s="25"/>
      <c r="I357" s="9">
        <v>982.85372090477381</v>
      </c>
      <c r="L357" s="68"/>
      <c r="M357" s="68"/>
    </row>
    <row r="358" spans="2:13" hidden="1">
      <c r="B358" s="4"/>
      <c r="C358" s="4" t="s">
        <v>492</v>
      </c>
      <c r="D358" s="17" t="s">
        <v>138</v>
      </c>
      <c r="E358" s="21" t="s">
        <v>359</v>
      </c>
      <c r="F358" s="5">
        <v>970.06307689817743</v>
      </c>
      <c r="G358" s="5">
        <v>68.211940851365313</v>
      </c>
      <c r="I358" s="5"/>
      <c r="L358" s="68"/>
      <c r="M358" s="68"/>
    </row>
    <row r="359" spans="2:13" hidden="1">
      <c r="B359" s="6"/>
      <c r="C359" s="6" t="s">
        <v>492</v>
      </c>
      <c r="D359" s="16" t="s">
        <v>137</v>
      </c>
      <c r="E359" s="20" t="s">
        <v>358</v>
      </c>
      <c r="F359" s="7">
        <v>416.8513283101563</v>
      </c>
      <c r="G359" s="7">
        <v>29.311741501826116</v>
      </c>
      <c r="I359" s="7"/>
      <c r="L359" s="68"/>
      <c r="M359" s="68"/>
    </row>
    <row r="360" spans="2:13" hidden="1">
      <c r="B360" s="8" t="s">
        <v>175</v>
      </c>
      <c r="C360" s="8" t="s">
        <v>495</v>
      </c>
      <c r="D360" s="15" t="s">
        <v>631</v>
      </c>
      <c r="E360" s="19"/>
      <c r="F360" s="9">
        <v>12107.651009931595</v>
      </c>
      <c r="G360" s="9">
        <v>100</v>
      </c>
      <c r="H360" s="25"/>
      <c r="I360" s="9">
        <v>10380.971121145638</v>
      </c>
      <c r="L360" s="68"/>
      <c r="M360" s="68"/>
    </row>
    <row r="361" spans="2:13" hidden="1">
      <c r="B361" s="6"/>
      <c r="C361" s="6" t="s">
        <v>495</v>
      </c>
      <c r="D361" s="16" t="s">
        <v>139</v>
      </c>
      <c r="E361" s="20" t="s">
        <v>362</v>
      </c>
      <c r="F361" s="7">
        <v>11727.564339080946</v>
      </c>
      <c r="G361" s="7">
        <v>96.860772824234246</v>
      </c>
      <c r="I361" s="7"/>
      <c r="L361" s="68"/>
      <c r="M361" s="68"/>
    </row>
    <row r="362" spans="2:13">
      <c r="B362" s="10" t="s">
        <v>177</v>
      </c>
      <c r="C362" s="11" t="s">
        <v>178</v>
      </c>
      <c r="D362" s="11"/>
      <c r="E362" s="11"/>
      <c r="F362" s="12">
        <v>10357.041057643701</v>
      </c>
      <c r="G362" s="23"/>
      <c r="I362" s="67">
        <v>10357.041057643701</v>
      </c>
      <c r="J362" s="69">
        <f>I362/$I$366</f>
        <v>1.918306477556745E-2</v>
      </c>
      <c r="L362" s="68"/>
      <c r="M362" s="68"/>
    </row>
    <row r="363" spans="2:13" hidden="1">
      <c r="B363" s="8" t="s">
        <v>177</v>
      </c>
      <c r="C363" s="8" t="s">
        <v>496</v>
      </c>
      <c r="D363" s="15" t="s">
        <v>633</v>
      </c>
      <c r="E363" s="19"/>
      <c r="F363" s="9">
        <v>10357.041057643701</v>
      </c>
      <c r="G363" s="9">
        <v>100</v>
      </c>
      <c r="H363" s="25"/>
      <c r="I363" s="9">
        <v>10357.041057643701</v>
      </c>
      <c r="L363" s="68"/>
      <c r="M363" s="68"/>
    </row>
    <row r="364" spans="2:13" hidden="1">
      <c r="B364" s="13"/>
      <c r="C364" s="13" t="s">
        <v>496</v>
      </c>
      <c r="D364" s="18" t="s">
        <v>140</v>
      </c>
      <c r="E364" s="22" t="s">
        <v>363</v>
      </c>
      <c r="F364" s="14">
        <v>10357.041057643701</v>
      </c>
      <c r="G364" s="14">
        <v>100</v>
      </c>
      <c r="I364" s="14"/>
    </row>
    <row r="366" spans="2:13">
      <c r="I366" s="70">
        <f>SUBTOTAL(9,I9:I362)-I233</f>
        <v>539905.44153481501</v>
      </c>
    </row>
  </sheetData>
  <autoFilter ref="B8:I364" xr:uid="{655FAB4D-3471-483C-BA3A-4F8E12047B17}">
    <filterColumn colId="0">
      <colorFilter dxfId="76"/>
    </filterColumn>
  </autoFilter>
  <conditionalFormatting sqref="F9:G9">
    <cfRule type="cellIs" dxfId="75" priority="38" operator="equal">
      <formula>0</formula>
    </cfRule>
  </conditionalFormatting>
  <conditionalFormatting sqref="F66:G66">
    <cfRule type="cellIs" dxfId="74" priority="37" operator="equal">
      <formula>0</formula>
    </cfRule>
  </conditionalFormatting>
  <conditionalFormatting sqref="F80:G80">
    <cfRule type="cellIs" dxfId="73" priority="36" operator="equal">
      <formula>0</formula>
    </cfRule>
  </conditionalFormatting>
  <conditionalFormatting sqref="F210:G210">
    <cfRule type="cellIs" dxfId="72" priority="35" operator="equal">
      <formula>0</formula>
    </cfRule>
  </conditionalFormatting>
  <conditionalFormatting sqref="F220:G220">
    <cfRule type="cellIs" dxfId="71" priority="34" operator="equal">
      <formula>0</formula>
    </cfRule>
  </conditionalFormatting>
  <conditionalFormatting sqref="F233:G233">
    <cfRule type="cellIs" dxfId="70" priority="33" operator="equal">
      <formula>0</formula>
    </cfRule>
  </conditionalFormatting>
  <conditionalFormatting sqref="F238:G238">
    <cfRule type="cellIs" dxfId="69" priority="32" operator="equal">
      <formula>0</formula>
    </cfRule>
  </conditionalFormatting>
  <conditionalFormatting sqref="F248:G248">
    <cfRule type="cellIs" dxfId="68" priority="31" operator="equal">
      <formula>0</formula>
    </cfRule>
  </conditionalFormatting>
  <conditionalFormatting sqref="F253:G253">
    <cfRule type="cellIs" dxfId="67" priority="30" operator="equal">
      <formula>0</formula>
    </cfRule>
  </conditionalFormatting>
  <conditionalFormatting sqref="F264:G264">
    <cfRule type="cellIs" dxfId="66" priority="29" operator="equal">
      <formula>0</formula>
    </cfRule>
  </conditionalFormatting>
  <conditionalFormatting sqref="F273:G273">
    <cfRule type="cellIs" dxfId="65" priority="28" operator="equal">
      <formula>0</formula>
    </cfRule>
  </conditionalFormatting>
  <conditionalFormatting sqref="F280:G280">
    <cfRule type="cellIs" dxfId="64" priority="27" operator="equal">
      <formula>0</formula>
    </cfRule>
  </conditionalFormatting>
  <conditionalFormatting sqref="F298:G298">
    <cfRule type="cellIs" dxfId="63" priority="26" operator="equal">
      <formula>0</formula>
    </cfRule>
  </conditionalFormatting>
  <conditionalFormatting sqref="F313:G313">
    <cfRule type="cellIs" dxfId="62" priority="25" operator="equal">
      <formula>0</formula>
    </cfRule>
  </conditionalFormatting>
  <conditionalFormatting sqref="F320:G320">
    <cfRule type="cellIs" dxfId="61" priority="24" operator="equal">
      <formula>0</formula>
    </cfRule>
  </conditionalFormatting>
  <conditionalFormatting sqref="F325:G325">
    <cfRule type="cellIs" dxfId="60" priority="23" operator="equal">
      <formula>0</formula>
    </cfRule>
  </conditionalFormatting>
  <conditionalFormatting sqref="F342:G342">
    <cfRule type="cellIs" dxfId="59" priority="22" operator="equal">
      <formula>0</formula>
    </cfRule>
  </conditionalFormatting>
  <conditionalFormatting sqref="F352:G352">
    <cfRule type="cellIs" dxfId="58" priority="21" operator="equal">
      <formula>0</formula>
    </cfRule>
  </conditionalFormatting>
  <conditionalFormatting sqref="F362:G362">
    <cfRule type="cellIs" dxfId="57" priority="20" operator="equal">
      <formula>0</formula>
    </cfRule>
  </conditionalFormatting>
  <conditionalFormatting sqref="I9">
    <cfRule type="cellIs" dxfId="56" priority="19" operator="equal">
      <formula>0</formula>
    </cfRule>
  </conditionalFormatting>
  <conditionalFormatting sqref="I66">
    <cfRule type="cellIs" dxfId="55" priority="18" operator="equal">
      <formula>0</formula>
    </cfRule>
  </conditionalFormatting>
  <conditionalFormatting sqref="I80">
    <cfRule type="cellIs" dxfId="54" priority="17" operator="equal">
      <formula>0</formula>
    </cfRule>
  </conditionalFormatting>
  <conditionalFormatting sqref="I210">
    <cfRule type="cellIs" dxfId="53" priority="16" operator="equal">
      <formula>0</formula>
    </cfRule>
  </conditionalFormatting>
  <conditionalFormatting sqref="I220">
    <cfRule type="cellIs" dxfId="52" priority="15" operator="equal">
      <formula>0</formula>
    </cfRule>
  </conditionalFormatting>
  <conditionalFormatting sqref="I233">
    <cfRule type="cellIs" dxfId="51" priority="14" operator="equal">
      <formula>0</formula>
    </cfRule>
  </conditionalFormatting>
  <conditionalFormatting sqref="I238">
    <cfRule type="cellIs" dxfId="50" priority="13" operator="equal">
      <formula>0</formula>
    </cfRule>
  </conditionalFormatting>
  <conditionalFormatting sqref="I248">
    <cfRule type="cellIs" dxfId="49" priority="12" operator="equal">
      <formula>0</formula>
    </cfRule>
  </conditionalFormatting>
  <conditionalFormatting sqref="I253">
    <cfRule type="cellIs" dxfId="48" priority="11" operator="equal">
      <formula>0</formula>
    </cfRule>
  </conditionalFormatting>
  <conditionalFormatting sqref="I264">
    <cfRule type="cellIs" dxfId="47" priority="10" operator="equal">
      <formula>0</formula>
    </cfRule>
  </conditionalFormatting>
  <conditionalFormatting sqref="I273">
    <cfRule type="cellIs" dxfId="46" priority="9" operator="equal">
      <formula>0</formula>
    </cfRule>
  </conditionalFormatting>
  <conditionalFormatting sqref="I280">
    <cfRule type="cellIs" dxfId="45" priority="8" operator="equal">
      <formula>0</formula>
    </cfRule>
  </conditionalFormatting>
  <conditionalFormatting sqref="I298">
    <cfRule type="cellIs" dxfId="44" priority="7" operator="equal">
      <formula>0</formula>
    </cfRule>
  </conditionalFormatting>
  <conditionalFormatting sqref="I313">
    <cfRule type="cellIs" dxfId="43" priority="6" operator="equal">
      <formula>0</formula>
    </cfRule>
  </conditionalFormatting>
  <conditionalFormatting sqref="I320">
    <cfRule type="cellIs" dxfId="42" priority="5" operator="equal">
      <formula>0</formula>
    </cfRule>
  </conditionalFormatting>
  <conditionalFormatting sqref="I325">
    <cfRule type="cellIs" dxfId="41" priority="4" operator="equal">
      <formula>0</formula>
    </cfRule>
  </conditionalFormatting>
  <conditionalFormatting sqref="I342">
    <cfRule type="cellIs" dxfId="40" priority="3" operator="equal">
      <formula>0</formula>
    </cfRule>
  </conditionalFormatting>
  <conditionalFormatting sqref="I352">
    <cfRule type="cellIs" dxfId="39" priority="2" operator="equal">
      <formula>0</formula>
    </cfRule>
  </conditionalFormatting>
  <conditionalFormatting sqref="I362">
    <cfRule type="cellIs" dxfId="38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BCD5-AE6B-4D6C-BF48-88810913B1B8}">
  <sheetPr>
    <tabColor rgb="FF92D050"/>
  </sheetPr>
  <dimension ref="B1:S241"/>
  <sheetViews>
    <sheetView showGridLines="0" zoomScaleNormal="100" workbookViewId="0">
      <pane xSplit="2" ySplit="8" topLeftCell="C9" activePane="bottomRight" state="frozen"/>
      <selection activeCell="A10" sqref="A10"/>
      <selection pane="topRight" activeCell="A10" sqref="A10"/>
      <selection pane="bottomLeft" activeCell="A10" sqref="A10"/>
      <selection pane="bottomRight" activeCell="C9" sqref="C9"/>
    </sheetView>
  </sheetViews>
  <sheetFormatPr defaultColWidth="10.90625" defaultRowHeight="14.5" outlineLevelRow="1"/>
  <cols>
    <col min="1" max="1" width="2.54296875" customWidth="1"/>
    <col min="4" max="4" width="61.26953125" customWidth="1"/>
    <col min="5" max="5" width="14.7265625" bestFit="1" customWidth="1"/>
    <col min="6" max="6" width="15.1796875" bestFit="1" customWidth="1"/>
    <col min="7" max="7" width="14.81640625" customWidth="1"/>
    <col min="8" max="8" width="16.54296875" customWidth="1"/>
    <col min="9" max="9" width="14.7265625" bestFit="1" customWidth="1"/>
    <col min="10" max="10" width="15.1796875" bestFit="1" customWidth="1"/>
    <col min="11" max="11" width="14.81640625" customWidth="1"/>
    <col min="13" max="13" width="18.54296875" bestFit="1" customWidth="1"/>
    <col min="14" max="14" width="20.7265625" bestFit="1" customWidth="1"/>
  </cols>
  <sheetData>
    <row r="1" spans="2:19">
      <c r="B1" s="30" t="s">
        <v>758</v>
      </c>
    </row>
    <row r="2" spans="2:19">
      <c r="B2" s="30" t="s">
        <v>759</v>
      </c>
    </row>
    <row r="3" spans="2:19">
      <c r="B3" s="30" t="s">
        <v>760</v>
      </c>
    </row>
    <row r="4" spans="2:19">
      <c r="B4" s="30" t="s">
        <v>763</v>
      </c>
    </row>
    <row r="5" spans="2:19">
      <c r="B5" s="30" t="s">
        <v>764</v>
      </c>
    </row>
    <row r="6" spans="2:19" s="31" customFormat="1">
      <c r="B6" s="30" t="s">
        <v>762</v>
      </c>
      <c r="I6" s="60"/>
      <c r="J6" s="60"/>
      <c r="K6" s="60"/>
    </row>
    <row r="7" spans="2:19">
      <c r="E7" s="60"/>
      <c r="F7" s="60"/>
      <c r="G7" s="60"/>
      <c r="I7" s="60"/>
      <c r="J7" s="60"/>
      <c r="K7" s="60"/>
    </row>
    <row r="8" spans="2:19" ht="28">
      <c r="B8" s="32" t="s">
        <v>179</v>
      </c>
      <c r="C8" s="33" t="s">
        <v>204</v>
      </c>
      <c r="D8" s="34" t="s">
        <v>644</v>
      </c>
      <c r="E8" s="35" t="s">
        <v>645</v>
      </c>
      <c r="F8" s="36" t="s">
        <v>646</v>
      </c>
      <c r="G8" s="37" t="s">
        <v>647</v>
      </c>
      <c r="H8" s="38"/>
      <c r="I8" s="35" t="s">
        <v>648</v>
      </c>
      <c r="J8" s="36" t="s">
        <v>649</v>
      </c>
      <c r="K8" s="37" t="s">
        <v>650</v>
      </c>
    </row>
    <row r="9" spans="2:19">
      <c r="B9" s="39" t="s">
        <v>141</v>
      </c>
      <c r="C9" s="40" t="s">
        <v>143</v>
      </c>
      <c r="D9" s="41"/>
      <c r="E9" s="42">
        <v>124469.98118653957</v>
      </c>
      <c r="F9" s="43">
        <v>11496.156474522353</v>
      </c>
      <c r="G9" s="44">
        <v>135966.13766106189</v>
      </c>
      <c r="H9" s="59"/>
      <c r="I9" s="42">
        <v>167544.31098278475</v>
      </c>
      <c r="J9" s="43">
        <v>29308.208047753695</v>
      </c>
      <c r="K9" s="44">
        <v>196852.51903053836</v>
      </c>
      <c r="L9" s="54"/>
      <c r="M9" s="55"/>
      <c r="N9" s="55"/>
      <c r="O9" s="55"/>
      <c r="Q9" s="55"/>
      <c r="R9" s="55"/>
      <c r="S9" s="55"/>
    </row>
    <row r="10" spans="2:19" outlineLevel="1">
      <c r="B10" s="45" t="s">
        <v>141</v>
      </c>
      <c r="C10" s="46" t="s">
        <v>0</v>
      </c>
      <c r="D10" s="47" t="s">
        <v>205</v>
      </c>
      <c r="E10" s="48">
        <v>6.9228735999868345</v>
      </c>
      <c r="F10" s="49">
        <v>2558.9672780974997</v>
      </c>
      <c r="G10" s="50">
        <v>2565.8901516974865</v>
      </c>
      <c r="H10" s="58"/>
      <c r="I10" s="48">
        <v>2659.5290266726911</v>
      </c>
      <c r="J10" s="49">
        <v>7.2623924999999992E-3</v>
      </c>
      <c r="K10" s="50">
        <v>2659.5362890651909</v>
      </c>
      <c r="M10" s="55"/>
      <c r="N10" s="55"/>
      <c r="O10" s="55"/>
      <c r="Q10" s="55"/>
      <c r="R10" s="55"/>
      <c r="S10" s="55"/>
    </row>
    <row r="11" spans="2:19" outlineLevel="1">
      <c r="B11" s="51" t="s">
        <v>141</v>
      </c>
      <c r="C11" s="52" t="s">
        <v>180</v>
      </c>
      <c r="D11" s="53" t="s">
        <v>206</v>
      </c>
      <c r="E11" s="48">
        <v>8902.3375800546273</v>
      </c>
      <c r="F11" s="49">
        <v>4859.7301387069583</v>
      </c>
      <c r="G11" s="50">
        <v>13762.067718761586</v>
      </c>
      <c r="H11" s="58"/>
      <c r="I11" s="48">
        <v>17271.189739768681</v>
      </c>
      <c r="J11" s="49">
        <v>91.833158976420009</v>
      </c>
      <c r="K11" s="50">
        <v>17363.022898745101</v>
      </c>
      <c r="M11" s="55"/>
      <c r="N11" s="55"/>
      <c r="O11" s="55"/>
      <c r="Q11" s="55"/>
      <c r="R11" s="55"/>
      <c r="S11" s="55"/>
    </row>
    <row r="12" spans="2:19" outlineLevel="1">
      <c r="B12" s="51" t="s">
        <v>141</v>
      </c>
      <c r="C12" s="52" t="s">
        <v>651</v>
      </c>
      <c r="D12" s="53" t="s">
        <v>652</v>
      </c>
      <c r="E12" s="48">
        <v>184.15769624865959</v>
      </c>
      <c r="F12" s="49">
        <v>22.778898366650001</v>
      </c>
      <c r="G12" s="50">
        <v>206.93659461530959</v>
      </c>
      <c r="H12" s="58"/>
      <c r="I12" s="48">
        <v>258.12117188515606</v>
      </c>
      <c r="J12" s="49">
        <v>1.4504935777799999</v>
      </c>
      <c r="K12" s="50">
        <v>259.57166546293604</v>
      </c>
      <c r="M12" s="55"/>
      <c r="N12" s="55"/>
      <c r="O12" s="55"/>
      <c r="Q12" s="55"/>
      <c r="R12" s="55"/>
      <c r="S12" s="55"/>
    </row>
    <row r="13" spans="2:19" outlineLevel="1">
      <c r="B13" s="51" t="s">
        <v>141</v>
      </c>
      <c r="C13" s="52" t="s">
        <v>1</v>
      </c>
      <c r="D13" s="53" t="s">
        <v>207</v>
      </c>
      <c r="E13" s="48">
        <v>815.50364676579852</v>
      </c>
      <c r="F13" s="49">
        <v>140.11114492285998</v>
      </c>
      <c r="G13" s="50">
        <v>955.61479168865844</v>
      </c>
      <c r="H13" s="58"/>
      <c r="I13" s="48">
        <v>798.21005002465199</v>
      </c>
      <c r="J13" s="49">
        <v>403.25210866582</v>
      </c>
      <c r="K13" s="50">
        <v>1201.4621586904721</v>
      </c>
      <c r="M13" s="55"/>
      <c r="N13" s="55"/>
      <c r="O13" s="55"/>
      <c r="Q13" s="55"/>
      <c r="R13" s="55"/>
      <c r="S13" s="55"/>
    </row>
    <row r="14" spans="2:19" outlineLevel="1">
      <c r="B14" s="51" t="s">
        <v>141</v>
      </c>
      <c r="C14" s="52" t="s">
        <v>181</v>
      </c>
      <c r="D14" s="53" t="s">
        <v>208</v>
      </c>
      <c r="E14" s="48">
        <v>2907.3670630789325</v>
      </c>
      <c r="F14" s="49">
        <v>305.39285473612654</v>
      </c>
      <c r="G14" s="50">
        <v>3212.759917815059</v>
      </c>
      <c r="H14" s="58"/>
      <c r="I14" s="48">
        <v>4983.5215555212199</v>
      </c>
      <c r="J14" s="49">
        <v>10.601314432700001</v>
      </c>
      <c r="K14" s="50">
        <v>4994.1228699539197</v>
      </c>
      <c r="M14" s="55"/>
      <c r="N14" s="55"/>
      <c r="O14" s="55"/>
      <c r="Q14" s="55"/>
      <c r="R14" s="55"/>
      <c r="S14" s="55"/>
    </row>
    <row r="15" spans="2:19" outlineLevel="1">
      <c r="B15" s="51" t="s">
        <v>141</v>
      </c>
      <c r="C15" s="52" t="s">
        <v>653</v>
      </c>
      <c r="D15" s="53" t="s">
        <v>654</v>
      </c>
      <c r="E15" s="48">
        <v>3.272000084186315</v>
      </c>
      <c r="F15" s="49">
        <v>20.428725655099999</v>
      </c>
      <c r="G15" s="50">
        <v>23.700725739286312</v>
      </c>
      <c r="H15" s="58"/>
      <c r="I15" s="48">
        <v>47.519797714792851</v>
      </c>
      <c r="J15" s="49">
        <v>0.26345835044999999</v>
      </c>
      <c r="K15" s="50">
        <v>47.783256065242853</v>
      </c>
      <c r="M15" s="55"/>
      <c r="N15" s="55"/>
      <c r="O15" s="55"/>
      <c r="Q15" s="55"/>
      <c r="R15" s="55"/>
      <c r="S15" s="55"/>
    </row>
    <row r="16" spans="2:19" outlineLevel="1">
      <c r="B16" s="51" t="s">
        <v>141</v>
      </c>
      <c r="C16" s="52" t="s">
        <v>2</v>
      </c>
      <c r="D16" s="53" t="s">
        <v>209</v>
      </c>
      <c r="E16" s="48">
        <v>125.19715577001652</v>
      </c>
      <c r="F16" s="49">
        <v>499.6858369679</v>
      </c>
      <c r="G16" s="50">
        <v>624.88299273791654</v>
      </c>
      <c r="H16" s="58"/>
      <c r="I16" s="48">
        <v>678.52731823040688</v>
      </c>
      <c r="J16" s="49">
        <v>0</v>
      </c>
      <c r="K16" s="50">
        <v>678.52731823040688</v>
      </c>
      <c r="M16" s="55"/>
      <c r="N16" s="55"/>
      <c r="O16" s="55"/>
      <c r="Q16" s="55"/>
      <c r="R16" s="55"/>
      <c r="S16" s="55"/>
    </row>
    <row r="17" spans="2:19" outlineLevel="1">
      <c r="B17" s="51" t="s">
        <v>141</v>
      </c>
      <c r="C17" s="52" t="s">
        <v>3</v>
      </c>
      <c r="D17" s="53" t="s">
        <v>210</v>
      </c>
      <c r="E17" s="48">
        <v>6309.3242957205921</v>
      </c>
      <c r="F17" s="49">
        <v>10.350018227170002</v>
      </c>
      <c r="G17" s="50">
        <v>6319.6743139477621</v>
      </c>
      <c r="H17" s="58"/>
      <c r="I17" s="48">
        <v>22468.14603482042</v>
      </c>
      <c r="J17" s="49">
        <v>1211.0438660077234</v>
      </c>
      <c r="K17" s="50">
        <v>23679.189900828143</v>
      </c>
      <c r="M17" s="55"/>
      <c r="N17" s="55"/>
      <c r="O17" s="55"/>
      <c r="Q17" s="55"/>
      <c r="R17" s="55"/>
      <c r="S17" s="55"/>
    </row>
    <row r="18" spans="2:19" outlineLevel="1">
      <c r="B18" s="51" t="s">
        <v>141</v>
      </c>
      <c r="C18" s="52" t="s">
        <v>182</v>
      </c>
      <c r="D18" s="53" t="s">
        <v>211</v>
      </c>
      <c r="E18" s="48">
        <v>1879.8833434477526</v>
      </c>
      <c r="F18" s="49">
        <v>1.0716411192999999</v>
      </c>
      <c r="G18" s="50">
        <v>1880.9549845670526</v>
      </c>
      <c r="H18" s="58"/>
      <c r="I18" s="48">
        <v>592.2823076511404</v>
      </c>
      <c r="J18" s="49">
        <v>1655.1435610686776</v>
      </c>
      <c r="K18" s="50">
        <v>2247.425868719818</v>
      </c>
      <c r="M18" s="55"/>
      <c r="N18" s="55"/>
      <c r="O18" s="55"/>
      <c r="Q18" s="55"/>
      <c r="R18" s="55"/>
      <c r="S18" s="55"/>
    </row>
    <row r="19" spans="2:19" outlineLevel="1">
      <c r="B19" s="51" t="s">
        <v>141</v>
      </c>
      <c r="C19" s="52" t="s">
        <v>655</v>
      </c>
      <c r="D19" s="53" t="s">
        <v>656</v>
      </c>
      <c r="E19" s="48">
        <v>840.80228713803388</v>
      </c>
      <c r="F19" s="49">
        <v>1.5959455978986625E-16</v>
      </c>
      <c r="G19" s="50">
        <v>840.80228713803388</v>
      </c>
      <c r="H19" s="58"/>
      <c r="I19" s="48">
        <v>360.37695168225378</v>
      </c>
      <c r="J19" s="49">
        <v>670.54368304122841</v>
      </c>
      <c r="K19" s="50">
        <v>1030.9206347234822</v>
      </c>
      <c r="M19" s="55"/>
      <c r="N19" s="55"/>
      <c r="O19" s="55"/>
      <c r="Q19" s="55"/>
      <c r="R19" s="55"/>
      <c r="S19" s="55"/>
    </row>
    <row r="20" spans="2:19" outlineLevel="1">
      <c r="B20" s="51" t="s">
        <v>141</v>
      </c>
      <c r="C20" s="52" t="s">
        <v>657</v>
      </c>
      <c r="D20" s="53" t="s">
        <v>658</v>
      </c>
      <c r="E20" s="48">
        <v>562.05029585034106</v>
      </c>
      <c r="F20" s="49">
        <v>3.6849321337351082E-17</v>
      </c>
      <c r="G20" s="50">
        <v>562.05029585034106</v>
      </c>
      <c r="H20" s="58"/>
      <c r="I20" s="48">
        <v>171.74752085715375</v>
      </c>
      <c r="J20" s="49">
        <v>543.20840984820245</v>
      </c>
      <c r="K20" s="50">
        <v>714.9559307053562</v>
      </c>
      <c r="M20" s="55"/>
      <c r="N20" s="55"/>
      <c r="O20" s="55"/>
      <c r="Q20" s="55"/>
      <c r="R20" s="55"/>
      <c r="S20" s="55"/>
    </row>
    <row r="21" spans="2:19" outlineLevel="1">
      <c r="B21" s="51" t="s">
        <v>141</v>
      </c>
      <c r="C21" s="52" t="s">
        <v>183</v>
      </c>
      <c r="D21" s="53" t="s">
        <v>212</v>
      </c>
      <c r="E21" s="48">
        <v>3167.844452770978</v>
      </c>
      <c r="F21" s="49">
        <v>204.93231909722064</v>
      </c>
      <c r="G21" s="50">
        <v>3372.7767718681985</v>
      </c>
      <c r="H21" s="58"/>
      <c r="I21" s="48">
        <v>8843.6423029227044</v>
      </c>
      <c r="J21" s="49">
        <v>585.44799822569883</v>
      </c>
      <c r="K21" s="50">
        <v>9429.0903011484024</v>
      </c>
      <c r="M21" s="55"/>
      <c r="N21" s="55"/>
      <c r="O21" s="55"/>
      <c r="Q21" s="55"/>
      <c r="R21" s="55"/>
      <c r="S21" s="55"/>
    </row>
    <row r="22" spans="2:19" outlineLevel="1">
      <c r="B22" s="51" t="s">
        <v>141</v>
      </c>
      <c r="C22" s="52" t="s">
        <v>184</v>
      </c>
      <c r="D22" s="53" t="s">
        <v>213</v>
      </c>
      <c r="E22" s="48">
        <v>4004.4995267670979</v>
      </c>
      <c r="F22" s="49">
        <v>60.054288598180008</v>
      </c>
      <c r="G22" s="50">
        <v>4064.5538153652778</v>
      </c>
      <c r="H22" s="58"/>
      <c r="I22" s="48">
        <v>13191.990401860718</v>
      </c>
      <c r="J22" s="49">
        <v>184.09404755479329</v>
      </c>
      <c r="K22" s="50">
        <v>13376.084449415512</v>
      </c>
      <c r="M22" s="55"/>
      <c r="N22" s="55"/>
      <c r="O22" s="55"/>
      <c r="Q22" s="55"/>
      <c r="R22" s="55"/>
      <c r="S22" s="55"/>
    </row>
    <row r="23" spans="2:19" outlineLevel="1">
      <c r="B23" s="51" t="s">
        <v>141</v>
      </c>
      <c r="C23" s="52" t="s">
        <v>4</v>
      </c>
      <c r="D23" s="53" t="s">
        <v>753</v>
      </c>
      <c r="E23" s="48">
        <v>6496.2298030430957</v>
      </c>
      <c r="F23" s="49">
        <v>-5.4210108624275222E-20</v>
      </c>
      <c r="G23" s="50">
        <v>6496.2298030430957</v>
      </c>
      <c r="H23" s="58"/>
      <c r="I23" s="48">
        <v>7021.162824500263</v>
      </c>
      <c r="J23" s="49">
        <v>1.09669041979</v>
      </c>
      <c r="K23" s="50">
        <v>7022.2595149200533</v>
      </c>
      <c r="M23" s="55"/>
      <c r="N23" s="55"/>
      <c r="O23" s="55"/>
      <c r="Q23" s="55"/>
      <c r="R23" s="55"/>
      <c r="S23" s="55"/>
    </row>
    <row r="24" spans="2:19" outlineLevel="1">
      <c r="B24" s="51" t="s">
        <v>141</v>
      </c>
      <c r="C24" s="52" t="s">
        <v>5</v>
      </c>
      <c r="D24" s="53" t="s">
        <v>215</v>
      </c>
      <c r="E24" s="48">
        <v>329.38580066965028</v>
      </c>
      <c r="F24" s="49">
        <v>0</v>
      </c>
      <c r="G24" s="50">
        <v>329.38580066965028</v>
      </c>
      <c r="H24" s="58"/>
      <c r="I24" s="48">
        <v>251.30395212997496</v>
      </c>
      <c r="J24" s="49">
        <v>80.687034414419983</v>
      </c>
      <c r="K24" s="50">
        <v>331.99098654439496</v>
      </c>
      <c r="M24" s="55"/>
      <c r="N24" s="55"/>
      <c r="O24" s="55"/>
      <c r="Q24" s="55"/>
      <c r="R24" s="55"/>
      <c r="S24" s="55"/>
    </row>
    <row r="25" spans="2:19" outlineLevel="1">
      <c r="B25" s="51" t="s">
        <v>141</v>
      </c>
      <c r="C25" s="52" t="s">
        <v>6</v>
      </c>
      <c r="D25" s="53" t="s">
        <v>216</v>
      </c>
      <c r="E25" s="48">
        <v>1241.2867756064884</v>
      </c>
      <c r="F25" s="49">
        <v>1069.9936229227501</v>
      </c>
      <c r="G25" s="50">
        <v>2311.2803985292385</v>
      </c>
      <c r="H25" s="58"/>
      <c r="I25" s="48">
        <v>2384.4483622077696</v>
      </c>
      <c r="J25" s="49">
        <v>377.74448526085001</v>
      </c>
      <c r="K25" s="50">
        <v>2762.1928474686197</v>
      </c>
      <c r="M25" s="55"/>
      <c r="N25" s="55"/>
      <c r="O25" s="55"/>
      <c r="Q25" s="55"/>
      <c r="R25" s="55"/>
      <c r="S25" s="55"/>
    </row>
    <row r="26" spans="2:19" outlineLevel="1">
      <c r="B26" s="51" t="s">
        <v>141</v>
      </c>
      <c r="C26" s="52" t="s">
        <v>8</v>
      </c>
      <c r="D26" s="53" t="s">
        <v>217</v>
      </c>
      <c r="E26" s="48">
        <v>10035.462694970767</v>
      </c>
      <c r="F26" s="49">
        <v>17.73631450661</v>
      </c>
      <c r="G26" s="50">
        <v>10053.199009477377</v>
      </c>
      <c r="H26" s="58"/>
      <c r="I26" s="48">
        <v>5731.313655394144</v>
      </c>
      <c r="J26" s="49">
        <v>8234.8124163487591</v>
      </c>
      <c r="K26" s="50">
        <v>13966.126071742903</v>
      </c>
      <c r="M26" s="55"/>
      <c r="N26" s="55"/>
      <c r="O26" s="55"/>
      <c r="Q26" s="55"/>
      <c r="R26" s="55"/>
      <c r="S26" s="55"/>
    </row>
    <row r="27" spans="2:19" outlineLevel="1">
      <c r="B27" s="51" t="s">
        <v>141</v>
      </c>
      <c r="C27" s="52" t="s">
        <v>9</v>
      </c>
      <c r="D27" s="53" t="s">
        <v>218</v>
      </c>
      <c r="E27" s="48">
        <v>3376.6739056608931</v>
      </c>
      <c r="F27" s="49">
        <v>21.788709186710001</v>
      </c>
      <c r="G27" s="50">
        <v>3398.4626148476032</v>
      </c>
      <c r="H27" s="58"/>
      <c r="I27" s="48">
        <v>7545.0494065331195</v>
      </c>
      <c r="J27" s="49">
        <v>532.48016597330002</v>
      </c>
      <c r="K27" s="50">
        <v>8077.5295725064198</v>
      </c>
      <c r="M27" s="55"/>
      <c r="N27" s="55"/>
      <c r="O27" s="55"/>
      <c r="Q27" s="55"/>
      <c r="R27" s="55"/>
      <c r="S27" s="55"/>
    </row>
    <row r="28" spans="2:19" outlineLevel="1">
      <c r="B28" s="51" t="s">
        <v>141</v>
      </c>
      <c r="C28" s="52" t="s">
        <v>659</v>
      </c>
      <c r="D28" s="53" t="s">
        <v>660</v>
      </c>
      <c r="E28" s="48">
        <v>895.17428097225877</v>
      </c>
      <c r="F28" s="49">
        <v>23.214404212589997</v>
      </c>
      <c r="G28" s="50">
        <v>918.38868518484878</v>
      </c>
      <c r="H28" s="58"/>
      <c r="I28" s="48">
        <v>1527.1082885510073</v>
      </c>
      <c r="J28" s="49">
        <v>158.03752131023001</v>
      </c>
      <c r="K28" s="50">
        <v>1685.1458098612372</v>
      </c>
      <c r="M28" s="55"/>
      <c r="N28" s="55"/>
      <c r="O28" s="55"/>
      <c r="Q28" s="55"/>
      <c r="R28" s="55"/>
      <c r="S28" s="55"/>
    </row>
    <row r="29" spans="2:19" outlineLevel="1">
      <c r="B29" s="51" t="s">
        <v>141</v>
      </c>
      <c r="C29" s="52" t="s">
        <v>7</v>
      </c>
      <c r="D29" s="53" t="s">
        <v>219</v>
      </c>
      <c r="E29" s="48">
        <v>3110.486050079975</v>
      </c>
      <c r="F29" s="49">
        <v>759.04836911189</v>
      </c>
      <c r="G29" s="50">
        <v>3869.5344191918648</v>
      </c>
      <c r="H29" s="58"/>
      <c r="I29" s="48">
        <v>8279.3161252626305</v>
      </c>
      <c r="J29" s="49">
        <v>136.48186017287003</v>
      </c>
      <c r="K29" s="50">
        <v>8415.7979854354999</v>
      </c>
      <c r="M29" s="55"/>
      <c r="N29" s="55"/>
      <c r="O29" s="55"/>
      <c r="Q29" s="55"/>
      <c r="R29" s="55"/>
      <c r="S29" s="55"/>
    </row>
    <row r="30" spans="2:19" outlineLevel="1">
      <c r="B30" s="51" t="s">
        <v>141</v>
      </c>
      <c r="C30" s="52" t="s">
        <v>10</v>
      </c>
      <c r="D30" s="53" t="s">
        <v>220</v>
      </c>
      <c r="E30" s="48">
        <v>5098.7611414874627</v>
      </c>
      <c r="F30" s="49">
        <v>11.699804801560001</v>
      </c>
      <c r="G30" s="50">
        <v>5110.460946289023</v>
      </c>
      <c r="H30" s="58"/>
      <c r="I30" s="48">
        <v>5143.0981560580176</v>
      </c>
      <c r="J30" s="49">
        <v>1.5863102034800001</v>
      </c>
      <c r="K30" s="50">
        <v>5144.6844662614976</v>
      </c>
      <c r="M30" s="55"/>
      <c r="N30" s="55"/>
      <c r="O30" s="55"/>
      <c r="Q30" s="55"/>
      <c r="R30" s="55"/>
      <c r="S30" s="55"/>
    </row>
    <row r="31" spans="2:19" outlineLevel="1">
      <c r="B31" s="51" t="s">
        <v>141</v>
      </c>
      <c r="C31" s="52" t="s">
        <v>11</v>
      </c>
      <c r="D31" s="53" t="s">
        <v>221</v>
      </c>
      <c r="E31" s="48">
        <v>15934.326702285633</v>
      </c>
      <c r="F31" s="49">
        <v>0.2080804104</v>
      </c>
      <c r="G31" s="50">
        <v>15934.534782696033</v>
      </c>
      <c r="H31" s="58"/>
      <c r="I31" s="48">
        <v>7672.9870977045666</v>
      </c>
      <c r="J31" s="49">
        <v>8584.6010366748997</v>
      </c>
      <c r="K31" s="50">
        <v>16257.588134379466</v>
      </c>
      <c r="M31" s="55"/>
      <c r="N31" s="55"/>
      <c r="O31" s="55"/>
      <c r="Q31" s="55"/>
      <c r="R31" s="55"/>
      <c r="S31" s="55"/>
    </row>
    <row r="32" spans="2:19" outlineLevel="1">
      <c r="B32" s="51" t="s">
        <v>141</v>
      </c>
      <c r="C32" s="52" t="s">
        <v>12</v>
      </c>
      <c r="D32" s="53" t="s">
        <v>222</v>
      </c>
      <c r="E32" s="48">
        <v>4009.6045261187528</v>
      </c>
      <c r="F32" s="49">
        <v>10.91518726899</v>
      </c>
      <c r="G32" s="50">
        <v>4020.5197133877427</v>
      </c>
      <c r="H32" s="58"/>
      <c r="I32" s="48">
        <v>1012.8339102631653</v>
      </c>
      <c r="J32" s="49">
        <v>3105.5171292991799</v>
      </c>
      <c r="K32" s="50">
        <v>4118.3510395623452</v>
      </c>
      <c r="M32" s="55"/>
      <c r="N32" s="55"/>
      <c r="O32" s="55"/>
      <c r="Q32" s="55"/>
      <c r="R32" s="55"/>
      <c r="S32" s="55"/>
    </row>
    <row r="33" spans="2:19" outlineLevel="1">
      <c r="B33" s="51" t="s">
        <v>141</v>
      </c>
      <c r="C33" s="52" t="s">
        <v>13</v>
      </c>
      <c r="D33" s="53" t="s">
        <v>223</v>
      </c>
      <c r="E33" s="48">
        <v>2590.2014059707099</v>
      </c>
      <c r="F33" s="49">
        <v>24.533089887300001</v>
      </c>
      <c r="G33" s="50">
        <v>2614.7344958580097</v>
      </c>
      <c r="H33" s="58"/>
      <c r="I33" s="48">
        <v>1022.962716043199</v>
      </c>
      <c r="J33" s="49">
        <v>1629.30574255327</v>
      </c>
      <c r="K33" s="50">
        <v>2652.2684585964689</v>
      </c>
      <c r="M33" s="55"/>
      <c r="N33" s="55"/>
      <c r="O33" s="55"/>
      <c r="Q33" s="55"/>
      <c r="R33" s="55"/>
      <c r="S33" s="55"/>
    </row>
    <row r="34" spans="2:19" outlineLevel="1">
      <c r="B34" s="51" t="s">
        <v>141</v>
      </c>
      <c r="C34" s="52" t="s">
        <v>661</v>
      </c>
      <c r="D34" s="53" t="s">
        <v>662</v>
      </c>
      <c r="E34" s="48">
        <v>978.07443843413284</v>
      </c>
      <c r="F34" s="49">
        <v>67.89439002652</v>
      </c>
      <c r="G34" s="50">
        <v>1045.9688284606527</v>
      </c>
      <c r="H34" s="58"/>
      <c r="I34" s="48">
        <v>706.98362142462429</v>
      </c>
      <c r="J34" s="49">
        <v>458.64242751951002</v>
      </c>
      <c r="K34" s="50">
        <v>1165.6260489441343</v>
      </c>
      <c r="M34" s="55"/>
      <c r="N34" s="55"/>
      <c r="O34" s="55"/>
      <c r="Q34" s="55"/>
      <c r="R34" s="55"/>
      <c r="S34" s="55"/>
    </row>
    <row r="35" spans="2:19" outlineLevel="1">
      <c r="B35" s="51" t="s">
        <v>141</v>
      </c>
      <c r="C35" s="52" t="s">
        <v>663</v>
      </c>
      <c r="D35" s="53" t="s">
        <v>664</v>
      </c>
      <c r="E35" s="48">
        <v>58.563504618955648</v>
      </c>
      <c r="F35" s="49">
        <v>0</v>
      </c>
      <c r="G35" s="50">
        <v>58.563504618955648</v>
      </c>
      <c r="H35" s="58"/>
      <c r="I35" s="48">
        <v>81.89241340512686</v>
      </c>
      <c r="J35" s="49">
        <v>6.1130867740000004E-2</v>
      </c>
      <c r="K35" s="50">
        <v>81.953544272866864</v>
      </c>
      <c r="M35" s="55"/>
      <c r="N35" s="55"/>
      <c r="O35" s="55"/>
      <c r="Q35" s="55"/>
      <c r="R35" s="55"/>
      <c r="S35" s="55"/>
    </row>
    <row r="36" spans="2:19" outlineLevel="1">
      <c r="B36" s="51" t="s">
        <v>141</v>
      </c>
      <c r="C36" s="52" t="s">
        <v>665</v>
      </c>
      <c r="D36" s="53" t="s">
        <v>666</v>
      </c>
      <c r="E36" s="48">
        <v>79.195556993107516</v>
      </c>
      <c r="F36" s="49">
        <v>19.25085203826</v>
      </c>
      <c r="G36" s="50">
        <v>98.446409031367523</v>
      </c>
      <c r="H36" s="58"/>
      <c r="I36" s="48">
        <v>104.36648044089833</v>
      </c>
      <c r="J36" s="49">
        <v>11.358358667400001</v>
      </c>
      <c r="K36" s="50">
        <v>115.72483910829833</v>
      </c>
      <c r="M36" s="55"/>
      <c r="N36" s="55"/>
      <c r="O36" s="55"/>
      <c r="Q36" s="55"/>
      <c r="R36" s="55"/>
      <c r="S36" s="55"/>
    </row>
    <row r="37" spans="2:19" outlineLevel="1">
      <c r="B37" s="51" t="s">
        <v>141</v>
      </c>
      <c r="C37" s="52" t="s">
        <v>185</v>
      </c>
      <c r="D37" s="53" t="s">
        <v>224</v>
      </c>
      <c r="E37" s="48">
        <v>395.04937429564336</v>
      </c>
      <c r="F37" s="49">
        <v>142.73571492411003</v>
      </c>
      <c r="G37" s="50">
        <v>537.78508921975344</v>
      </c>
      <c r="H37" s="58"/>
      <c r="I37" s="48">
        <v>751.47645664748813</v>
      </c>
      <c r="J37" s="49">
        <v>57.679405564909999</v>
      </c>
      <c r="K37" s="50">
        <v>809.15586221239812</v>
      </c>
      <c r="M37" s="55"/>
      <c r="N37" s="55"/>
      <c r="O37" s="55"/>
      <c r="Q37" s="55"/>
      <c r="R37" s="55"/>
      <c r="S37" s="55"/>
    </row>
    <row r="38" spans="2:19" outlineLevel="1">
      <c r="B38" s="51" t="s">
        <v>141</v>
      </c>
      <c r="C38" s="52" t="s">
        <v>16</v>
      </c>
      <c r="D38" s="53" t="s">
        <v>225</v>
      </c>
      <c r="E38" s="48">
        <v>6193.7226779359135</v>
      </c>
      <c r="F38" s="49">
        <v>2.8449913113000003</v>
      </c>
      <c r="G38" s="50">
        <v>6196.5676692472134</v>
      </c>
      <c r="H38" s="58"/>
      <c r="I38" s="48">
        <v>6585.4644415624643</v>
      </c>
      <c r="J38" s="49">
        <v>78.676818461039943</v>
      </c>
      <c r="K38" s="50">
        <v>6664.1412600235044</v>
      </c>
      <c r="M38" s="55"/>
      <c r="N38" s="55"/>
      <c r="O38" s="55"/>
      <c r="Q38" s="55"/>
      <c r="R38" s="55"/>
      <c r="S38" s="55"/>
    </row>
    <row r="39" spans="2:19" outlineLevel="1">
      <c r="B39" s="51" t="s">
        <v>141</v>
      </c>
      <c r="C39" s="52" t="s">
        <v>18</v>
      </c>
      <c r="D39" s="53" t="s">
        <v>226</v>
      </c>
      <c r="E39" s="48">
        <v>1914.0245052350206</v>
      </c>
      <c r="F39" s="49">
        <v>3.1783006366000004</v>
      </c>
      <c r="G39" s="50">
        <v>1917.2028058716205</v>
      </c>
      <c r="H39" s="58"/>
      <c r="I39" s="48">
        <v>2021.3982553821952</v>
      </c>
      <c r="J39" s="49">
        <v>0</v>
      </c>
      <c r="K39" s="50">
        <v>2021.3982553821952</v>
      </c>
      <c r="M39" s="55"/>
      <c r="N39" s="55"/>
      <c r="O39" s="55"/>
      <c r="Q39" s="55"/>
      <c r="R39" s="55"/>
      <c r="S39" s="55"/>
    </row>
    <row r="40" spans="2:19" outlineLevel="1">
      <c r="B40" s="51" t="s">
        <v>141</v>
      </c>
      <c r="C40" s="52" t="s">
        <v>19</v>
      </c>
      <c r="D40" s="53" t="s">
        <v>227</v>
      </c>
      <c r="E40" s="48">
        <v>10357.649474547319</v>
      </c>
      <c r="F40" s="49">
        <v>153.72023975370001</v>
      </c>
      <c r="G40" s="50">
        <v>10511.369714301019</v>
      </c>
      <c r="H40" s="58"/>
      <c r="I40" s="48">
        <v>11387.352313083547</v>
      </c>
      <c r="J40" s="49">
        <v>21.480349192519999</v>
      </c>
      <c r="K40" s="50">
        <v>11408.832662276067</v>
      </c>
      <c r="M40" s="55"/>
      <c r="N40" s="55"/>
      <c r="O40" s="55"/>
      <c r="Q40" s="55"/>
      <c r="R40" s="55"/>
      <c r="S40" s="55"/>
    </row>
    <row r="41" spans="2:19" outlineLevel="1">
      <c r="B41" s="51" t="s">
        <v>141</v>
      </c>
      <c r="C41" s="52" t="s">
        <v>17</v>
      </c>
      <c r="D41" s="53" t="s">
        <v>228</v>
      </c>
      <c r="E41" s="48">
        <v>283.67977397022526</v>
      </c>
      <c r="F41" s="49">
        <v>34.794101075599997</v>
      </c>
      <c r="G41" s="50">
        <v>318.47387504582525</v>
      </c>
      <c r="H41" s="58"/>
      <c r="I41" s="48">
        <v>341.84249720210107</v>
      </c>
      <c r="J41" s="49">
        <v>0.44299840010000002</v>
      </c>
      <c r="K41" s="50">
        <v>342.28549560220108</v>
      </c>
      <c r="M41" s="55"/>
      <c r="N41" s="55"/>
      <c r="O41" s="55"/>
      <c r="Q41" s="55"/>
      <c r="R41" s="55"/>
      <c r="S41" s="55"/>
    </row>
    <row r="42" spans="2:19" outlineLevel="1">
      <c r="B42" s="51" t="s">
        <v>141</v>
      </c>
      <c r="C42" s="52" t="s">
        <v>186</v>
      </c>
      <c r="D42" s="53" t="s">
        <v>229</v>
      </c>
      <c r="E42" s="48">
        <v>2521.8995930902865</v>
      </c>
      <c r="F42" s="49">
        <v>0</v>
      </c>
      <c r="G42" s="50">
        <v>2521.8995930902865</v>
      </c>
      <c r="H42" s="58"/>
      <c r="I42" s="48">
        <v>2791.07359202203</v>
      </c>
      <c r="J42" s="49">
        <v>0</v>
      </c>
      <c r="K42" s="50">
        <v>2791.07359202203</v>
      </c>
      <c r="M42" s="55"/>
      <c r="N42" s="55"/>
      <c r="O42" s="55"/>
      <c r="Q42" s="55"/>
      <c r="R42" s="55"/>
      <c r="S42" s="55"/>
    </row>
    <row r="43" spans="2:19" outlineLevel="1">
      <c r="B43" s="51" t="s">
        <v>141</v>
      </c>
      <c r="C43" s="52" t="s">
        <v>187</v>
      </c>
      <c r="D43" s="53" t="s">
        <v>230</v>
      </c>
      <c r="E43" s="48">
        <v>4276.3112648837468</v>
      </c>
      <c r="F43" s="49">
        <v>365.01147668729669</v>
      </c>
      <c r="G43" s="50">
        <v>4641.3227415710435</v>
      </c>
      <c r="H43" s="58"/>
      <c r="I43" s="48">
        <v>6811.3464484056121</v>
      </c>
      <c r="J43" s="49">
        <v>15.860024544</v>
      </c>
      <c r="K43" s="50">
        <v>6827.2064729496124</v>
      </c>
      <c r="M43" s="55"/>
      <c r="N43" s="55"/>
      <c r="O43" s="55"/>
      <c r="Q43" s="55"/>
      <c r="R43" s="55"/>
      <c r="S43" s="55"/>
    </row>
    <row r="44" spans="2:19" outlineLevel="1">
      <c r="B44" s="51" t="s">
        <v>141</v>
      </c>
      <c r="C44" s="52" t="s">
        <v>188</v>
      </c>
      <c r="D44" s="53" t="s">
        <v>231</v>
      </c>
      <c r="E44" s="48">
        <v>76.338933207977689</v>
      </c>
      <c r="F44" s="49">
        <v>6.1796053000000017E-3</v>
      </c>
      <c r="G44" s="50">
        <v>76.345112813277694</v>
      </c>
      <c r="H44" s="58"/>
      <c r="I44" s="48">
        <v>71.571262023469245</v>
      </c>
      <c r="J44" s="49">
        <v>40.634264292739999</v>
      </c>
      <c r="K44" s="50">
        <v>112.20552631620924</v>
      </c>
      <c r="M44" s="55"/>
      <c r="N44" s="55"/>
      <c r="O44" s="55"/>
      <c r="Q44" s="55"/>
      <c r="R44" s="55"/>
      <c r="S44" s="55"/>
    </row>
    <row r="45" spans="2:19" outlineLevel="1">
      <c r="B45" s="51" t="s">
        <v>141</v>
      </c>
      <c r="C45" s="52" t="s">
        <v>667</v>
      </c>
      <c r="D45" s="53" t="s">
        <v>668</v>
      </c>
      <c r="E45" s="48">
        <v>63.562173048406244</v>
      </c>
      <c r="F45" s="49">
        <v>8.5010619795999993</v>
      </c>
      <c r="G45" s="50">
        <v>72.063235028006247</v>
      </c>
      <c r="H45" s="58"/>
      <c r="I45" s="48">
        <v>74.895753393529489</v>
      </c>
      <c r="J45" s="49">
        <v>0</v>
      </c>
      <c r="K45" s="50">
        <v>74.895753393529489</v>
      </c>
      <c r="M45" s="55"/>
      <c r="N45" s="55"/>
      <c r="O45" s="55"/>
      <c r="Q45" s="55"/>
      <c r="R45" s="55"/>
      <c r="S45" s="55"/>
    </row>
    <row r="46" spans="2:19" outlineLevel="1">
      <c r="B46" s="51" t="s">
        <v>141</v>
      </c>
      <c r="C46" s="52" t="s">
        <v>21</v>
      </c>
      <c r="D46" s="53" t="s">
        <v>232</v>
      </c>
      <c r="E46" s="48">
        <v>1689.5814754038324</v>
      </c>
      <c r="F46" s="49">
        <v>1.79408730654</v>
      </c>
      <c r="G46" s="50">
        <v>1691.3755627103724</v>
      </c>
      <c r="H46" s="58"/>
      <c r="I46" s="48">
        <v>1860.9727250777798</v>
      </c>
      <c r="J46" s="49">
        <v>60.356451471299998</v>
      </c>
      <c r="K46" s="50">
        <v>1921.3291765490799</v>
      </c>
      <c r="M46" s="55"/>
      <c r="N46" s="55"/>
      <c r="O46" s="55"/>
      <c r="Q46" s="55"/>
      <c r="R46" s="55"/>
      <c r="S46" s="55"/>
    </row>
    <row r="47" spans="2:19" outlineLevel="1">
      <c r="B47" s="51" t="s">
        <v>141</v>
      </c>
      <c r="C47" s="52" t="s">
        <v>22</v>
      </c>
      <c r="D47" s="53" t="s">
        <v>233</v>
      </c>
      <c r="E47" s="48">
        <v>5553.5171879070504</v>
      </c>
      <c r="F47" s="49">
        <v>0</v>
      </c>
      <c r="G47" s="50">
        <v>5553.5171879070504</v>
      </c>
      <c r="H47" s="58"/>
      <c r="I47" s="48">
        <v>5717.1737083417893</v>
      </c>
      <c r="J47" s="49">
        <v>8.2670415652019713E-19</v>
      </c>
      <c r="K47" s="50">
        <v>5717.1737083417893</v>
      </c>
      <c r="M47" s="55"/>
      <c r="N47" s="55"/>
      <c r="O47" s="55"/>
      <c r="Q47" s="55"/>
      <c r="R47" s="55"/>
      <c r="S47" s="55"/>
    </row>
    <row r="48" spans="2:19" outlineLevel="1">
      <c r="B48" s="51" t="s">
        <v>141</v>
      </c>
      <c r="C48" s="52" t="s">
        <v>14</v>
      </c>
      <c r="D48" s="53" t="s">
        <v>234</v>
      </c>
      <c r="E48" s="48">
        <v>291.56512659930019</v>
      </c>
      <c r="F48" s="49">
        <v>44.022105000810001</v>
      </c>
      <c r="G48" s="50">
        <v>335.58723160011016</v>
      </c>
      <c r="H48" s="58"/>
      <c r="I48" s="48">
        <v>114.26419146626006</v>
      </c>
      <c r="J48" s="49">
        <v>258.68354969289999</v>
      </c>
      <c r="K48" s="50">
        <v>372.94774115916005</v>
      </c>
      <c r="M48" s="55"/>
      <c r="N48" s="55"/>
      <c r="O48" s="55"/>
      <c r="Q48" s="55"/>
      <c r="R48" s="55"/>
      <c r="S48" s="55"/>
    </row>
    <row r="49" spans="2:19" outlineLevel="1">
      <c r="B49" s="51" t="s">
        <v>141</v>
      </c>
      <c r="C49" s="52" t="s">
        <v>23</v>
      </c>
      <c r="D49" s="53" t="s">
        <v>235</v>
      </c>
      <c r="E49" s="48">
        <v>1551.6431477393151</v>
      </c>
      <c r="F49" s="49">
        <v>10.47970948415</v>
      </c>
      <c r="G49" s="50">
        <v>1562.122857223465</v>
      </c>
      <c r="H49" s="58"/>
      <c r="I49" s="48">
        <v>2384.4467827314224</v>
      </c>
      <c r="J49" s="49">
        <v>73.499174702399998</v>
      </c>
      <c r="K49" s="50">
        <v>2457.9459574338225</v>
      </c>
      <c r="M49" s="55"/>
      <c r="N49" s="55"/>
      <c r="O49" s="55"/>
      <c r="Q49" s="55"/>
      <c r="R49" s="55"/>
      <c r="S49" s="55"/>
    </row>
    <row r="50" spans="2:19" outlineLevel="1">
      <c r="B50" s="51" t="s">
        <v>141</v>
      </c>
      <c r="C50" s="52" t="s">
        <v>189</v>
      </c>
      <c r="D50" s="53" t="s">
        <v>236</v>
      </c>
      <c r="E50" s="48">
        <v>992.2116172516387</v>
      </c>
      <c r="F50" s="49">
        <v>13.930995705000001</v>
      </c>
      <c r="G50" s="50">
        <v>1006.1426129566387</v>
      </c>
      <c r="H50" s="58"/>
      <c r="I50" s="48">
        <v>1433.6947857206637</v>
      </c>
      <c r="J50" s="49">
        <v>31.593339604089998</v>
      </c>
      <c r="K50" s="50">
        <v>1465.2881253247538</v>
      </c>
      <c r="M50" s="55"/>
      <c r="N50" s="55"/>
      <c r="O50" s="55"/>
      <c r="Q50" s="55"/>
      <c r="R50" s="55"/>
      <c r="S50" s="55"/>
    </row>
    <row r="51" spans="2:19" outlineLevel="1">
      <c r="B51" s="51" t="s">
        <v>141</v>
      </c>
      <c r="C51" s="52" t="s">
        <v>669</v>
      </c>
      <c r="D51" s="53" t="s">
        <v>670</v>
      </c>
      <c r="E51" s="48">
        <v>17.557291447310703</v>
      </c>
      <c r="F51" s="49">
        <v>5.3515421837999995</v>
      </c>
      <c r="G51" s="50">
        <v>22.908833631110703</v>
      </c>
      <c r="H51" s="58"/>
      <c r="I51" s="48">
        <v>29.465392228543728</v>
      </c>
      <c r="J51" s="49">
        <v>0</v>
      </c>
      <c r="K51" s="50">
        <v>29.465392228543728</v>
      </c>
      <c r="M51" s="55"/>
      <c r="N51" s="55"/>
      <c r="O51" s="55"/>
      <c r="Q51" s="55"/>
      <c r="R51" s="55"/>
      <c r="S51" s="55"/>
    </row>
    <row r="52" spans="2:19" outlineLevel="1">
      <c r="B52" s="51" t="s">
        <v>141</v>
      </c>
      <c r="C52" s="52" t="s">
        <v>20</v>
      </c>
      <c r="D52" s="53" t="s">
        <v>237</v>
      </c>
      <c r="E52" s="48">
        <v>4349.0787657676628</v>
      </c>
      <c r="F52" s="49">
        <v>0</v>
      </c>
      <c r="G52" s="50">
        <v>4349.0787657676628</v>
      </c>
      <c r="H52" s="58"/>
      <c r="I52" s="48">
        <v>4358.2411879653218</v>
      </c>
      <c r="J52" s="49">
        <v>0</v>
      </c>
      <c r="K52" s="50">
        <v>4358.2411879653218</v>
      </c>
      <c r="M52" s="55"/>
      <c r="N52" s="55"/>
      <c r="O52" s="55"/>
      <c r="Q52" s="55"/>
      <c r="R52" s="55"/>
      <c r="S52" s="55"/>
    </row>
    <row r="53" spans="2:19">
      <c r="B53" s="39" t="s">
        <v>144</v>
      </c>
      <c r="C53" s="40" t="s">
        <v>145</v>
      </c>
      <c r="D53" s="41"/>
      <c r="E53" s="42">
        <v>6246.9716903506742</v>
      </c>
      <c r="F53" s="43">
        <v>3178.4966297302994</v>
      </c>
      <c r="G53" s="44">
        <v>9425.4683200809741</v>
      </c>
      <c r="H53" s="59"/>
      <c r="I53" s="42">
        <v>8996.2115984343964</v>
      </c>
      <c r="J53" s="43">
        <v>1247.7724236994536</v>
      </c>
      <c r="K53" s="44">
        <v>10243.984022133851</v>
      </c>
      <c r="L53" s="54"/>
      <c r="M53" s="55"/>
      <c r="N53" s="55"/>
      <c r="O53" s="55"/>
      <c r="Q53" s="55"/>
      <c r="R53" s="55"/>
      <c r="S53" s="55"/>
    </row>
    <row r="54" spans="2:19" outlineLevel="1">
      <c r="B54" s="51" t="s">
        <v>144</v>
      </c>
      <c r="C54" s="52" t="s">
        <v>24</v>
      </c>
      <c r="D54" s="53" t="s">
        <v>238</v>
      </c>
      <c r="E54" s="48">
        <v>1341.2293110289274</v>
      </c>
      <c r="F54" s="49">
        <v>0</v>
      </c>
      <c r="G54" s="50">
        <v>1341.2293110289274</v>
      </c>
      <c r="H54" s="58"/>
      <c r="I54" s="48">
        <v>814.49224638719409</v>
      </c>
      <c r="J54" s="49">
        <v>574.43417677173341</v>
      </c>
      <c r="K54" s="50">
        <v>1388.9264231589275</v>
      </c>
      <c r="M54" s="55"/>
      <c r="N54" s="55"/>
      <c r="O54" s="55"/>
      <c r="Q54" s="55"/>
      <c r="R54" s="55"/>
      <c r="S54" s="55"/>
    </row>
    <row r="55" spans="2:19" outlineLevel="1">
      <c r="B55" s="51" t="s">
        <v>144</v>
      </c>
      <c r="C55" s="52" t="s">
        <v>25</v>
      </c>
      <c r="D55" s="53" t="s">
        <v>239</v>
      </c>
      <c r="E55" s="48">
        <v>945.15333993505328</v>
      </c>
      <c r="F55" s="49">
        <v>5.3240562466999988</v>
      </c>
      <c r="G55" s="50">
        <v>950.47739618175331</v>
      </c>
      <c r="H55" s="58"/>
      <c r="I55" s="48">
        <v>491.14192070791415</v>
      </c>
      <c r="J55" s="49">
        <v>459.34839371989</v>
      </c>
      <c r="K55" s="50">
        <v>950.49031442780415</v>
      </c>
      <c r="M55" s="55"/>
      <c r="N55" s="55"/>
      <c r="O55" s="55"/>
      <c r="Q55" s="55"/>
      <c r="R55" s="55"/>
      <c r="S55" s="55"/>
    </row>
    <row r="56" spans="2:19" outlineLevel="1">
      <c r="B56" s="51" t="s">
        <v>144</v>
      </c>
      <c r="C56" s="52" t="s">
        <v>26</v>
      </c>
      <c r="D56" s="53" t="s">
        <v>240</v>
      </c>
      <c r="E56" s="48">
        <v>3481.9764700821729</v>
      </c>
      <c r="F56" s="49">
        <v>99.626506780729983</v>
      </c>
      <c r="G56" s="50">
        <v>3581.6029768629028</v>
      </c>
      <c r="H56" s="58"/>
      <c r="I56" s="48">
        <v>3983.8219847122141</v>
      </c>
      <c r="J56" s="49">
        <v>73.318286137560008</v>
      </c>
      <c r="K56" s="50">
        <v>4057.140270849774</v>
      </c>
      <c r="M56" s="55"/>
      <c r="N56" s="55"/>
      <c r="O56" s="55"/>
      <c r="Q56" s="55"/>
      <c r="R56" s="55"/>
      <c r="S56" s="55"/>
    </row>
    <row r="57" spans="2:19" outlineLevel="1">
      <c r="B57" s="51" t="s">
        <v>144</v>
      </c>
      <c r="C57" s="52" t="s">
        <v>671</v>
      </c>
      <c r="D57" s="53" t="s">
        <v>672</v>
      </c>
      <c r="E57" s="48">
        <v>0</v>
      </c>
      <c r="F57" s="49">
        <v>2840.6737758848999</v>
      </c>
      <c r="G57" s="50">
        <v>2840.6737758848999</v>
      </c>
      <c r="H57" s="58"/>
      <c r="I57" s="48">
        <v>2990.7813900011338</v>
      </c>
      <c r="J57" s="49">
        <v>0.44331638030000003</v>
      </c>
      <c r="K57" s="50">
        <v>2991.2247063814339</v>
      </c>
      <c r="M57" s="55"/>
      <c r="N57" s="55"/>
      <c r="O57" s="55"/>
      <c r="Q57" s="55"/>
      <c r="R57" s="55"/>
      <c r="S57" s="55"/>
    </row>
    <row r="58" spans="2:19" outlineLevel="1">
      <c r="B58" s="51" t="s">
        <v>144</v>
      </c>
      <c r="C58" s="52" t="s">
        <v>28</v>
      </c>
      <c r="D58" s="53" t="s">
        <v>241</v>
      </c>
      <c r="E58" s="48">
        <v>264.25150373720686</v>
      </c>
      <c r="F58" s="49">
        <v>79.388451489450006</v>
      </c>
      <c r="G58" s="50">
        <v>343.63995522665687</v>
      </c>
      <c r="H58" s="58"/>
      <c r="I58" s="48">
        <v>406.16776808975925</v>
      </c>
      <c r="J58" s="49">
        <v>26.685214421779996</v>
      </c>
      <c r="K58" s="50">
        <v>432.85298251153927</v>
      </c>
      <c r="M58" s="55"/>
      <c r="N58" s="55"/>
      <c r="O58" s="55"/>
      <c r="Q58" s="55"/>
      <c r="R58" s="55"/>
      <c r="S58" s="55"/>
    </row>
    <row r="59" spans="2:19" outlineLevel="1">
      <c r="B59" s="51" t="s">
        <v>144</v>
      </c>
      <c r="C59" s="52" t="s">
        <v>27</v>
      </c>
      <c r="D59" s="53" t="s">
        <v>242</v>
      </c>
      <c r="E59" s="48">
        <v>187.79926782138148</v>
      </c>
      <c r="F59" s="49">
        <v>153.48383932851999</v>
      </c>
      <c r="G59" s="50">
        <v>341.28310714990147</v>
      </c>
      <c r="H59" s="58"/>
      <c r="I59" s="48">
        <v>283.24449079024998</v>
      </c>
      <c r="J59" s="49">
        <v>113.54303626819001</v>
      </c>
      <c r="K59" s="50">
        <v>396.78752705843999</v>
      </c>
      <c r="M59" s="55"/>
      <c r="N59" s="55"/>
      <c r="O59" s="55"/>
      <c r="Q59" s="55"/>
      <c r="R59" s="55"/>
      <c r="S59" s="55"/>
    </row>
    <row r="60" spans="2:19" outlineLevel="1">
      <c r="B60" s="51" t="s">
        <v>144</v>
      </c>
      <c r="C60" s="52" t="s">
        <v>29</v>
      </c>
      <c r="D60" s="53" t="s">
        <v>243</v>
      </c>
      <c r="E60" s="48">
        <v>26.561797745932029</v>
      </c>
      <c r="F60" s="49">
        <v>0</v>
      </c>
      <c r="G60" s="50">
        <v>26.561797745932029</v>
      </c>
      <c r="H60" s="58"/>
      <c r="I60" s="48">
        <v>26.561797745932029</v>
      </c>
      <c r="J60" s="49">
        <v>0</v>
      </c>
      <c r="K60" s="50">
        <v>26.561797745932029</v>
      </c>
      <c r="M60" s="55"/>
      <c r="N60" s="55"/>
      <c r="O60" s="55"/>
      <c r="Q60" s="55"/>
      <c r="R60" s="55"/>
      <c r="S60" s="55"/>
    </row>
    <row r="61" spans="2:19">
      <c r="B61" s="39" t="s">
        <v>142</v>
      </c>
      <c r="C61" s="40" t="s">
        <v>146</v>
      </c>
      <c r="D61" s="41"/>
      <c r="E61" s="42">
        <v>296752.87855188007</v>
      </c>
      <c r="F61" s="43">
        <v>224172.28699852267</v>
      </c>
      <c r="G61" s="44">
        <v>520925.16555040283</v>
      </c>
      <c r="H61" s="59"/>
      <c r="I61" s="42">
        <v>611024.56469071691</v>
      </c>
      <c r="J61" s="43">
        <v>83428.327502622808</v>
      </c>
      <c r="K61" s="44">
        <v>694452.89219333953</v>
      </c>
      <c r="L61" s="54"/>
      <c r="M61" s="55"/>
      <c r="N61" s="55"/>
      <c r="O61" s="55"/>
      <c r="Q61" s="55"/>
      <c r="R61" s="55"/>
      <c r="S61" s="55"/>
    </row>
    <row r="62" spans="2:19" outlineLevel="1">
      <c r="B62" s="51" t="s">
        <v>142</v>
      </c>
      <c r="C62" s="52" t="s">
        <v>30</v>
      </c>
      <c r="D62" s="53" t="s">
        <v>244</v>
      </c>
      <c r="E62" s="48">
        <v>9629.1586794108207</v>
      </c>
      <c r="F62" s="49">
        <v>890.91969211770004</v>
      </c>
      <c r="G62" s="50">
        <v>10520.078371528522</v>
      </c>
      <c r="H62" s="58"/>
      <c r="I62" s="48">
        <v>17239.552351288628</v>
      </c>
      <c r="J62" s="49">
        <v>50.0197369228</v>
      </c>
      <c r="K62" s="50">
        <v>17289.572088211429</v>
      </c>
      <c r="M62" s="55"/>
      <c r="N62" s="55"/>
      <c r="O62" s="55"/>
      <c r="Q62" s="55"/>
      <c r="R62" s="55"/>
      <c r="S62" s="55"/>
    </row>
    <row r="63" spans="2:19" outlineLevel="1">
      <c r="B63" s="51" t="s">
        <v>142</v>
      </c>
      <c r="C63" s="52" t="s">
        <v>31</v>
      </c>
      <c r="D63" s="53" t="s">
        <v>245</v>
      </c>
      <c r="E63" s="48">
        <v>1877.2121927308169</v>
      </c>
      <c r="F63" s="49">
        <v>530.84308849265983</v>
      </c>
      <c r="G63" s="50">
        <v>2408.0552812234769</v>
      </c>
      <c r="H63" s="58"/>
      <c r="I63" s="48">
        <v>2951.6006132882003</v>
      </c>
      <c r="J63" s="49">
        <v>0.33836294880000001</v>
      </c>
      <c r="K63" s="50">
        <v>2951.9389762370001</v>
      </c>
      <c r="M63" s="55"/>
      <c r="N63" s="55"/>
      <c r="O63" s="55"/>
      <c r="Q63" s="55"/>
      <c r="R63" s="55"/>
      <c r="S63" s="55"/>
    </row>
    <row r="64" spans="2:19" outlineLevel="1">
      <c r="B64" s="51" t="s">
        <v>142</v>
      </c>
      <c r="C64" s="52" t="s">
        <v>32</v>
      </c>
      <c r="D64" s="53" t="s">
        <v>246</v>
      </c>
      <c r="E64" s="48">
        <v>12872.662512351295</v>
      </c>
      <c r="F64" s="49">
        <v>1457.4191881362001</v>
      </c>
      <c r="G64" s="50">
        <v>14330.081700487495</v>
      </c>
      <c r="H64" s="58"/>
      <c r="I64" s="48">
        <v>19248.769745842976</v>
      </c>
      <c r="J64" s="49">
        <v>9.7169549234000012</v>
      </c>
      <c r="K64" s="50">
        <v>19258.486700766374</v>
      </c>
      <c r="M64" s="55"/>
      <c r="N64" s="55"/>
      <c r="O64" s="55"/>
      <c r="Q64" s="55"/>
      <c r="R64" s="55"/>
      <c r="S64" s="55"/>
    </row>
    <row r="65" spans="2:19" outlineLevel="1">
      <c r="B65" s="51" t="s">
        <v>142</v>
      </c>
      <c r="C65" s="52" t="s">
        <v>33</v>
      </c>
      <c r="D65" s="53" t="s">
        <v>247</v>
      </c>
      <c r="E65" s="48">
        <v>4416.1719072068627</v>
      </c>
      <c r="F65" s="49">
        <v>705.62833231950003</v>
      </c>
      <c r="G65" s="50">
        <v>5121.8002395263629</v>
      </c>
      <c r="H65" s="58"/>
      <c r="I65" s="48">
        <v>6772.9447303579245</v>
      </c>
      <c r="J65" s="49">
        <v>599.42694683959996</v>
      </c>
      <c r="K65" s="50">
        <v>7372.3716771975241</v>
      </c>
      <c r="M65" s="55"/>
      <c r="N65" s="55"/>
      <c r="O65" s="55"/>
      <c r="Q65" s="55"/>
      <c r="R65" s="55"/>
      <c r="S65" s="55"/>
    </row>
    <row r="66" spans="2:19" outlineLevel="1">
      <c r="B66" s="51" t="s">
        <v>142</v>
      </c>
      <c r="C66" s="52" t="s">
        <v>673</v>
      </c>
      <c r="D66" s="53" t="s">
        <v>674</v>
      </c>
      <c r="E66" s="48">
        <v>323.35589004720725</v>
      </c>
      <c r="F66" s="49">
        <v>4.6446871203200004</v>
      </c>
      <c r="G66" s="50">
        <v>328.00057716752724</v>
      </c>
      <c r="H66" s="58"/>
      <c r="I66" s="48">
        <v>334.42711346056615</v>
      </c>
      <c r="J66" s="49">
        <v>18.7257028133</v>
      </c>
      <c r="K66" s="50">
        <v>353.15281627386616</v>
      </c>
      <c r="M66" s="55"/>
      <c r="N66" s="55"/>
      <c r="O66" s="55"/>
      <c r="Q66" s="55"/>
      <c r="R66" s="55"/>
      <c r="S66" s="55"/>
    </row>
    <row r="67" spans="2:19" outlineLevel="1">
      <c r="B67" s="51" t="s">
        <v>142</v>
      </c>
      <c r="C67" s="52" t="s">
        <v>34</v>
      </c>
      <c r="D67" s="53" t="s">
        <v>248</v>
      </c>
      <c r="E67" s="48">
        <v>743.18318429215969</v>
      </c>
      <c r="F67" s="49">
        <v>710.16650573370009</v>
      </c>
      <c r="G67" s="50">
        <v>1453.3496900258597</v>
      </c>
      <c r="H67" s="58"/>
      <c r="I67" s="48">
        <v>982.20919680114218</v>
      </c>
      <c r="J67" s="49">
        <v>796.50867963331677</v>
      </c>
      <c r="K67" s="50">
        <v>1778.717876434459</v>
      </c>
      <c r="M67" s="55"/>
      <c r="N67" s="55"/>
      <c r="O67" s="55"/>
      <c r="Q67" s="55"/>
      <c r="R67" s="55"/>
      <c r="S67" s="55"/>
    </row>
    <row r="68" spans="2:19" outlineLevel="1">
      <c r="B68" s="51" t="s">
        <v>142</v>
      </c>
      <c r="C68" s="52" t="s">
        <v>190</v>
      </c>
      <c r="D68" s="53" t="s">
        <v>675</v>
      </c>
      <c r="E68" s="48">
        <v>745.05685835623672</v>
      </c>
      <c r="F68" s="49">
        <v>620.82595039189994</v>
      </c>
      <c r="G68" s="50">
        <v>1365.8828087481365</v>
      </c>
      <c r="H68" s="58"/>
      <c r="I68" s="48">
        <v>879.50637811256172</v>
      </c>
      <c r="J68" s="49">
        <v>685.12252812337681</v>
      </c>
      <c r="K68" s="50">
        <v>1564.6289062359385</v>
      </c>
      <c r="M68" s="55"/>
      <c r="N68" s="55"/>
      <c r="O68" s="55"/>
      <c r="Q68" s="55"/>
      <c r="R68" s="55"/>
      <c r="S68" s="55"/>
    </row>
    <row r="69" spans="2:19" outlineLevel="1">
      <c r="B69" s="51" t="s">
        <v>142</v>
      </c>
      <c r="C69" s="52" t="s">
        <v>35</v>
      </c>
      <c r="D69" s="53" t="s">
        <v>249</v>
      </c>
      <c r="E69" s="48">
        <v>1565.9968152463732</v>
      </c>
      <c r="F69" s="49">
        <v>1191.2630031359065</v>
      </c>
      <c r="G69" s="50">
        <v>2757.2598183822797</v>
      </c>
      <c r="H69" s="58"/>
      <c r="I69" s="48">
        <v>2569.2764680193682</v>
      </c>
      <c r="J69" s="49">
        <v>1000.22658438296</v>
      </c>
      <c r="K69" s="50">
        <v>3569.5030524023282</v>
      </c>
      <c r="M69" s="55"/>
      <c r="N69" s="55"/>
      <c r="O69" s="55"/>
      <c r="Q69" s="55"/>
      <c r="R69" s="55"/>
      <c r="S69" s="55"/>
    </row>
    <row r="70" spans="2:19" outlineLevel="1">
      <c r="B70" s="51" t="s">
        <v>142</v>
      </c>
      <c r="C70" s="52" t="s">
        <v>676</v>
      </c>
      <c r="D70" s="53" t="s">
        <v>677</v>
      </c>
      <c r="E70" s="48">
        <v>371.7604206887363</v>
      </c>
      <c r="F70" s="49">
        <v>132.61271863991999</v>
      </c>
      <c r="G70" s="50">
        <v>504.37313932865629</v>
      </c>
      <c r="H70" s="58"/>
      <c r="I70" s="48">
        <v>538.80477919174973</v>
      </c>
      <c r="J70" s="49">
        <v>157.62525720216001</v>
      </c>
      <c r="K70" s="50">
        <v>696.43003639390975</v>
      </c>
      <c r="M70" s="55"/>
      <c r="N70" s="55"/>
      <c r="O70" s="55"/>
      <c r="Q70" s="55"/>
      <c r="R70" s="55"/>
      <c r="S70" s="55"/>
    </row>
    <row r="71" spans="2:19" outlineLevel="1">
      <c r="B71" s="51" t="s">
        <v>142</v>
      </c>
      <c r="C71" s="52" t="s">
        <v>191</v>
      </c>
      <c r="D71" s="53" t="s">
        <v>250</v>
      </c>
      <c r="E71" s="48">
        <v>2216.5440448720942</v>
      </c>
      <c r="F71" s="49">
        <v>162.9621044026841</v>
      </c>
      <c r="G71" s="50">
        <v>2379.5061492747782</v>
      </c>
      <c r="H71" s="58"/>
      <c r="I71" s="48">
        <v>3014.875387370646</v>
      </c>
      <c r="J71" s="49">
        <v>525.2963533395</v>
      </c>
      <c r="K71" s="50">
        <v>3540.171740710146</v>
      </c>
      <c r="M71" s="55"/>
      <c r="N71" s="55"/>
      <c r="O71" s="55"/>
      <c r="Q71" s="55"/>
      <c r="R71" s="55"/>
      <c r="S71" s="55"/>
    </row>
    <row r="72" spans="2:19" outlineLevel="1">
      <c r="B72" s="51" t="s">
        <v>142</v>
      </c>
      <c r="C72" s="52" t="s">
        <v>192</v>
      </c>
      <c r="D72" s="53" t="s">
        <v>678</v>
      </c>
      <c r="E72" s="48">
        <v>1307.2873202889514</v>
      </c>
      <c r="F72" s="49">
        <v>761.81227062426001</v>
      </c>
      <c r="G72" s="50">
        <v>2069.0995909132116</v>
      </c>
      <c r="H72" s="58"/>
      <c r="I72" s="48">
        <v>1490.3380550149336</v>
      </c>
      <c r="J72" s="49">
        <v>1073.2101603071801</v>
      </c>
      <c r="K72" s="50">
        <v>2563.5482153221137</v>
      </c>
      <c r="M72" s="55"/>
      <c r="N72" s="55"/>
      <c r="O72" s="55"/>
      <c r="Q72" s="55"/>
      <c r="R72" s="55"/>
      <c r="S72" s="55"/>
    </row>
    <row r="73" spans="2:19" outlineLevel="1">
      <c r="B73" s="51" t="s">
        <v>142</v>
      </c>
      <c r="C73" s="52" t="s">
        <v>193</v>
      </c>
      <c r="D73" s="53" t="s">
        <v>251</v>
      </c>
      <c r="E73" s="48">
        <v>12993.268824823181</v>
      </c>
      <c r="F73" s="49">
        <v>2149.1687747432388</v>
      </c>
      <c r="G73" s="50">
        <v>15142.43759956642</v>
      </c>
      <c r="H73" s="58"/>
      <c r="I73" s="48">
        <v>9483.9855347103712</v>
      </c>
      <c r="J73" s="49">
        <v>8262.5155973787605</v>
      </c>
      <c r="K73" s="50">
        <v>17746.501132089132</v>
      </c>
      <c r="M73" s="55"/>
      <c r="N73" s="55"/>
      <c r="O73" s="55"/>
      <c r="Q73" s="55"/>
      <c r="R73" s="55"/>
      <c r="S73" s="55"/>
    </row>
    <row r="74" spans="2:19" outlineLevel="1">
      <c r="B74" s="51" t="s">
        <v>142</v>
      </c>
      <c r="C74" s="52" t="s">
        <v>679</v>
      </c>
      <c r="D74" s="53" t="s">
        <v>680</v>
      </c>
      <c r="E74" s="48">
        <v>996.13145145152237</v>
      </c>
      <c r="F74" s="49">
        <v>223.0925394141</v>
      </c>
      <c r="G74" s="50">
        <v>1219.2239908656225</v>
      </c>
      <c r="H74" s="58"/>
      <c r="I74" s="48">
        <v>898.86939144432654</v>
      </c>
      <c r="J74" s="49">
        <v>645.47687275569001</v>
      </c>
      <c r="K74" s="50">
        <v>1544.3462642000165</v>
      </c>
      <c r="M74" s="55"/>
      <c r="N74" s="55"/>
      <c r="O74" s="55"/>
      <c r="Q74" s="55"/>
      <c r="R74" s="55"/>
      <c r="S74" s="55"/>
    </row>
    <row r="75" spans="2:19" outlineLevel="1">
      <c r="B75" s="51" t="s">
        <v>142</v>
      </c>
      <c r="C75" s="52" t="s">
        <v>681</v>
      </c>
      <c r="D75" s="53" t="s">
        <v>682</v>
      </c>
      <c r="E75" s="48">
        <v>1553.9343678242246</v>
      </c>
      <c r="F75" s="49">
        <v>2648.94428931214</v>
      </c>
      <c r="G75" s="50">
        <v>4202.8786571363644</v>
      </c>
      <c r="H75" s="58"/>
      <c r="I75" s="48">
        <v>4603.3294192953799</v>
      </c>
      <c r="J75" s="49">
        <v>297.04816199075003</v>
      </c>
      <c r="K75" s="50">
        <v>4900.3775812861304</v>
      </c>
      <c r="M75" s="55"/>
      <c r="N75" s="55"/>
      <c r="O75" s="55"/>
      <c r="Q75" s="55"/>
      <c r="R75" s="55"/>
      <c r="S75" s="55"/>
    </row>
    <row r="76" spans="2:19" outlineLevel="1">
      <c r="B76" s="51" t="s">
        <v>142</v>
      </c>
      <c r="C76" s="52" t="s">
        <v>36</v>
      </c>
      <c r="D76" s="53" t="s">
        <v>252</v>
      </c>
      <c r="E76" s="48">
        <v>1560.7598771317005</v>
      </c>
      <c r="F76" s="49">
        <v>393.29530906495961</v>
      </c>
      <c r="G76" s="50">
        <v>1954.0551861966601</v>
      </c>
      <c r="H76" s="58"/>
      <c r="I76" s="48">
        <v>2931.9179227250534</v>
      </c>
      <c r="J76" s="49">
        <v>8.176118541000001</v>
      </c>
      <c r="K76" s="50">
        <v>2940.0940412660534</v>
      </c>
      <c r="M76" s="55"/>
      <c r="N76" s="55"/>
      <c r="O76" s="55"/>
      <c r="Q76" s="55"/>
      <c r="R76" s="55"/>
      <c r="S76" s="55"/>
    </row>
    <row r="77" spans="2:19" outlineLevel="1">
      <c r="B77" s="51" t="s">
        <v>142</v>
      </c>
      <c r="C77" s="52" t="s">
        <v>683</v>
      </c>
      <c r="D77" s="53" t="s">
        <v>684</v>
      </c>
      <c r="E77" s="48">
        <v>0</v>
      </c>
      <c r="F77" s="49">
        <v>720.62517338596933</v>
      </c>
      <c r="G77" s="50">
        <v>720.62517338596933</v>
      </c>
      <c r="H77" s="58"/>
      <c r="I77" s="48">
        <v>1369.001345602155</v>
      </c>
      <c r="J77" s="49">
        <v>4.1828170368000004</v>
      </c>
      <c r="K77" s="50">
        <v>1373.1841626389551</v>
      </c>
      <c r="M77" s="55"/>
      <c r="N77" s="55"/>
      <c r="O77" s="55"/>
      <c r="Q77" s="55"/>
      <c r="R77" s="55"/>
      <c r="S77" s="55"/>
    </row>
    <row r="78" spans="2:19" outlineLevel="1">
      <c r="B78" s="51" t="s">
        <v>142</v>
      </c>
      <c r="C78" s="52" t="s">
        <v>194</v>
      </c>
      <c r="D78" s="53" t="s">
        <v>253</v>
      </c>
      <c r="E78" s="48">
        <v>3500.412782714579</v>
      </c>
      <c r="F78" s="49">
        <v>1457.0363090283788</v>
      </c>
      <c r="G78" s="50">
        <v>4957.4490917429575</v>
      </c>
      <c r="H78" s="58"/>
      <c r="I78" s="48">
        <v>7697.9556933822605</v>
      </c>
      <c r="J78" s="49">
        <v>366.46851461529997</v>
      </c>
      <c r="K78" s="50">
        <v>8064.4242079975602</v>
      </c>
      <c r="M78" s="55"/>
      <c r="N78" s="55"/>
      <c r="O78" s="55"/>
      <c r="Q78" s="55"/>
      <c r="R78" s="55"/>
      <c r="S78" s="55"/>
    </row>
    <row r="79" spans="2:19" outlineLevel="1">
      <c r="B79" s="51" t="s">
        <v>142</v>
      </c>
      <c r="C79" s="52" t="s">
        <v>37</v>
      </c>
      <c r="D79" s="53" t="s">
        <v>254</v>
      </c>
      <c r="E79" s="48">
        <v>3450.3240786082069</v>
      </c>
      <c r="F79" s="49">
        <v>246.12458223899</v>
      </c>
      <c r="G79" s="50">
        <v>3696.4486608471971</v>
      </c>
      <c r="H79" s="58"/>
      <c r="I79" s="48">
        <v>4188.4425886342606</v>
      </c>
      <c r="J79" s="49">
        <v>45.639806936439996</v>
      </c>
      <c r="K79" s="50">
        <v>4234.082395570701</v>
      </c>
      <c r="M79" s="55"/>
      <c r="N79" s="55"/>
      <c r="O79" s="55"/>
      <c r="Q79" s="55"/>
      <c r="R79" s="55"/>
      <c r="S79" s="55"/>
    </row>
    <row r="80" spans="2:19" outlineLevel="1">
      <c r="B80" s="51" t="s">
        <v>142</v>
      </c>
      <c r="C80" s="52" t="s">
        <v>38</v>
      </c>
      <c r="D80" s="53" t="s">
        <v>255</v>
      </c>
      <c r="E80" s="48">
        <v>967.800986927233</v>
      </c>
      <c r="F80" s="49">
        <v>149.22569388170677</v>
      </c>
      <c r="G80" s="50">
        <v>1117.0266808089398</v>
      </c>
      <c r="H80" s="58"/>
      <c r="I80" s="48">
        <v>1831.3095193448059</v>
      </c>
      <c r="J80" s="49">
        <v>3.9388200043999992</v>
      </c>
      <c r="K80" s="50">
        <v>1835.2483393492059</v>
      </c>
      <c r="M80" s="55"/>
      <c r="N80" s="55"/>
      <c r="O80" s="55"/>
      <c r="Q80" s="55"/>
      <c r="R80" s="55"/>
      <c r="S80" s="55"/>
    </row>
    <row r="81" spans="2:19" outlineLevel="1">
      <c r="B81" s="51" t="s">
        <v>142</v>
      </c>
      <c r="C81" s="52" t="s">
        <v>39</v>
      </c>
      <c r="D81" s="53" t="s">
        <v>256</v>
      </c>
      <c r="E81" s="48">
        <v>2269.6773214476539</v>
      </c>
      <c r="F81" s="49">
        <v>1074.6866728535026</v>
      </c>
      <c r="G81" s="50">
        <v>3344.3639943011567</v>
      </c>
      <c r="H81" s="58"/>
      <c r="I81" s="48">
        <v>4592.6247741825464</v>
      </c>
      <c r="J81" s="49">
        <v>619.92204035151997</v>
      </c>
      <c r="K81" s="50">
        <v>5212.5468145340665</v>
      </c>
      <c r="M81" s="55"/>
      <c r="N81" s="55"/>
      <c r="O81" s="55"/>
      <c r="Q81" s="55"/>
      <c r="R81" s="55"/>
      <c r="S81" s="55"/>
    </row>
    <row r="82" spans="2:19" outlineLevel="1">
      <c r="B82" s="51" t="s">
        <v>142</v>
      </c>
      <c r="C82" s="52" t="s">
        <v>685</v>
      </c>
      <c r="D82" s="53" t="s">
        <v>754</v>
      </c>
      <c r="E82" s="48">
        <v>63.030013921949688</v>
      </c>
      <c r="F82" s="49">
        <v>508.06461473406006</v>
      </c>
      <c r="G82" s="50">
        <v>571.09462865600972</v>
      </c>
      <c r="H82" s="58"/>
      <c r="I82" s="48">
        <v>537.26891194367568</v>
      </c>
      <c r="J82" s="49">
        <v>45.614029668010005</v>
      </c>
      <c r="K82" s="50">
        <v>582.88294161168574</v>
      </c>
      <c r="M82" s="55"/>
      <c r="N82" s="55"/>
      <c r="O82" s="55"/>
      <c r="Q82" s="55"/>
      <c r="R82" s="55"/>
      <c r="S82" s="55"/>
    </row>
    <row r="83" spans="2:19" outlineLevel="1">
      <c r="B83" s="51" t="s">
        <v>142</v>
      </c>
      <c r="C83" s="52" t="s">
        <v>40</v>
      </c>
      <c r="D83" s="53" t="s">
        <v>257</v>
      </c>
      <c r="E83" s="48">
        <v>10246.002565375236</v>
      </c>
      <c r="F83" s="49">
        <v>341.35240477400305</v>
      </c>
      <c r="G83" s="50">
        <v>10587.354970149239</v>
      </c>
      <c r="H83" s="58"/>
      <c r="I83" s="48">
        <v>11227.08697638239</v>
      </c>
      <c r="J83" s="49">
        <v>776.89471503658444</v>
      </c>
      <c r="K83" s="50">
        <v>12003.981691418974</v>
      </c>
      <c r="M83" s="55"/>
      <c r="N83" s="55"/>
      <c r="O83" s="55"/>
      <c r="Q83" s="55"/>
      <c r="R83" s="55"/>
      <c r="S83" s="55"/>
    </row>
    <row r="84" spans="2:19" outlineLevel="1">
      <c r="B84" s="51" t="s">
        <v>142</v>
      </c>
      <c r="C84" s="52" t="s">
        <v>195</v>
      </c>
      <c r="D84" s="53" t="s">
        <v>258</v>
      </c>
      <c r="E84" s="48">
        <v>2747.2626161829594</v>
      </c>
      <c r="F84" s="49">
        <v>488.10535236562816</v>
      </c>
      <c r="G84" s="50">
        <v>3235.3679685485877</v>
      </c>
      <c r="H84" s="58"/>
      <c r="I84" s="48">
        <v>3353.1399133319574</v>
      </c>
      <c r="J84" s="49">
        <v>630.54200154856994</v>
      </c>
      <c r="K84" s="50">
        <v>3983.6819148805271</v>
      </c>
      <c r="M84" s="55"/>
      <c r="N84" s="55"/>
      <c r="O84" s="55"/>
      <c r="Q84" s="55"/>
      <c r="R84" s="55"/>
      <c r="S84" s="55"/>
    </row>
    <row r="85" spans="2:19" outlineLevel="1">
      <c r="B85" s="51" t="s">
        <v>142</v>
      </c>
      <c r="C85" s="52" t="s">
        <v>41</v>
      </c>
      <c r="D85" s="53" t="s">
        <v>259</v>
      </c>
      <c r="E85" s="48">
        <v>10581.927533079841</v>
      </c>
      <c r="F85" s="49">
        <v>0</v>
      </c>
      <c r="G85" s="50">
        <v>10581.927533079841</v>
      </c>
      <c r="H85" s="58"/>
      <c r="I85" s="48">
        <v>10732.592311625112</v>
      </c>
      <c r="J85" s="49">
        <v>0</v>
      </c>
      <c r="K85" s="50">
        <v>10732.592311625112</v>
      </c>
      <c r="M85" s="55"/>
      <c r="N85" s="55"/>
      <c r="O85" s="55"/>
      <c r="Q85" s="55"/>
      <c r="R85" s="55"/>
      <c r="S85" s="55"/>
    </row>
    <row r="86" spans="2:19" outlineLevel="1">
      <c r="B86" s="51" t="s">
        <v>142</v>
      </c>
      <c r="C86" s="52" t="s">
        <v>196</v>
      </c>
      <c r="D86" s="53" t="s">
        <v>260</v>
      </c>
      <c r="E86" s="48">
        <v>12219.085600297092</v>
      </c>
      <c r="F86" s="49">
        <v>5.7102190823025847</v>
      </c>
      <c r="G86" s="50">
        <v>12224.795819379395</v>
      </c>
      <c r="H86" s="58"/>
      <c r="I86" s="48">
        <v>10121.296524044708</v>
      </c>
      <c r="J86" s="49">
        <v>6098.4759254771898</v>
      </c>
      <c r="K86" s="50">
        <v>16219.772449521897</v>
      </c>
      <c r="M86" s="55"/>
      <c r="N86" s="55"/>
      <c r="O86" s="55"/>
      <c r="Q86" s="55"/>
      <c r="R86" s="55"/>
      <c r="S86" s="55"/>
    </row>
    <row r="87" spans="2:19" outlineLevel="1">
      <c r="B87" s="51" t="s">
        <v>142</v>
      </c>
      <c r="C87" s="52" t="s">
        <v>686</v>
      </c>
      <c r="D87" s="53" t="s">
        <v>687</v>
      </c>
      <c r="E87" s="48">
        <v>1431.7269894729229</v>
      </c>
      <c r="F87" s="49">
        <v>19.824789212000002</v>
      </c>
      <c r="G87" s="50">
        <v>1451.551778684923</v>
      </c>
      <c r="H87" s="58"/>
      <c r="I87" s="48">
        <v>1057.237573554286</v>
      </c>
      <c r="J87" s="49">
        <v>422.06292699426001</v>
      </c>
      <c r="K87" s="50">
        <v>1479.3005005485459</v>
      </c>
      <c r="M87" s="55"/>
      <c r="N87" s="55"/>
      <c r="O87" s="55"/>
      <c r="Q87" s="55"/>
      <c r="R87" s="55"/>
      <c r="S87" s="55"/>
    </row>
    <row r="88" spans="2:19" outlineLevel="1">
      <c r="B88" s="51" t="s">
        <v>142</v>
      </c>
      <c r="C88" s="52" t="s">
        <v>42</v>
      </c>
      <c r="D88" s="53" t="s">
        <v>261</v>
      </c>
      <c r="E88" s="48">
        <v>1874.9165041829406</v>
      </c>
      <c r="F88" s="49">
        <v>1129.7441928470439</v>
      </c>
      <c r="G88" s="50">
        <v>3004.6606970299845</v>
      </c>
      <c r="H88" s="58"/>
      <c r="I88" s="48">
        <v>3468.332742681393</v>
      </c>
      <c r="J88" s="49">
        <v>874.92943043626997</v>
      </c>
      <c r="K88" s="50">
        <v>4343.2621731176632</v>
      </c>
      <c r="M88" s="55"/>
      <c r="N88" s="55"/>
      <c r="O88" s="55"/>
      <c r="Q88" s="55"/>
      <c r="R88" s="55"/>
      <c r="S88" s="55"/>
    </row>
    <row r="89" spans="2:19" outlineLevel="1">
      <c r="B89" s="51" t="s">
        <v>142</v>
      </c>
      <c r="C89" s="52" t="s">
        <v>43</v>
      </c>
      <c r="D89" s="53" t="s">
        <v>262</v>
      </c>
      <c r="E89" s="48">
        <v>1101.7418991776758</v>
      </c>
      <c r="F89" s="49">
        <v>178.67077559967987</v>
      </c>
      <c r="G89" s="50">
        <v>1280.4126747773557</v>
      </c>
      <c r="H89" s="58"/>
      <c r="I89" s="48">
        <v>1646.3133450165678</v>
      </c>
      <c r="J89" s="49">
        <v>266.52275251976005</v>
      </c>
      <c r="K89" s="50">
        <v>1912.836097536328</v>
      </c>
      <c r="M89" s="55"/>
      <c r="N89" s="55"/>
      <c r="O89" s="55"/>
      <c r="Q89" s="55"/>
      <c r="R89" s="55"/>
      <c r="S89" s="55"/>
    </row>
    <row r="90" spans="2:19" outlineLevel="1">
      <c r="B90" s="51" t="s">
        <v>142</v>
      </c>
      <c r="C90" s="52" t="s">
        <v>197</v>
      </c>
      <c r="D90" s="53" t="s">
        <v>263</v>
      </c>
      <c r="E90" s="48">
        <v>8644.7372405023125</v>
      </c>
      <c r="F90" s="49">
        <v>6780.7323047496566</v>
      </c>
      <c r="G90" s="50">
        <v>15425.46954525197</v>
      </c>
      <c r="H90" s="58"/>
      <c r="I90" s="48">
        <v>20740.872580986128</v>
      </c>
      <c r="J90" s="49">
        <v>2416.1480725955257</v>
      </c>
      <c r="K90" s="50">
        <v>23157.020653581654</v>
      </c>
      <c r="M90" s="55"/>
      <c r="N90" s="55"/>
      <c r="O90" s="55"/>
      <c r="Q90" s="55"/>
      <c r="R90" s="55"/>
      <c r="S90" s="55"/>
    </row>
    <row r="91" spans="2:19" outlineLevel="1">
      <c r="B91" s="51" t="s">
        <v>142</v>
      </c>
      <c r="C91" s="52" t="s">
        <v>44</v>
      </c>
      <c r="D91" s="53" t="s">
        <v>264</v>
      </c>
      <c r="E91" s="48">
        <v>11884.887203999691</v>
      </c>
      <c r="F91" s="49">
        <v>1159.03379797666</v>
      </c>
      <c r="G91" s="50">
        <v>13043.921001976352</v>
      </c>
      <c r="H91" s="58"/>
      <c r="I91" s="48">
        <v>12889.382872435524</v>
      </c>
      <c r="J91" s="49">
        <v>1183.5929330343897</v>
      </c>
      <c r="K91" s="50">
        <v>14072.975805469914</v>
      </c>
      <c r="M91" s="55"/>
      <c r="N91" s="55"/>
      <c r="O91" s="55"/>
      <c r="Q91" s="55"/>
      <c r="R91" s="55"/>
      <c r="S91" s="55"/>
    </row>
    <row r="92" spans="2:19" outlineLevel="1">
      <c r="B92" s="51" t="s">
        <v>142</v>
      </c>
      <c r="C92" s="52" t="s">
        <v>45</v>
      </c>
      <c r="D92" s="53" t="s">
        <v>265</v>
      </c>
      <c r="E92" s="48">
        <v>1209.4349366291226</v>
      </c>
      <c r="F92" s="49">
        <v>221.82832660412134</v>
      </c>
      <c r="G92" s="50">
        <v>1431.2632632332438</v>
      </c>
      <c r="H92" s="58"/>
      <c r="I92" s="48">
        <v>1805.9020171959842</v>
      </c>
      <c r="J92" s="49">
        <v>540.18045107450007</v>
      </c>
      <c r="K92" s="50">
        <v>2346.0824682704842</v>
      </c>
      <c r="M92" s="55"/>
      <c r="N92" s="55"/>
      <c r="O92" s="55"/>
      <c r="Q92" s="55"/>
      <c r="R92" s="55"/>
      <c r="S92" s="55"/>
    </row>
    <row r="93" spans="2:19" outlineLevel="1">
      <c r="B93" s="51" t="s">
        <v>142</v>
      </c>
      <c r="C93" s="52" t="s">
        <v>46</v>
      </c>
      <c r="D93" s="53" t="s">
        <v>266</v>
      </c>
      <c r="E93" s="48">
        <v>32.035334722564535</v>
      </c>
      <c r="F93" s="49">
        <v>189.87520457730002</v>
      </c>
      <c r="G93" s="50">
        <v>221.91053929986455</v>
      </c>
      <c r="H93" s="58"/>
      <c r="I93" s="48">
        <v>540.40504541808843</v>
      </c>
      <c r="J93" s="49">
        <v>5.4413113583999992</v>
      </c>
      <c r="K93" s="50">
        <v>545.84635677648839</v>
      </c>
      <c r="M93" s="55"/>
      <c r="N93" s="55"/>
      <c r="O93" s="55"/>
      <c r="Q93" s="55"/>
      <c r="R93" s="55"/>
      <c r="S93" s="55"/>
    </row>
    <row r="94" spans="2:19" outlineLevel="1">
      <c r="B94" s="51" t="s">
        <v>142</v>
      </c>
      <c r="C94" s="52" t="s">
        <v>47</v>
      </c>
      <c r="D94" s="53" t="s">
        <v>267</v>
      </c>
      <c r="E94" s="48">
        <v>2573.7402812742039</v>
      </c>
      <c r="F94" s="49">
        <v>681.01871868001456</v>
      </c>
      <c r="G94" s="50">
        <v>3254.7589999542183</v>
      </c>
      <c r="H94" s="58"/>
      <c r="I94" s="48">
        <v>6610.7029989254015</v>
      </c>
      <c r="J94" s="49">
        <v>103.39463328781</v>
      </c>
      <c r="K94" s="50">
        <v>6714.0976322132119</v>
      </c>
      <c r="M94" s="55"/>
      <c r="N94" s="55"/>
      <c r="O94" s="55"/>
      <c r="Q94" s="55"/>
      <c r="R94" s="55"/>
      <c r="S94" s="55"/>
    </row>
    <row r="95" spans="2:19" outlineLevel="1">
      <c r="B95" s="51" t="s">
        <v>142</v>
      </c>
      <c r="C95" s="52" t="s">
        <v>688</v>
      </c>
      <c r="D95" s="53" t="s">
        <v>689</v>
      </c>
      <c r="E95" s="48">
        <v>0</v>
      </c>
      <c r="F95" s="49">
        <v>428.01670167169999</v>
      </c>
      <c r="G95" s="50">
        <v>428.01670167169999</v>
      </c>
      <c r="H95" s="58"/>
      <c r="I95" s="48">
        <v>394.74887009738001</v>
      </c>
      <c r="J95" s="49">
        <v>33.267831574319999</v>
      </c>
      <c r="K95" s="50">
        <v>428.01670167169999</v>
      </c>
      <c r="M95" s="55"/>
      <c r="N95" s="55"/>
      <c r="O95" s="55"/>
      <c r="Q95" s="55"/>
      <c r="R95" s="55"/>
      <c r="S95" s="55"/>
    </row>
    <row r="96" spans="2:19" outlineLevel="1">
      <c r="B96" s="51" t="s">
        <v>142</v>
      </c>
      <c r="C96" s="52" t="s">
        <v>48</v>
      </c>
      <c r="D96" s="53" t="s">
        <v>268</v>
      </c>
      <c r="E96" s="48">
        <v>12362.049784014351</v>
      </c>
      <c r="F96" s="49">
        <v>1484.9600937025928</v>
      </c>
      <c r="G96" s="50">
        <v>13847.009877716944</v>
      </c>
      <c r="H96" s="58"/>
      <c r="I96" s="48">
        <v>21800.028523471217</v>
      </c>
      <c r="J96" s="49">
        <v>1367.3070282518199</v>
      </c>
      <c r="K96" s="50">
        <v>23167.335551723037</v>
      </c>
      <c r="M96" s="55"/>
      <c r="N96" s="55"/>
      <c r="O96" s="55"/>
      <c r="Q96" s="55"/>
      <c r="R96" s="55"/>
      <c r="S96" s="55"/>
    </row>
    <row r="97" spans="2:19" outlineLevel="1">
      <c r="B97" s="51" t="s">
        <v>142</v>
      </c>
      <c r="C97" s="52" t="s">
        <v>690</v>
      </c>
      <c r="D97" s="53" t="s">
        <v>691</v>
      </c>
      <c r="E97" s="48">
        <v>2147.8558403573029</v>
      </c>
      <c r="F97" s="49">
        <v>31.919140389099663</v>
      </c>
      <c r="G97" s="50">
        <v>2179.7749807464024</v>
      </c>
      <c r="H97" s="58"/>
      <c r="I97" s="48">
        <v>2997.2065619552141</v>
      </c>
      <c r="J97" s="49">
        <v>54.023931766300009</v>
      </c>
      <c r="K97" s="50">
        <v>3051.230493721514</v>
      </c>
      <c r="M97" s="55"/>
      <c r="N97" s="55"/>
      <c r="O97" s="55"/>
      <c r="Q97" s="55"/>
      <c r="R97" s="55"/>
      <c r="S97" s="55"/>
    </row>
    <row r="98" spans="2:19" outlineLevel="1">
      <c r="B98" s="51" t="s">
        <v>142</v>
      </c>
      <c r="C98" s="52" t="s">
        <v>49</v>
      </c>
      <c r="D98" s="53" t="s">
        <v>269</v>
      </c>
      <c r="E98" s="48">
        <v>404.96309744396495</v>
      </c>
      <c r="F98" s="49">
        <v>231.93401736019729</v>
      </c>
      <c r="G98" s="50">
        <v>636.89711480416224</v>
      </c>
      <c r="H98" s="58"/>
      <c r="I98" s="48">
        <v>1876.9734311858031</v>
      </c>
      <c r="J98" s="49">
        <v>300.21777396309994</v>
      </c>
      <c r="K98" s="50">
        <v>2177.191205148903</v>
      </c>
      <c r="M98" s="55"/>
      <c r="N98" s="55"/>
      <c r="O98" s="55"/>
      <c r="Q98" s="55"/>
      <c r="R98" s="55"/>
      <c r="S98" s="55"/>
    </row>
    <row r="99" spans="2:19" outlineLevel="1">
      <c r="B99" s="51" t="s">
        <v>142</v>
      </c>
      <c r="C99" s="52" t="s">
        <v>50</v>
      </c>
      <c r="D99" s="53" t="s">
        <v>270</v>
      </c>
      <c r="E99" s="48">
        <v>3224.8131948497557</v>
      </c>
      <c r="F99" s="49">
        <v>2451.1538788298753</v>
      </c>
      <c r="G99" s="50">
        <v>5675.9670736796306</v>
      </c>
      <c r="H99" s="58"/>
      <c r="I99" s="48">
        <v>5010.3549481319287</v>
      </c>
      <c r="J99" s="49">
        <v>1012.5213001148801</v>
      </c>
      <c r="K99" s="50">
        <v>6022.8762482468092</v>
      </c>
      <c r="M99" s="55"/>
      <c r="N99" s="55"/>
      <c r="O99" s="55"/>
      <c r="Q99" s="55"/>
      <c r="R99" s="55"/>
      <c r="S99" s="55"/>
    </row>
    <row r="100" spans="2:19" outlineLevel="1">
      <c r="B100" s="51" t="s">
        <v>142</v>
      </c>
      <c r="C100" s="52" t="s">
        <v>52</v>
      </c>
      <c r="D100" s="53" t="s">
        <v>271</v>
      </c>
      <c r="E100" s="48">
        <v>4363.3312463510611</v>
      </c>
      <c r="F100" s="49">
        <v>2111.26442243052</v>
      </c>
      <c r="G100" s="50">
        <v>6474.5956687815815</v>
      </c>
      <c r="H100" s="58"/>
      <c r="I100" s="48">
        <v>6927.4463223595594</v>
      </c>
      <c r="J100" s="49">
        <v>2123.93663280896</v>
      </c>
      <c r="K100" s="50">
        <v>9051.3829551685194</v>
      </c>
      <c r="M100" s="55"/>
      <c r="N100" s="55"/>
      <c r="O100" s="55"/>
      <c r="Q100" s="55"/>
      <c r="R100" s="55"/>
      <c r="S100" s="55"/>
    </row>
    <row r="101" spans="2:19" outlineLevel="1">
      <c r="B101" s="51" t="s">
        <v>142</v>
      </c>
      <c r="C101" s="52" t="s">
        <v>53</v>
      </c>
      <c r="D101" s="53" t="s">
        <v>272</v>
      </c>
      <c r="E101" s="48">
        <v>10818.107177263057</v>
      </c>
      <c r="F101" s="49">
        <v>4345.2508683610249</v>
      </c>
      <c r="G101" s="50">
        <v>15163.358045624082</v>
      </c>
      <c r="H101" s="58"/>
      <c r="I101" s="48">
        <v>16168.36662030936</v>
      </c>
      <c r="J101" s="49">
        <v>6384.3334033803294</v>
      </c>
      <c r="K101" s="50">
        <v>22552.700023689689</v>
      </c>
      <c r="M101" s="55"/>
      <c r="N101" s="55"/>
      <c r="O101" s="55"/>
      <c r="Q101" s="55"/>
      <c r="R101" s="55"/>
      <c r="S101" s="55"/>
    </row>
    <row r="102" spans="2:19" outlineLevel="1">
      <c r="B102" s="51" t="s">
        <v>142</v>
      </c>
      <c r="C102" s="52" t="s">
        <v>198</v>
      </c>
      <c r="D102" s="53" t="s">
        <v>273</v>
      </c>
      <c r="E102" s="48">
        <v>711.0275302786481</v>
      </c>
      <c r="F102" s="49">
        <v>183.00327264154001</v>
      </c>
      <c r="G102" s="50">
        <v>894.03080292018808</v>
      </c>
      <c r="H102" s="58"/>
      <c r="I102" s="48">
        <v>972.91541915547998</v>
      </c>
      <c r="J102" s="49">
        <v>30.314367098279998</v>
      </c>
      <c r="K102" s="50">
        <v>1003.2297862537599</v>
      </c>
      <c r="M102" s="55"/>
      <c r="N102" s="55"/>
      <c r="O102" s="55"/>
      <c r="Q102" s="55"/>
      <c r="R102" s="55"/>
      <c r="S102" s="55"/>
    </row>
    <row r="103" spans="2:19" outlineLevel="1">
      <c r="B103" s="51" t="s">
        <v>142</v>
      </c>
      <c r="C103" s="52" t="s">
        <v>54</v>
      </c>
      <c r="D103" s="53" t="s">
        <v>274</v>
      </c>
      <c r="E103" s="48">
        <v>674.31658693649308</v>
      </c>
      <c r="F103" s="49">
        <v>437.52369038435995</v>
      </c>
      <c r="G103" s="50">
        <v>1111.8402773208531</v>
      </c>
      <c r="H103" s="58"/>
      <c r="I103" s="48">
        <v>1599.9240935074333</v>
      </c>
      <c r="J103" s="49">
        <v>85.077550137030002</v>
      </c>
      <c r="K103" s="50">
        <v>1685.0016436444632</v>
      </c>
      <c r="M103" s="55"/>
      <c r="N103" s="55"/>
      <c r="O103" s="55"/>
      <c r="Q103" s="55"/>
      <c r="R103" s="55"/>
      <c r="S103" s="55"/>
    </row>
    <row r="104" spans="2:19" outlineLevel="1">
      <c r="B104" s="51" t="s">
        <v>142</v>
      </c>
      <c r="C104" s="52" t="s">
        <v>55</v>
      </c>
      <c r="D104" s="53" t="s">
        <v>275</v>
      </c>
      <c r="E104" s="48">
        <v>1741.4354699247172</v>
      </c>
      <c r="F104" s="49">
        <v>2085.89340344417</v>
      </c>
      <c r="G104" s="50">
        <v>3827.3288733688869</v>
      </c>
      <c r="H104" s="58"/>
      <c r="I104" s="48">
        <v>6367.0486144365259</v>
      </c>
      <c r="J104" s="49">
        <v>458.62091911111997</v>
      </c>
      <c r="K104" s="50">
        <v>6825.6695335476461</v>
      </c>
      <c r="M104" s="55"/>
      <c r="N104" s="55"/>
      <c r="O104" s="55"/>
      <c r="Q104" s="55"/>
      <c r="R104" s="55"/>
      <c r="S104" s="55"/>
    </row>
    <row r="105" spans="2:19" outlineLevel="1">
      <c r="B105" s="51" t="s">
        <v>142</v>
      </c>
      <c r="C105" s="52" t="s">
        <v>56</v>
      </c>
      <c r="D105" s="53" t="s">
        <v>276</v>
      </c>
      <c r="E105" s="48">
        <v>3337.6332653556883</v>
      </c>
      <c r="F105" s="49">
        <v>480.34865211557002</v>
      </c>
      <c r="G105" s="50">
        <v>3817.9819174712584</v>
      </c>
      <c r="H105" s="58"/>
      <c r="I105" s="48">
        <v>3987.3309503883333</v>
      </c>
      <c r="J105" s="49">
        <v>169.68554436522001</v>
      </c>
      <c r="K105" s="50">
        <v>4157.0164947535532</v>
      </c>
      <c r="M105" s="55"/>
      <c r="N105" s="55"/>
      <c r="O105" s="55"/>
      <c r="Q105" s="55"/>
      <c r="R105" s="55"/>
      <c r="S105" s="55"/>
    </row>
    <row r="106" spans="2:19" outlineLevel="1">
      <c r="B106" s="51" t="s">
        <v>142</v>
      </c>
      <c r="C106" s="52" t="s">
        <v>57</v>
      </c>
      <c r="D106" s="53" t="s">
        <v>277</v>
      </c>
      <c r="E106" s="48">
        <v>2474.4370833029325</v>
      </c>
      <c r="F106" s="49">
        <v>772.59265521092004</v>
      </c>
      <c r="G106" s="50">
        <v>3247.0297385138524</v>
      </c>
      <c r="H106" s="58"/>
      <c r="I106" s="48">
        <v>2919.8576008162413</v>
      </c>
      <c r="J106" s="49">
        <v>854.56942587398009</v>
      </c>
      <c r="K106" s="50">
        <v>3774.4270266902213</v>
      </c>
      <c r="M106" s="55"/>
      <c r="N106" s="55"/>
      <c r="O106" s="55"/>
      <c r="Q106" s="55"/>
      <c r="R106" s="55"/>
      <c r="S106" s="55"/>
    </row>
    <row r="107" spans="2:19" outlineLevel="1">
      <c r="B107" s="51" t="s">
        <v>142</v>
      </c>
      <c r="C107" s="52" t="s">
        <v>58</v>
      </c>
      <c r="D107" s="53" t="s">
        <v>278</v>
      </c>
      <c r="E107" s="48">
        <v>4009.7646805657341</v>
      </c>
      <c r="F107" s="49">
        <v>8965.1817540001575</v>
      </c>
      <c r="G107" s="50">
        <v>12974.946434565893</v>
      </c>
      <c r="H107" s="58"/>
      <c r="I107" s="48">
        <v>16034.536092629514</v>
      </c>
      <c r="J107" s="49">
        <v>1521.5819112244099</v>
      </c>
      <c r="K107" s="50">
        <v>17556.118003853924</v>
      </c>
      <c r="M107" s="55"/>
      <c r="N107" s="55"/>
      <c r="O107" s="55"/>
      <c r="Q107" s="55"/>
      <c r="R107" s="55"/>
      <c r="S107" s="55"/>
    </row>
    <row r="108" spans="2:19" outlineLevel="1">
      <c r="B108" s="51" t="s">
        <v>142</v>
      </c>
      <c r="C108" s="52" t="s">
        <v>199</v>
      </c>
      <c r="D108" s="53" t="s">
        <v>279</v>
      </c>
      <c r="E108" s="48">
        <v>5145.4263900907072</v>
      </c>
      <c r="F108" s="49">
        <v>876.21176097798991</v>
      </c>
      <c r="G108" s="50">
        <v>6021.638151068697</v>
      </c>
      <c r="H108" s="58"/>
      <c r="I108" s="48">
        <v>4737.73413939896</v>
      </c>
      <c r="J108" s="49">
        <v>1559.4436563614699</v>
      </c>
      <c r="K108" s="50">
        <v>6297.1777957604299</v>
      </c>
      <c r="M108" s="55"/>
      <c r="N108" s="55"/>
      <c r="O108" s="55"/>
      <c r="Q108" s="55"/>
      <c r="R108" s="55"/>
      <c r="S108" s="55"/>
    </row>
    <row r="109" spans="2:19" outlineLevel="1">
      <c r="B109" s="51" t="s">
        <v>142</v>
      </c>
      <c r="C109" s="52" t="s">
        <v>59</v>
      </c>
      <c r="D109" s="53" t="s">
        <v>280</v>
      </c>
      <c r="E109" s="48">
        <v>2467.223522450834</v>
      </c>
      <c r="F109" s="49">
        <v>146.63993244900999</v>
      </c>
      <c r="G109" s="50">
        <v>2613.8634548998439</v>
      </c>
      <c r="H109" s="58"/>
      <c r="I109" s="48">
        <v>3149.3065206221854</v>
      </c>
      <c r="J109" s="49">
        <v>101.69145171047001</v>
      </c>
      <c r="K109" s="50">
        <v>3250.9979723326555</v>
      </c>
      <c r="M109" s="55"/>
      <c r="N109" s="55"/>
      <c r="O109" s="55"/>
      <c r="Q109" s="55"/>
      <c r="R109" s="55"/>
      <c r="S109" s="55"/>
    </row>
    <row r="110" spans="2:19" outlineLevel="1">
      <c r="B110" s="51" t="s">
        <v>142</v>
      </c>
      <c r="C110" s="52" t="s">
        <v>692</v>
      </c>
      <c r="D110" s="53" t="s">
        <v>693</v>
      </c>
      <c r="E110" s="48">
        <v>0</v>
      </c>
      <c r="F110" s="49">
        <v>15987.278496558903</v>
      </c>
      <c r="G110" s="50">
        <v>15987.278496558903</v>
      </c>
      <c r="H110" s="58"/>
      <c r="I110" s="48">
        <v>24672.455985277458</v>
      </c>
      <c r="J110" s="49">
        <v>5.7427134973000307</v>
      </c>
      <c r="K110" s="50">
        <v>24678.198698774759</v>
      </c>
      <c r="M110" s="55"/>
      <c r="N110" s="55"/>
      <c r="O110" s="55"/>
      <c r="Q110" s="55"/>
      <c r="R110" s="55"/>
      <c r="S110" s="55"/>
    </row>
    <row r="111" spans="2:19" outlineLevel="1">
      <c r="B111" s="51" t="s">
        <v>142</v>
      </c>
      <c r="C111" s="52" t="s">
        <v>694</v>
      </c>
      <c r="D111" s="53" t="s">
        <v>695</v>
      </c>
      <c r="E111" s="48">
        <v>265.304731118625</v>
      </c>
      <c r="F111" s="49">
        <v>15816.736783143451</v>
      </c>
      <c r="G111" s="50">
        <v>16082.041514262077</v>
      </c>
      <c r="H111" s="58"/>
      <c r="I111" s="48">
        <v>17381.49812189021</v>
      </c>
      <c r="J111" s="49">
        <v>1050.1407916237356</v>
      </c>
      <c r="K111" s="50">
        <v>18431.638913513947</v>
      </c>
      <c r="M111" s="55"/>
      <c r="N111" s="55"/>
      <c r="O111" s="55"/>
      <c r="Q111" s="55"/>
      <c r="R111" s="55"/>
      <c r="S111" s="55"/>
    </row>
    <row r="112" spans="2:19" outlineLevel="1">
      <c r="B112" s="51" t="s">
        <v>142</v>
      </c>
      <c r="C112" s="52" t="s">
        <v>696</v>
      </c>
      <c r="D112" s="53" t="s">
        <v>697</v>
      </c>
      <c r="E112" s="48">
        <v>0</v>
      </c>
      <c r="F112" s="49">
        <v>1008.3223724429002</v>
      </c>
      <c r="G112" s="50">
        <v>1008.3223724429002</v>
      </c>
      <c r="H112" s="58"/>
      <c r="I112" s="48">
        <v>929.69243035574254</v>
      </c>
      <c r="J112" s="49">
        <v>174.30741817458528</v>
      </c>
      <c r="K112" s="50">
        <v>1103.9998485303279</v>
      </c>
      <c r="M112" s="55"/>
      <c r="N112" s="55"/>
      <c r="O112" s="55"/>
      <c r="Q112" s="55"/>
      <c r="R112" s="55"/>
      <c r="S112" s="55"/>
    </row>
    <row r="113" spans="2:19" outlineLevel="1">
      <c r="B113" s="51" t="s">
        <v>142</v>
      </c>
      <c r="C113" s="52" t="s">
        <v>698</v>
      </c>
      <c r="D113" s="53" t="s">
        <v>699</v>
      </c>
      <c r="E113" s="48">
        <v>0</v>
      </c>
      <c r="F113" s="49">
        <v>1661.8423420172701</v>
      </c>
      <c r="G113" s="50">
        <v>1661.8423420172701</v>
      </c>
      <c r="H113" s="58"/>
      <c r="I113" s="48">
        <v>2146.4101114884115</v>
      </c>
      <c r="J113" s="49">
        <v>25.185624083220002</v>
      </c>
      <c r="K113" s="50">
        <v>2171.5957355716314</v>
      </c>
      <c r="M113" s="55"/>
      <c r="N113" s="55"/>
      <c r="O113" s="55"/>
      <c r="Q113" s="55"/>
      <c r="R113" s="55"/>
      <c r="S113" s="55"/>
    </row>
    <row r="114" spans="2:19" outlineLevel="1">
      <c r="B114" s="51" t="s">
        <v>142</v>
      </c>
      <c r="C114" s="52" t="s">
        <v>700</v>
      </c>
      <c r="D114" s="53" t="s">
        <v>701</v>
      </c>
      <c r="E114" s="48">
        <v>0</v>
      </c>
      <c r="F114" s="49">
        <v>3297.8360589748004</v>
      </c>
      <c r="G114" s="50">
        <v>3297.8360589748004</v>
      </c>
      <c r="H114" s="58"/>
      <c r="I114" s="48">
        <v>7364.1623433245568</v>
      </c>
      <c r="J114" s="49">
        <v>0.50983240898983695</v>
      </c>
      <c r="K114" s="50">
        <v>7364.6721757335463</v>
      </c>
      <c r="M114" s="55"/>
      <c r="N114" s="55"/>
      <c r="O114" s="55"/>
      <c r="Q114" s="55"/>
      <c r="R114" s="55"/>
      <c r="S114" s="55"/>
    </row>
    <row r="115" spans="2:19" outlineLevel="1">
      <c r="B115" s="51" t="s">
        <v>142</v>
      </c>
      <c r="C115" s="52" t="s">
        <v>60</v>
      </c>
      <c r="D115" s="53" t="s">
        <v>281</v>
      </c>
      <c r="E115" s="48">
        <v>708.37652700000001</v>
      </c>
      <c r="F115" s="49">
        <v>2569.6314004328601</v>
      </c>
      <c r="G115" s="50">
        <v>3278.00792743286</v>
      </c>
      <c r="H115" s="58"/>
      <c r="I115" s="48">
        <v>1308.90481472495</v>
      </c>
      <c r="J115" s="49">
        <v>2329.9016062895807</v>
      </c>
      <c r="K115" s="50">
        <v>3638.8064210145308</v>
      </c>
      <c r="M115" s="55"/>
      <c r="N115" s="55"/>
      <c r="O115" s="55"/>
      <c r="Q115" s="55"/>
      <c r="R115" s="55"/>
      <c r="S115" s="55"/>
    </row>
    <row r="116" spans="2:19" outlineLevel="1">
      <c r="B116" s="51" t="s">
        <v>142</v>
      </c>
      <c r="C116" s="52" t="s">
        <v>61</v>
      </c>
      <c r="D116" s="53" t="s">
        <v>282</v>
      </c>
      <c r="E116" s="48">
        <v>1713.422765322362</v>
      </c>
      <c r="F116" s="49">
        <v>337.87702504162991</v>
      </c>
      <c r="G116" s="50">
        <v>2051.2997903639921</v>
      </c>
      <c r="H116" s="58"/>
      <c r="I116" s="48">
        <v>837.56762811371209</v>
      </c>
      <c r="J116" s="49">
        <v>1354.2267597181799</v>
      </c>
      <c r="K116" s="50">
        <v>2191.794387831892</v>
      </c>
      <c r="M116" s="55"/>
      <c r="N116" s="55"/>
      <c r="O116" s="55"/>
      <c r="Q116" s="55"/>
      <c r="R116" s="55"/>
      <c r="S116" s="55"/>
    </row>
    <row r="117" spans="2:19" outlineLevel="1">
      <c r="B117" s="51" t="s">
        <v>142</v>
      </c>
      <c r="C117" s="52" t="s">
        <v>15</v>
      </c>
      <c r="D117" s="53" t="s">
        <v>283</v>
      </c>
      <c r="E117" s="48">
        <v>8540.3360128087606</v>
      </c>
      <c r="F117" s="49">
        <v>6221.6911402508213</v>
      </c>
      <c r="G117" s="50">
        <v>14762.027153059582</v>
      </c>
      <c r="H117" s="58"/>
      <c r="I117" s="48">
        <v>15131.244096967681</v>
      </c>
      <c r="J117" s="49">
        <v>2109.0328534292803</v>
      </c>
      <c r="K117" s="50">
        <v>17240.276950396961</v>
      </c>
      <c r="M117" s="55"/>
      <c r="N117" s="55"/>
      <c r="O117" s="55"/>
      <c r="Q117" s="55"/>
      <c r="R117" s="55"/>
      <c r="S117" s="55"/>
    </row>
    <row r="118" spans="2:19" outlineLevel="1">
      <c r="B118" s="51" t="s">
        <v>142</v>
      </c>
      <c r="C118" s="52" t="s">
        <v>702</v>
      </c>
      <c r="D118" s="53" t="s">
        <v>703</v>
      </c>
      <c r="E118" s="48">
        <v>104.714943588632</v>
      </c>
      <c r="F118" s="49">
        <v>7894.7468006172994</v>
      </c>
      <c r="G118" s="50">
        <v>7999.4617442059316</v>
      </c>
      <c r="H118" s="58"/>
      <c r="I118" s="48">
        <v>7636.1785151916883</v>
      </c>
      <c r="J118" s="49">
        <v>473.70737975632994</v>
      </c>
      <c r="K118" s="50">
        <v>8109.8858949480182</v>
      </c>
      <c r="M118" s="55"/>
      <c r="N118" s="55"/>
      <c r="O118" s="55"/>
      <c r="Q118" s="55"/>
      <c r="R118" s="55"/>
      <c r="S118" s="55"/>
    </row>
    <row r="119" spans="2:19" outlineLevel="1">
      <c r="B119" s="51" t="s">
        <v>142</v>
      </c>
      <c r="C119" s="52" t="s">
        <v>62</v>
      </c>
      <c r="D119" s="53" t="s">
        <v>755</v>
      </c>
      <c r="E119" s="48">
        <v>1608.1944096711857</v>
      </c>
      <c r="F119" s="49">
        <v>1442.2185324724803</v>
      </c>
      <c r="G119" s="50">
        <v>3050.412942143666</v>
      </c>
      <c r="H119" s="58"/>
      <c r="I119" s="48">
        <v>3207.9654070764923</v>
      </c>
      <c r="J119" s="49">
        <v>603.82713819396986</v>
      </c>
      <c r="K119" s="50">
        <v>3811.7925452704621</v>
      </c>
      <c r="M119" s="55"/>
      <c r="N119" s="55"/>
      <c r="O119" s="55"/>
      <c r="Q119" s="55"/>
      <c r="R119" s="55"/>
      <c r="S119" s="55"/>
    </row>
    <row r="120" spans="2:19" outlineLevel="1">
      <c r="B120" s="51" t="s">
        <v>142</v>
      </c>
      <c r="C120" s="52" t="s">
        <v>63</v>
      </c>
      <c r="D120" s="53" t="s">
        <v>285</v>
      </c>
      <c r="E120" s="48">
        <v>7262.4758877411832</v>
      </c>
      <c r="F120" s="49">
        <v>3548.0260192955543</v>
      </c>
      <c r="G120" s="50">
        <v>10810.501907036738</v>
      </c>
      <c r="H120" s="58"/>
      <c r="I120" s="48">
        <v>15840.887768321942</v>
      </c>
      <c r="J120" s="49">
        <v>3216.0488261117002</v>
      </c>
      <c r="K120" s="50">
        <v>19056.936594433642</v>
      </c>
      <c r="M120" s="55"/>
      <c r="N120" s="55"/>
      <c r="O120" s="55"/>
      <c r="Q120" s="55"/>
      <c r="R120" s="55"/>
      <c r="S120" s="55"/>
    </row>
    <row r="121" spans="2:19" outlineLevel="1">
      <c r="B121" s="51" t="s">
        <v>142</v>
      </c>
      <c r="C121" s="52" t="s">
        <v>74</v>
      </c>
      <c r="D121" s="53" t="s">
        <v>286</v>
      </c>
      <c r="E121" s="48">
        <v>1641.1358414981285</v>
      </c>
      <c r="F121" s="49">
        <v>5618.579452052385</v>
      </c>
      <c r="G121" s="50">
        <v>7259.7152935505137</v>
      </c>
      <c r="H121" s="58"/>
      <c r="I121" s="48">
        <v>7645.984441883119</v>
      </c>
      <c r="J121" s="49">
        <v>934.58282847278974</v>
      </c>
      <c r="K121" s="50">
        <v>8580.5672703559085</v>
      </c>
      <c r="M121" s="55"/>
      <c r="N121" s="55"/>
      <c r="O121" s="55"/>
      <c r="Q121" s="55"/>
      <c r="R121" s="55"/>
      <c r="S121" s="55"/>
    </row>
    <row r="122" spans="2:19" outlineLevel="1">
      <c r="B122" s="51" t="s">
        <v>142</v>
      </c>
      <c r="C122" s="52" t="s">
        <v>64</v>
      </c>
      <c r="D122" s="53" t="s">
        <v>287</v>
      </c>
      <c r="E122" s="48">
        <v>1023.956309137331</v>
      </c>
      <c r="F122" s="49">
        <v>4336.0162472437187</v>
      </c>
      <c r="G122" s="50">
        <v>5359.9725563810498</v>
      </c>
      <c r="H122" s="58"/>
      <c r="I122" s="48">
        <v>5499.463217555377</v>
      </c>
      <c r="J122" s="49">
        <v>738.70240294815994</v>
      </c>
      <c r="K122" s="50">
        <v>6238.165620503537</v>
      </c>
      <c r="M122" s="55"/>
      <c r="N122" s="55"/>
      <c r="O122" s="55"/>
      <c r="Q122" s="55"/>
      <c r="R122" s="55"/>
      <c r="S122" s="55"/>
    </row>
    <row r="123" spans="2:19" outlineLevel="1">
      <c r="B123" s="51" t="s">
        <v>142</v>
      </c>
      <c r="C123" s="52" t="s">
        <v>65</v>
      </c>
      <c r="D123" s="53" t="s">
        <v>756</v>
      </c>
      <c r="E123" s="48">
        <v>4950.6633748597415</v>
      </c>
      <c r="F123" s="49">
        <v>9247.8543332019071</v>
      </c>
      <c r="G123" s="50">
        <v>14198.517708061649</v>
      </c>
      <c r="H123" s="58"/>
      <c r="I123" s="48">
        <v>20462.649955221183</v>
      </c>
      <c r="J123" s="49">
        <v>1812.6181736658802</v>
      </c>
      <c r="K123" s="50">
        <v>22275.268128887063</v>
      </c>
      <c r="M123" s="55"/>
      <c r="N123" s="55"/>
      <c r="O123" s="55"/>
      <c r="Q123" s="55"/>
      <c r="R123" s="55"/>
      <c r="S123" s="55"/>
    </row>
    <row r="124" spans="2:19" outlineLevel="1">
      <c r="B124" s="51" t="s">
        <v>142</v>
      </c>
      <c r="C124" s="52" t="s">
        <v>66</v>
      </c>
      <c r="D124" s="53" t="s">
        <v>289</v>
      </c>
      <c r="E124" s="48">
        <v>1189.9988982588056</v>
      </c>
      <c r="F124" s="49">
        <v>2366.7260616238627</v>
      </c>
      <c r="G124" s="50">
        <v>3556.7249598826684</v>
      </c>
      <c r="H124" s="58"/>
      <c r="I124" s="48">
        <v>4680.0326843428475</v>
      </c>
      <c r="J124" s="49">
        <v>282.79677807728001</v>
      </c>
      <c r="K124" s="50">
        <v>4962.8294624201271</v>
      </c>
      <c r="M124" s="55"/>
      <c r="N124" s="55"/>
      <c r="O124" s="55"/>
      <c r="Q124" s="55"/>
      <c r="R124" s="55"/>
      <c r="S124" s="55"/>
    </row>
    <row r="125" spans="2:19" outlineLevel="1">
      <c r="B125" s="51" t="s">
        <v>142</v>
      </c>
      <c r="C125" s="52" t="s">
        <v>67</v>
      </c>
      <c r="D125" s="53" t="s">
        <v>290</v>
      </c>
      <c r="E125" s="48">
        <v>14891.775602289948</v>
      </c>
      <c r="F125" s="49">
        <v>6517.2755314098613</v>
      </c>
      <c r="G125" s="50">
        <v>21409.05113369981</v>
      </c>
      <c r="H125" s="58"/>
      <c r="I125" s="48">
        <v>22683.4437124332</v>
      </c>
      <c r="J125" s="49">
        <v>4359.9511445088392</v>
      </c>
      <c r="K125" s="50">
        <v>27043.394856942039</v>
      </c>
      <c r="M125" s="55"/>
      <c r="N125" s="55"/>
      <c r="O125" s="55"/>
      <c r="Q125" s="55"/>
      <c r="R125" s="55"/>
      <c r="S125" s="55"/>
    </row>
    <row r="126" spans="2:19" outlineLevel="1">
      <c r="B126" s="51" t="s">
        <v>142</v>
      </c>
      <c r="C126" s="52" t="s">
        <v>68</v>
      </c>
      <c r="D126" s="53" t="s">
        <v>291</v>
      </c>
      <c r="E126" s="48">
        <v>1285.7628380776298</v>
      </c>
      <c r="F126" s="49">
        <v>1070.4699399221099</v>
      </c>
      <c r="G126" s="50">
        <v>2356.2327779997395</v>
      </c>
      <c r="H126" s="58"/>
      <c r="I126" s="48">
        <v>2033.9749287574168</v>
      </c>
      <c r="J126" s="49">
        <v>681.03510184952995</v>
      </c>
      <c r="K126" s="50">
        <v>2715.0100306069467</v>
      </c>
      <c r="M126" s="55"/>
      <c r="N126" s="55"/>
      <c r="O126" s="55"/>
      <c r="Q126" s="55"/>
      <c r="R126" s="55"/>
      <c r="S126" s="55"/>
    </row>
    <row r="127" spans="2:19" outlineLevel="1">
      <c r="B127" s="51" t="s">
        <v>142</v>
      </c>
      <c r="C127" s="52" t="s">
        <v>70</v>
      </c>
      <c r="D127" s="53" t="s">
        <v>292</v>
      </c>
      <c r="E127" s="48">
        <v>526.92432485883</v>
      </c>
      <c r="F127" s="49">
        <v>346.44384526558997</v>
      </c>
      <c r="G127" s="50">
        <v>873.36817012441998</v>
      </c>
      <c r="H127" s="58"/>
      <c r="I127" s="48">
        <v>1121.4811520011694</v>
      </c>
      <c r="J127" s="49">
        <v>117.24213556762001</v>
      </c>
      <c r="K127" s="50">
        <v>1238.7232875687894</v>
      </c>
      <c r="M127" s="55"/>
      <c r="N127" s="55"/>
      <c r="O127" s="55"/>
      <c r="Q127" s="55"/>
      <c r="R127" s="55"/>
      <c r="S127" s="55"/>
    </row>
    <row r="128" spans="2:19" outlineLevel="1">
      <c r="B128" s="51" t="s">
        <v>142</v>
      </c>
      <c r="C128" s="52" t="s">
        <v>69</v>
      </c>
      <c r="D128" s="53" t="s">
        <v>293</v>
      </c>
      <c r="E128" s="48">
        <v>1850.7718620965443</v>
      </c>
      <c r="F128" s="49">
        <v>1046.84073098351</v>
      </c>
      <c r="G128" s="50">
        <v>2897.6125930800545</v>
      </c>
      <c r="H128" s="58"/>
      <c r="I128" s="48">
        <v>2856.4651662217384</v>
      </c>
      <c r="J128" s="49">
        <v>599.69237298284008</v>
      </c>
      <c r="K128" s="50">
        <v>3456.1575392045784</v>
      </c>
      <c r="M128" s="55"/>
      <c r="N128" s="55"/>
      <c r="O128" s="55"/>
      <c r="Q128" s="55"/>
      <c r="R128" s="55"/>
      <c r="S128" s="55"/>
    </row>
    <row r="129" spans="2:19" outlineLevel="1">
      <c r="B129" s="51" t="s">
        <v>142</v>
      </c>
      <c r="C129" s="52" t="s">
        <v>71</v>
      </c>
      <c r="D129" s="53" t="s">
        <v>294</v>
      </c>
      <c r="E129" s="48">
        <v>8508.5892526832195</v>
      </c>
      <c r="F129" s="49">
        <v>819.00979087575865</v>
      </c>
      <c r="G129" s="50">
        <v>9327.5990435589774</v>
      </c>
      <c r="H129" s="58"/>
      <c r="I129" s="48">
        <v>10194.95759055857</v>
      </c>
      <c r="J129" s="49">
        <v>252.80557356534999</v>
      </c>
      <c r="K129" s="50">
        <v>10447.76316412392</v>
      </c>
      <c r="M129" s="55"/>
      <c r="N129" s="55"/>
      <c r="O129" s="55"/>
      <c r="Q129" s="55"/>
      <c r="R129" s="55"/>
      <c r="S129" s="55"/>
    </row>
    <row r="130" spans="2:19" outlineLevel="1">
      <c r="B130" s="51" t="s">
        <v>142</v>
      </c>
      <c r="C130" s="52" t="s">
        <v>72</v>
      </c>
      <c r="D130" s="53" t="s">
        <v>295</v>
      </c>
      <c r="E130" s="48">
        <v>4022.9856651466903</v>
      </c>
      <c r="F130" s="49">
        <v>197.61727679076</v>
      </c>
      <c r="G130" s="50">
        <v>4220.6029419374499</v>
      </c>
      <c r="H130" s="58"/>
      <c r="I130" s="48">
        <v>5133.9871677192486</v>
      </c>
      <c r="J130" s="49">
        <v>33.852382926060002</v>
      </c>
      <c r="K130" s="50">
        <v>5167.8395506453089</v>
      </c>
      <c r="M130" s="55"/>
      <c r="N130" s="55"/>
      <c r="O130" s="55"/>
      <c r="Q130" s="55"/>
      <c r="R130" s="55"/>
      <c r="S130" s="55"/>
    </row>
    <row r="131" spans="2:19" outlineLevel="1">
      <c r="B131" s="51" t="s">
        <v>142</v>
      </c>
      <c r="C131" s="52" t="s">
        <v>73</v>
      </c>
      <c r="D131" s="53" t="s">
        <v>296</v>
      </c>
      <c r="E131" s="48">
        <v>84.072049702739776</v>
      </c>
      <c r="F131" s="49">
        <v>53.433057688799998</v>
      </c>
      <c r="G131" s="50">
        <v>137.50510739153978</v>
      </c>
      <c r="H131" s="58"/>
      <c r="I131" s="48">
        <v>154.24398486543939</v>
      </c>
      <c r="J131" s="49">
        <v>15.65407319499</v>
      </c>
      <c r="K131" s="50">
        <v>169.89805806042938</v>
      </c>
      <c r="M131" s="55"/>
      <c r="N131" s="55"/>
      <c r="O131" s="55"/>
      <c r="Q131" s="55"/>
      <c r="R131" s="55"/>
      <c r="S131" s="55"/>
    </row>
    <row r="132" spans="2:19" outlineLevel="1">
      <c r="B132" s="51" t="s">
        <v>142</v>
      </c>
      <c r="C132" s="52" t="s">
        <v>704</v>
      </c>
      <c r="D132" s="53" t="s">
        <v>705</v>
      </c>
      <c r="E132" s="48">
        <v>844.47376310740856</v>
      </c>
      <c r="F132" s="49">
        <v>312.70912612962002</v>
      </c>
      <c r="G132" s="50">
        <v>1157.1828892370286</v>
      </c>
      <c r="H132" s="58"/>
      <c r="I132" s="48">
        <v>1281.4307549248945</v>
      </c>
      <c r="J132" s="49">
        <v>22.15065327712</v>
      </c>
      <c r="K132" s="50">
        <v>1303.5814082020145</v>
      </c>
      <c r="M132" s="55"/>
      <c r="N132" s="55"/>
      <c r="O132" s="55"/>
      <c r="Q132" s="55"/>
      <c r="R132" s="55"/>
      <c r="S132" s="55"/>
    </row>
    <row r="133" spans="2:19" outlineLevel="1">
      <c r="B133" s="51" t="s">
        <v>142</v>
      </c>
      <c r="C133" s="52" t="s">
        <v>75</v>
      </c>
      <c r="D133" s="53" t="s">
        <v>297</v>
      </c>
      <c r="E133" s="48">
        <v>15355.838263233676</v>
      </c>
      <c r="F133" s="49">
        <v>10605.281517523861</v>
      </c>
      <c r="G133" s="50">
        <v>25961.119780757537</v>
      </c>
      <c r="H133" s="58"/>
      <c r="I133" s="48">
        <v>21907.855111465502</v>
      </c>
      <c r="J133" s="49">
        <v>6488.7321963202803</v>
      </c>
      <c r="K133" s="50">
        <v>28396.587307785783</v>
      </c>
      <c r="M133" s="55"/>
      <c r="N133" s="55"/>
      <c r="O133" s="55"/>
      <c r="Q133" s="55"/>
      <c r="R133" s="55"/>
      <c r="S133" s="55"/>
    </row>
    <row r="134" spans="2:19" outlineLevel="1">
      <c r="B134" s="51" t="s">
        <v>142</v>
      </c>
      <c r="C134" s="52" t="s">
        <v>706</v>
      </c>
      <c r="D134" s="53" t="s">
        <v>707</v>
      </c>
      <c r="E134" s="48">
        <v>79.384072514991118</v>
      </c>
      <c r="F134" s="49">
        <v>2133.0399077396496</v>
      </c>
      <c r="G134" s="50">
        <v>2212.4239802546408</v>
      </c>
      <c r="H134" s="58"/>
      <c r="I134" s="48">
        <v>2420.8216376794931</v>
      </c>
      <c r="J134" s="49">
        <v>55.356364035650003</v>
      </c>
      <c r="K134" s="50">
        <v>2476.1780017151432</v>
      </c>
      <c r="M134" s="55"/>
      <c r="N134" s="55"/>
      <c r="O134" s="55"/>
      <c r="Q134" s="55"/>
      <c r="R134" s="55"/>
      <c r="S134" s="55"/>
    </row>
    <row r="135" spans="2:19" outlineLevel="1">
      <c r="B135" s="51" t="s">
        <v>142</v>
      </c>
      <c r="C135" s="52" t="s">
        <v>76</v>
      </c>
      <c r="D135" s="53" t="s">
        <v>298</v>
      </c>
      <c r="E135" s="48">
        <v>2228.1754755712859</v>
      </c>
      <c r="F135" s="49">
        <v>733.35549113694003</v>
      </c>
      <c r="G135" s="50">
        <v>2961.5309667082261</v>
      </c>
      <c r="H135" s="58"/>
      <c r="I135" s="48">
        <v>3139.9107197794433</v>
      </c>
      <c r="J135" s="49">
        <v>393.65666518369005</v>
      </c>
      <c r="K135" s="50">
        <v>3533.5673849631335</v>
      </c>
      <c r="M135" s="55"/>
      <c r="N135" s="55"/>
      <c r="O135" s="55"/>
      <c r="Q135" s="55"/>
      <c r="R135" s="55"/>
      <c r="S135" s="55"/>
    </row>
    <row r="136" spans="2:19" outlineLevel="1">
      <c r="B136" s="51" t="s">
        <v>142</v>
      </c>
      <c r="C136" s="52" t="s">
        <v>77</v>
      </c>
      <c r="D136" s="53" t="s">
        <v>299</v>
      </c>
      <c r="E136" s="48">
        <v>4869.9020121216909</v>
      </c>
      <c r="F136" s="49">
        <v>4428.8154270128389</v>
      </c>
      <c r="G136" s="50">
        <v>9298.7174391345288</v>
      </c>
      <c r="H136" s="58"/>
      <c r="I136" s="48">
        <v>9301.4282188373072</v>
      </c>
      <c r="J136" s="49">
        <v>1503.47374663958</v>
      </c>
      <c r="K136" s="50">
        <v>10804.901965476887</v>
      </c>
      <c r="M136" s="55"/>
      <c r="N136" s="55"/>
      <c r="O136" s="55"/>
      <c r="Q136" s="55"/>
      <c r="R136" s="55"/>
      <c r="S136" s="55"/>
    </row>
    <row r="137" spans="2:19" outlineLevel="1">
      <c r="B137" s="51" t="s">
        <v>142</v>
      </c>
      <c r="C137" s="52" t="s">
        <v>78</v>
      </c>
      <c r="D137" s="53" t="s">
        <v>300</v>
      </c>
      <c r="E137" s="48">
        <v>1729.0049478832491</v>
      </c>
      <c r="F137" s="49">
        <v>6147.3364289440105</v>
      </c>
      <c r="G137" s="50">
        <v>7876.3413768272594</v>
      </c>
      <c r="H137" s="58"/>
      <c r="I137" s="48">
        <v>8198.4445072224989</v>
      </c>
      <c r="J137" s="49">
        <v>1071.0648861383199</v>
      </c>
      <c r="K137" s="50">
        <v>9269.5093933608186</v>
      </c>
      <c r="M137" s="55"/>
      <c r="N137" s="55"/>
      <c r="O137" s="55"/>
      <c r="Q137" s="55"/>
      <c r="R137" s="55"/>
      <c r="S137" s="55"/>
    </row>
    <row r="138" spans="2:19" outlineLevel="1">
      <c r="B138" s="51" t="s">
        <v>142</v>
      </c>
      <c r="C138" s="52" t="s">
        <v>642</v>
      </c>
      <c r="D138" s="53" t="s">
        <v>708</v>
      </c>
      <c r="E138" s="48">
        <v>841.89557412000022</v>
      </c>
      <c r="F138" s="49">
        <v>7406.3355971730507</v>
      </c>
      <c r="G138" s="50">
        <v>8248.2311712930514</v>
      </c>
      <c r="H138" s="58"/>
      <c r="I138" s="48">
        <v>10163.011078630414</v>
      </c>
      <c r="J138" s="49">
        <v>350.06759994635996</v>
      </c>
      <c r="K138" s="50">
        <v>10513.078678576774</v>
      </c>
      <c r="M138" s="55"/>
      <c r="N138" s="55"/>
      <c r="O138" s="55"/>
      <c r="Q138" s="55"/>
      <c r="R138" s="55"/>
      <c r="S138" s="55"/>
    </row>
    <row r="139" spans="2:19" outlineLevel="1">
      <c r="B139" s="51" t="s">
        <v>142</v>
      </c>
      <c r="C139" s="52" t="s">
        <v>709</v>
      </c>
      <c r="D139" s="53" t="s">
        <v>710</v>
      </c>
      <c r="E139" s="48">
        <v>0</v>
      </c>
      <c r="F139" s="49">
        <v>2131.7275647064503</v>
      </c>
      <c r="G139" s="50">
        <v>2131.7275647064503</v>
      </c>
      <c r="H139" s="58"/>
      <c r="I139" s="48">
        <v>3791.9691281694741</v>
      </c>
      <c r="J139" s="49">
        <v>122.00691644277001</v>
      </c>
      <c r="K139" s="50">
        <v>3913.9760446122441</v>
      </c>
      <c r="M139" s="55"/>
      <c r="N139" s="55"/>
      <c r="O139" s="55"/>
      <c r="Q139" s="55"/>
      <c r="R139" s="55"/>
      <c r="S139" s="55"/>
    </row>
    <row r="140" spans="2:19" outlineLevel="1">
      <c r="B140" s="51" t="s">
        <v>142</v>
      </c>
      <c r="C140" s="52" t="s">
        <v>711</v>
      </c>
      <c r="D140" s="53" t="s">
        <v>712</v>
      </c>
      <c r="E140" s="48">
        <v>0</v>
      </c>
      <c r="F140" s="49">
        <v>3430.25048625098</v>
      </c>
      <c r="G140" s="50">
        <v>3430.25048625098</v>
      </c>
      <c r="H140" s="58"/>
      <c r="I140" s="48">
        <v>4932.6599563330337</v>
      </c>
      <c r="J140" s="49">
        <v>73.546014460590001</v>
      </c>
      <c r="K140" s="50">
        <v>5006.2059707936241</v>
      </c>
      <c r="M140" s="55"/>
      <c r="N140" s="55"/>
      <c r="O140" s="55"/>
      <c r="Q140" s="55"/>
      <c r="R140" s="55"/>
      <c r="S140" s="55"/>
    </row>
    <row r="141" spans="2:19" outlineLevel="1">
      <c r="B141" s="51" t="s">
        <v>142</v>
      </c>
      <c r="C141" s="52" t="s">
        <v>713</v>
      </c>
      <c r="D141" s="53" t="s">
        <v>714</v>
      </c>
      <c r="E141" s="48">
        <v>59.259025015385546</v>
      </c>
      <c r="F141" s="49">
        <v>6086.5408703495896</v>
      </c>
      <c r="G141" s="50">
        <v>6145.7998953649749</v>
      </c>
      <c r="H141" s="58"/>
      <c r="I141" s="48">
        <v>7186.6470524922006</v>
      </c>
      <c r="J141" s="49">
        <v>262.79415796621998</v>
      </c>
      <c r="K141" s="50">
        <v>7449.4412104584208</v>
      </c>
      <c r="M141" s="55"/>
      <c r="N141" s="55"/>
      <c r="O141" s="55"/>
      <c r="Q141" s="55"/>
      <c r="R141" s="55"/>
      <c r="S141" s="55"/>
    </row>
    <row r="142" spans="2:19" outlineLevel="1">
      <c r="B142" s="51" t="s">
        <v>142</v>
      </c>
      <c r="C142" s="52" t="s">
        <v>715</v>
      </c>
      <c r="D142" s="53" t="s">
        <v>716</v>
      </c>
      <c r="E142" s="48">
        <v>0</v>
      </c>
      <c r="F142" s="49">
        <v>11329.604174914803</v>
      </c>
      <c r="G142" s="50">
        <v>11329.604174914803</v>
      </c>
      <c r="H142" s="58"/>
      <c r="I142" s="48">
        <v>18758.133201897821</v>
      </c>
      <c r="J142" s="49">
        <v>194.19054961220991</v>
      </c>
      <c r="K142" s="50">
        <v>18952.32375151003</v>
      </c>
      <c r="M142" s="55"/>
      <c r="N142" s="55"/>
      <c r="O142" s="55"/>
      <c r="Q142" s="55"/>
      <c r="R142" s="55"/>
      <c r="S142" s="55"/>
    </row>
    <row r="143" spans="2:19" outlineLevel="1">
      <c r="B143" s="51" t="s">
        <v>142</v>
      </c>
      <c r="C143" s="52" t="s">
        <v>717</v>
      </c>
      <c r="D143" s="53" t="s">
        <v>718</v>
      </c>
      <c r="E143" s="48">
        <v>229.13214210392266</v>
      </c>
      <c r="F143" s="49">
        <v>2788.5235113558197</v>
      </c>
      <c r="G143" s="50">
        <v>3017.6556534597421</v>
      </c>
      <c r="H143" s="58"/>
      <c r="I143" s="48">
        <v>4226.5929281655017</v>
      </c>
      <c r="J143" s="49">
        <v>231.75941731447998</v>
      </c>
      <c r="K143" s="50">
        <v>4458.3523454799815</v>
      </c>
      <c r="M143" s="55"/>
      <c r="N143" s="55"/>
      <c r="O143" s="55"/>
      <c r="Q143" s="55"/>
      <c r="R143" s="55"/>
      <c r="S143" s="55"/>
    </row>
    <row r="144" spans="2:19" outlineLevel="1">
      <c r="B144" s="51" t="s">
        <v>142</v>
      </c>
      <c r="C144" s="52" t="s">
        <v>79</v>
      </c>
      <c r="D144" s="53" t="s">
        <v>301</v>
      </c>
      <c r="E144" s="48">
        <v>1009.6467405574847</v>
      </c>
      <c r="F144" s="49">
        <v>16983.698171823657</v>
      </c>
      <c r="G144" s="50">
        <v>17993.344912381141</v>
      </c>
      <c r="H144" s="58"/>
      <c r="I144" s="48">
        <v>29268.899042647812</v>
      </c>
      <c r="J144" s="49">
        <v>326.24854911372</v>
      </c>
      <c r="K144" s="50">
        <v>29595.147591761532</v>
      </c>
      <c r="M144" s="55"/>
      <c r="N144" s="55"/>
      <c r="O144" s="55"/>
      <c r="Q144" s="55"/>
      <c r="R144" s="55"/>
      <c r="S144" s="55"/>
    </row>
    <row r="145" spans="2:19" outlineLevel="1">
      <c r="B145" s="51" t="s">
        <v>142</v>
      </c>
      <c r="C145" s="52" t="s">
        <v>80</v>
      </c>
      <c r="D145" s="53" t="s">
        <v>302</v>
      </c>
      <c r="E145" s="48">
        <v>8445.1150779210129</v>
      </c>
      <c r="F145" s="49">
        <v>1119.3984197833402</v>
      </c>
      <c r="G145" s="50">
        <v>9564.5134977043526</v>
      </c>
      <c r="H145" s="58"/>
      <c r="I145" s="48">
        <v>11738.02401411519</v>
      </c>
      <c r="J145" s="49">
        <v>594.37426752913018</v>
      </c>
      <c r="K145" s="50">
        <v>12332.39828164432</v>
      </c>
      <c r="M145" s="55"/>
      <c r="N145" s="55"/>
      <c r="O145" s="55"/>
      <c r="Q145" s="55"/>
      <c r="R145" s="55"/>
      <c r="S145" s="55"/>
    </row>
    <row r="146" spans="2:19" outlineLevel="1">
      <c r="B146" s="51" t="s">
        <v>142</v>
      </c>
      <c r="C146" s="52" t="s">
        <v>81</v>
      </c>
      <c r="D146" s="53" t="s">
        <v>303</v>
      </c>
      <c r="E146" s="48">
        <v>269.28323503164512</v>
      </c>
      <c r="F146" s="49">
        <v>287.11566519512996</v>
      </c>
      <c r="G146" s="50">
        <v>556.39890022677514</v>
      </c>
      <c r="H146" s="58"/>
      <c r="I146" s="48">
        <v>1087.6983680380174</v>
      </c>
      <c r="J146" s="49">
        <v>7.3988547802399998</v>
      </c>
      <c r="K146" s="50">
        <v>1095.0972228182575</v>
      </c>
      <c r="M146" s="55"/>
      <c r="N146" s="55"/>
      <c r="O146" s="55"/>
      <c r="Q146" s="55"/>
      <c r="R146" s="55"/>
      <c r="S146" s="55"/>
    </row>
    <row r="147" spans="2:19" outlineLevel="1">
      <c r="B147" s="51" t="s">
        <v>142</v>
      </c>
      <c r="C147" s="52" t="s">
        <v>719</v>
      </c>
      <c r="D147" s="53" t="s">
        <v>720</v>
      </c>
      <c r="E147" s="48">
        <v>46.385490481093186</v>
      </c>
      <c r="F147" s="49">
        <v>152.21425742743</v>
      </c>
      <c r="G147" s="50">
        <v>198.59974790852317</v>
      </c>
      <c r="H147" s="58"/>
      <c r="I147" s="48">
        <v>255.40251234726313</v>
      </c>
      <c r="J147" s="49">
        <v>0.70033386277999987</v>
      </c>
      <c r="K147" s="50">
        <v>256.10284621004314</v>
      </c>
      <c r="M147" s="55"/>
      <c r="N147" s="55"/>
      <c r="O147" s="55"/>
      <c r="Q147" s="55"/>
      <c r="R147" s="55"/>
      <c r="S147" s="55"/>
    </row>
    <row r="148" spans="2:19" outlineLevel="1">
      <c r="B148" s="51" t="s">
        <v>142</v>
      </c>
      <c r="C148" s="52" t="s">
        <v>721</v>
      </c>
      <c r="D148" s="53" t="s">
        <v>722</v>
      </c>
      <c r="E148" s="48">
        <v>74.789134491011154</v>
      </c>
      <c r="F148" s="49">
        <v>286.98891080426995</v>
      </c>
      <c r="G148" s="50">
        <v>361.77804529528112</v>
      </c>
      <c r="H148" s="58"/>
      <c r="I148" s="48">
        <v>517.47040082153694</v>
      </c>
      <c r="J148" s="49">
        <v>20.782717689900011</v>
      </c>
      <c r="K148" s="50">
        <v>538.25311851143692</v>
      </c>
      <c r="M148" s="55"/>
      <c r="N148" s="55"/>
      <c r="O148" s="55"/>
      <c r="Q148" s="55"/>
      <c r="R148" s="55"/>
      <c r="S148" s="55"/>
    </row>
    <row r="149" spans="2:19" outlineLevel="1">
      <c r="B149" s="51" t="s">
        <v>142</v>
      </c>
      <c r="C149" s="52" t="s">
        <v>82</v>
      </c>
      <c r="D149" s="53" t="s">
        <v>304</v>
      </c>
      <c r="E149" s="48">
        <v>1659.63268924161</v>
      </c>
      <c r="F149" s="49">
        <v>1936.13969122914</v>
      </c>
      <c r="G149" s="50">
        <v>3595.7723804707502</v>
      </c>
      <c r="H149" s="58"/>
      <c r="I149" s="48">
        <v>6726.198188741123</v>
      </c>
      <c r="J149" s="49">
        <v>378.79391152436995</v>
      </c>
      <c r="K149" s="50">
        <v>7104.9921002654928</v>
      </c>
      <c r="M149" s="55"/>
      <c r="N149" s="55"/>
      <c r="O149" s="55"/>
      <c r="Q149" s="55"/>
      <c r="R149" s="55"/>
      <c r="S149" s="55"/>
    </row>
    <row r="150" spans="2:19" outlineLevel="1">
      <c r="B150" s="51" t="s">
        <v>142</v>
      </c>
      <c r="C150" s="52" t="s">
        <v>723</v>
      </c>
      <c r="D150" s="53" t="s">
        <v>724</v>
      </c>
      <c r="E150" s="48">
        <v>503.00988634753122</v>
      </c>
      <c r="F150" s="49">
        <v>380.17989014463001</v>
      </c>
      <c r="G150" s="50">
        <v>883.18977649216117</v>
      </c>
      <c r="H150" s="58"/>
      <c r="I150" s="48">
        <v>988.1362149211343</v>
      </c>
      <c r="J150" s="49">
        <v>28.599982741999998</v>
      </c>
      <c r="K150" s="50">
        <v>1016.7361976631342</v>
      </c>
      <c r="M150" s="55"/>
      <c r="N150" s="55"/>
      <c r="O150" s="55"/>
      <c r="Q150" s="55"/>
      <c r="R150" s="55"/>
      <c r="S150" s="55"/>
    </row>
    <row r="151" spans="2:19" outlineLevel="1">
      <c r="B151" s="51" t="s">
        <v>142</v>
      </c>
      <c r="C151" s="52" t="s">
        <v>96</v>
      </c>
      <c r="D151" s="53" t="s">
        <v>305</v>
      </c>
      <c r="E151" s="48">
        <v>662.99948330784389</v>
      </c>
      <c r="F151" s="49">
        <v>425.98752385781762</v>
      </c>
      <c r="G151" s="50">
        <v>1088.9870071656615</v>
      </c>
      <c r="H151" s="58"/>
      <c r="I151" s="48">
        <v>1147.0456730454046</v>
      </c>
      <c r="J151" s="49">
        <v>270.97763908814005</v>
      </c>
      <c r="K151" s="50">
        <v>1418.0233121335446</v>
      </c>
      <c r="M151" s="55"/>
      <c r="N151" s="55"/>
      <c r="O151" s="55"/>
      <c r="Q151" s="55"/>
      <c r="R151" s="55"/>
      <c r="S151" s="55"/>
    </row>
    <row r="152" spans="2:19" outlineLevel="1">
      <c r="B152" s="51" t="s">
        <v>142</v>
      </c>
      <c r="C152" s="52" t="s">
        <v>85</v>
      </c>
      <c r="D152" s="53" t="s">
        <v>306</v>
      </c>
      <c r="E152" s="48">
        <v>933.76439298515743</v>
      </c>
      <c r="F152" s="49">
        <v>644.70599632755989</v>
      </c>
      <c r="G152" s="50">
        <v>1578.4703893127173</v>
      </c>
      <c r="H152" s="58"/>
      <c r="I152" s="48">
        <v>1479.9961816844427</v>
      </c>
      <c r="J152" s="49">
        <v>554.26332116100002</v>
      </c>
      <c r="K152" s="50">
        <v>2034.2595028454427</v>
      </c>
      <c r="M152" s="55"/>
      <c r="N152" s="55"/>
      <c r="O152" s="55"/>
      <c r="Q152" s="55"/>
      <c r="R152" s="55"/>
      <c r="S152" s="55"/>
    </row>
    <row r="153" spans="2:19" outlineLevel="1">
      <c r="B153" s="51" t="s">
        <v>142</v>
      </c>
      <c r="C153" s="52" t="s">
        <v>725</v>
      </c>
      <c r="D153" s="53" t="s">
        <v>726</v>
      </c>
      <c r="E153" s="48">
        <v>0</v>
      </c>
      <c r="F153" s="49">
        <v>-3.5628032176308389E-16</v>
      </c>
      <c r="G153" s="50">
        <v>-3.5628032176308389E-16</v>
      </c>
      <c r="H153" s="58"/>
      <c r="I153" s="48">
        <v>0</v>
      </c>
      <c r="J153" s="49">
        <v>0</v>
      </c>
      <c r="K153" s="50">
        <v>0</v>
      </c>
      <c r="M153" s="55"/>
      <c r="N153" s="55"/>
      <c r="O153" s="55"/>
      <c r="Q153" s="55"/>
      <c r="R153" s="55"/>
      <c r="S153" s="55"/>
    </row>
    <row r="154" spans="2:19" outlineLevel="1">
      <c r="B154" s="51" t="s">
        <v>142</v>
      </c>
      <c r="C154" s="52" t="s">
        <v>84</v>
      </c>
      <c r="D154" s="53" t="s">
        <v>307</v>
      </c>
      <c r="E154" s="48">
        <v>5834.0168950641546</v>
      </c>
      <c r="F154" s="49">
        <v>48.713300176924697</v>
      </c>
      <c r="G154" s="50">
        <v>5882.7301952410789</v>
      </c>
      <c r="H154" s="58"/>
      <c r="I154" s="48">
        <v>5812.4365613172968</v>
      </c>
      <c r="J154" s="49">
        <v>148.39955150395423</v>
      </c>
      <c r="K154" s="50">
        <v>5960.8361128212509</v>
      </c>
      <c r="M154" s="55"/>
      <c r="N154" s="55"/>
      <c r="O154" s="55"/>
      <c r="Q154" s="55"/>
      <c r="R154" s="55"/>
      <c r="S154" s="55"/>
    </row>
    <row r="155" spans="2:19" outlineLevel="1">
      <c r="B155" s="51" t="s">
        <v>142</v>
      </c>
      <c r="C155" s="52" t="s">
        <v>51</v>
      </c>
      <c r="D155" s="53" t="s">
        <v>308</v>
      </c>
      <c r="E155" s="48">
        <v>9044.0958504958944</v>
      </c>
      <c r="F155" s="49">
        <v>0</v>
      </c>
      <c r="G155" s="50">
        <v>9044.0958504958944</v>
      </c>
      <c r="H155" s="58"/>
      <c r="I155" s="48">
        <v>4476.6484830717873</v>
      </c>
      <c r="J155" s="49">
        <v>4567.4473674241071</v>
      </c>
      <c r="K155" s="50">
        <v>9044.0958504958944</v>
      </c>
      <c r="M155" s="55"/>
      <c r="N155" s="55"/>
      <c r="O155" s="55"/>
      <c r="Q155" s="55"/>
      <c r="R155" s="55"/>
      <c r="S155" s="55"/>
    </row>
    <row r="156" spans="2:19">
      <c r="B156" s="39" t="s">
        <v>147</v>
      </c>
      <c r="C156" s="40" t="s">
        <v>148</v>
      </c>
      <c r="D156" s="41"/>
      <c r="E156" s="42">
        <v>17869.439588752837</v>
      </c>
      <c r="F156" s="43">
        <v>993.17106677340007</v>
      </c>
      <c r="G156" s="44">
        <v>18862.610655526238</v>
      </c>
      <c r="H156" s="59"/>
      <c r="I156" s="42">
        <v>20994.890346050121</v>
      </c>
      <c r="J156" s="43">
        <v>851.43920454030001</v>
      </c>
      <c r="K156" s="44">
        <v>21846.329550590421</v>
      </c>
      <c r="L156" s="54"/>
      <c r="M156" s="55"/>
      <c r="N156" s="55"/>
      <c r="O156" s="55"/>
      <c r="Q156" s="55"/>
      <c r="R156" s="55"/>
      <c r="S156" s="55"/>
    </row>
    <row r="157" spans="2:19" outlineLevel="1">
      <c r="B157" s="51" t="s">
        <v>147</v>
      </c>
      <c r="C157" s="52" t="s">
        <v>87</v>
      </c>
      <c r="D157" s="53" t="s">
        <v>309</v>
      </c>
      <c r="E157" s="48">
        <v>12523.960895668455</v>
      </c>
      <c r="F157" s="49">
        <v>993.17106677340007</v>
      </c>
      <c r="G157" s="50">
        <v>13517.131962441856</v>
      </c>
      <c r="H157" s="58"/>
      <c r="I157" s="48">
        <v>19820.981013611643</v>
      </c>
      <c r="J157" s="49">
        <v>851.43920454030001</v>
      </c>
      <c r="K157" s="50">
        <v>20672.420218151943</v>
      </c>
      <c r="M157" s="55"/>
      <c r="N157" s="55"/>
      <c r="O157" s="55"/>
      <c r="Q157" s="55"/>
      <c r="R157" s="55"/>
      <c r="S157" s="55"/>
    </row>
    <row r="158" spans="2:19" outlineLevel="1">
      <c r="B158" s="51" t="s">
        <v>147</v>
      </c>
      <c r="C158" s="52" t="s">
        <v>200</v>
      </c>
      <c r="D158" s="53" t="s">
        <v>310</v>
      </c>
      <c r="E158" s="48">
        <v>5345.4786930843838</v>
      </c>
      <c r="F158" s="49">
        <v>0</v>
      </c>
      <c r="G158" s="50">
        <v>5345.4786930843838</v>
      </c>
      <c r="H158" s="58"/>
      <c r="I158" s="48">
        <v>1173.9093324384776</v>
      </c>
      <c r="J158" s="49">
        <v>0</v>
      </c>
      <c r="K158" s="50">
        <v>1173.9093324384776</v>
      </c>
      <c r="M158" s="55"/>
      <c r="N158" s="55"/>
      <c r="O158" s="55"/>
      <c r="Q158" s="55"/>
      <c r="R158" s="55"/>
      <c r="S158" s="55"/>
    </row>
    <row r="159" spans="2:19">
      <c r="B159" s="39" t="s">
        <v>727</v>
      </c>
      <c r="C159" s="40" t="s">
        <v>728</v>
      </c>
      <c r="D159" s="41"/>
      <c r="E159" s="42">
        <v>7210.4116482144818</v>
      </c>
      <c r="F159" s="43">
        <v>0</v>
      </c>
      <c r="G159" s="44">
        <v>7210.4116482144818</v>
      </c>
      <c r="H159" s="59"/>
      <c r="I159" s="42">
        <v>7379.0375672208347</v>
      </c>
      <c r="J159" s="43">
        <v>1.4265775358882031</v>
      </c>
      <c r="K159" s="44">
        <v>7380.4641447567228</v>
      </c>
      <c r="L159" s="54"/>
      <c r="M159" s="55"/>
      <c r="N159" s="55"/>
      <c r="O159" s="55"/>
      <c r="Q159" s="55"/>
      <c r="R159" s="55"/>
      <c r="S159" s="55"/>
    </row>
    <row r="160" spans="2:19" outlineLevel="1">
      <c r="B160" s="51" t="s">
        <v>727</v>
      </c>
      <c r="C160" s="52" t="s">
        <v>88</v>
      </c>
      <c r="D160" s="53" t="s">
        <v>311</v>
      </c>
      <c r="E160" s="48">
        <v>6024.5561268584843</v>
      </c>
      <c r="F160" s="49">
        <v>0</v>
      </c>
      <c r="G160" s="50">
        <v>6024.5561268584843</v>
      </c>
      <c r="H160" s="58"/>
      <c r="I160" s="48">
        <v>6165.6215586021808</v>
      </c>
      <c r="J160" s="49">
        <v>0</v>
      </c>
      <c r="K160" s="50">
        <v>6165.6215586021808</v>
      </c>
      <c r="M160" s="55"/>
      <c r="N160" s="55"/>
      <c r="O160" s="55"/>
      <c r="Q160" s="55"/>
      <c r="R160" s="55"/>
      <c r="S160" s="55"/>
    </row>
    <row r="161" spans="2:19" outlineLevel="1">
      <c r="B161" s="51" t="s">
        <v>727</v>
      </c>
      <c r="C161" s="52" t="s">
        <v>729</v>
      </c>
      <c r="D161" s="53" t="s">
        <v>730</v>
      </c>
      <c r="E161" s="48">
        <v>187.28723720320937</v>
      </c>
      <c r="F161" s="49">
        <v>0</v>
      </c>
      <c r="G161" s="50">
        <v>187.28723720320937</v>
      </c>
      <c r="H161" s="58"/>
      <c r="I161" s="48">
        <v>191.63075981661052</v>
      </c>
      <c r="J161" s="49">
        <v>0</v>
      </c>
      <c r="K161" s="50">
        <v>191.63075981661052</v>
      </c>
      <c r="M161" s="55"/>
      <c r="N161" s="55"/>
      <c r="O161" s="55"/>
      <c r="Q161" s="55"/>
      <c r="R161" s="55"/>
      <c r="S161" s="55"/>
    </row>
    <row r="162" spans="2:19" outlineLevel="1">
      <c r="B162" s="51" t="s">
        <v>727</v>
      </c>
      <c r="C162" s="52" t="s">
        <v>89</v>
      </c>
      <c r="D162" s="53" t="s">
        <v>312</v>
      </c>
      <c r="E162" s="48">
        <v>998.56828415278824</v>
      </c>
      <c r="F162" s="49">
        <v>0</v>
      </c>
      <c r="G162" s="50">
        <v>998.56828415278824</v>
      </c>
      <c r="H162" s="58"/>
      <c r="I162" s="48">
        <v>1021.7852488020434</v>
      </c>
      <c r="J162" s="49">
        <v>1.4265775358882031</v>
      </c>
      <c r="K162" s="50">
        <v>1023.2118263379316</v>
      </c>
      <c r="M162" s="55"/>
      <c r="N162" s="55"/>
      <c r="O162" s="55"/>
      <c r="Q162" s="55"/>
      <c r="R162" s="55"/>
      <c r="S162" s="55"/>
    </row>
    <row r="163" spans="2:19">
      <c r="B163" s="39" t="s">
        <v>149</v>
      </c>
      <c r="C163" s="40" t="s">
        <v>150</v>
      </c>
      <c r="D163" s="41"/>
      <c r="E163" s="42">
        <v>94898.922722750664</v>
      </c>
      <c r="F163" s="43">
        <v>114.12553459405679</v>
      </c>
      <c r="G163" s="44">
        <v>95013.048257344708</v>
      </c>
      <c r="H163" s="59"/>
      <c r="I163" s="42">
        <v>97568.141550254571</v>
      </c>
      <c r="J163" s="43">
        <v>151.86731020596142</v>
      </c>
      <c r="K163" s="44">
        <v>97720.008860460541</v>
      </c>
      <c r="L163" s="54"/>
      <c r="M163" s="55"/>
      <c r="N163" s="55"/>
      <c r="O163" s="55"/>
      <c r="Q163" s="55"/>
      <c r="R163" s="55"/>
      <c r="S163" s="55"/>
    </row>
    <row r="164" spans="2:19" outlineLevel="1">
      <c r="B164" s="51" t="s">
        <v>149</v>
      </c>
      <c r="C164" s="52" t="s">
        <v>90</v>
      </c>
      <c r="D164" s="53" t="s">
        <v>313</v>
      </c>
      <c r="E164" s="48">
        <v>40428.657185213495</v>
      </c>
      <c r="F164" s="49">
        <v>0</v>
      </c>
      <c r="G164" s="50">
        <v>40428.657185213495</v>
      </c>
      <c r="H164" s="58"/>
      <c r="I164" s="48">
        <v>41385.585823538226</v>
      </c>
      <c r="J164" s="49">
        <v>0</v>
      </c>
      <c r="K164" s="50">
        <v>41385.585823538226</v>
      </c>
      <c r="M164" s="55"/>
      <c r="N164" s="55"/>
      <c r="O164" s="55"/>
      <c r="Q164" s="55"/>
      <c r="R164" s="55"/>
      <c r="S164" s="55"/>
    </row>
    <row r="165" spans="2:19" outlineLevel="1">
      <c r="B165" s="51" t="s">
        <v>149</v>
      </c>
      <c r="C165" s="52" t="s">
        <v>201</v>
      </c>
      <c r="D165" s="53" t="s">
        <v>314</v>
      </c>
      <c r="E165" s="48">
        <v>14236.108538265495</v>
      </c>
      <c r="F165" s="49">
        <v>0</v>
      </c>
      <c r="G165" s="50">
        <v>14236.108538265495</v>
      </c>
      <c r="H165" s="58"/>
      <c r="I165" s="48">
        <v>14441.599796423134</v>
      </c>
      <c r="J165" s="49">
        <v>0</v>
      </c>
      <c r="K165" s="50">
        <v>14441.599796423134</v>
      </c>
      <c r="M165" s="55"/>
      <c r="N165" s="55"/>
      <c r="O165" s="55"/>
      <c r="Q165" s="55"/>
      <c r="R165" s="55"/>
      <c r="S165" s="55"/>
    </row>
    <row r="166" spans="2:19" outlineLevel="1">
      <c r="B166" s="51" t="s">
        <v>149</v>
      </c>
      <c r="C166" s="52" t="s">
        <v>91</v>
      </c>
      <c r="D166" s="53" t="s">
        <v>731</v>
      </c>
      <c r="E166" s="48">
        <v>19957.043617393079</v>
      </c>
      <c r="F166" s="49">
        <v>0</v>
      </c>
      <c r="G166" s="50">
        <v>19957.043617393079</v>
      </c>
      <c r="H166" s="58"/>
      <c r="I166" s="48">
        <v>20719.81031528228</v>
      </c>
      <c r="J166" s="49">
        <v>0</v>
      </c>
      <c r="K166" s="50">
        <v>20719.81031528228</v>
      </c>
      <c r="M166" s="55"/>
      <c r="N166" s="55"/>
      <c r="O166" s="55"/>
      <c r="Q166" s="55"/>
      <c r="R166" s="55"/>
      <c r="S166" s="55"/>
    </row>
    <row r="167" spans="2:19" outlineLevel="1">
      <c r="B167" s="51" t="s">
        <v>149</v>
      </c>
      <c r="C167" s="52" t="s">
        <v>86</v>
      </c>
      <c r="D167" s="53" t="s">
        <v>315</v>
      </c>
      <c r="E167" s="48">
        <v>20277.113381878582</v>
      </c>
      <c r="F167" s="49">
        <v>114.12553459405679</v>
      </c>
      <c r="G167" s="50">
        <v>20391.238916472637</v>
      </c>
      <c r="H167" s="58"/>
      <c r="I167" s="48">
        <v>21021.14561501093</v>
      </c>
      <c r="J167" s="49">
        <v>151.86731020596142</v>
      </c>
      <c r="K167" s="50">
        <v>21173.012925216892</v>
      </c>
      <c r="M167" s="55"/>
      <c r="N167" s="55"/>
      <c r="O167" s="55"/>
      <c r="Q167" s="55"/>
      <c r="R167" s="55"/>
      <c r="S167" s="55"/>
    </row>
    <row r="168" spans="2:19">
      <c r="B168" s="39" t="s">
        <v>151</v>
      </c>
      <c r="C168" s="40" t="s">
        <v>152</v>
      </c>
      <c r="D168" s="41"/>
      <c r="E168" s="42">
        <v>211336.87750029642</v>
      </c>
      <c r="F168" s="43">
        <v>24.624423245395828</v>
      </c>
      <c r="G168" s="44">
        <v>211361.50192354183</v>
      </c>
      <c r="H168" s="59"/>
      <c r="I168" s="42">
        <v>16197.138822223791</v>
      </c>
      <c r="J168" s="43">
        <v>11.697582119101192</v>
      </c>
      <c r="K168" s="44">
        <v>16208.836404342892</v>
      </c>
      <c r="L168" s="54"/>
      <c r="M168" s="55"/>
      <c r="N168" s="55"/>
      <c r="O168" s="55"/>
      <c r="Q168" s="55"/>
      <c r="R168" s="55"/>
      <c r="S168" s="55"/>
    </row>
    <row r="169" spans="2:19" outlineLevel="1">
      <c r="B169" s="51" t="s">
        <v>151</v>
      </c>
      <c r="C169" s="52" t="s">
        <v>92</v>
      </c>
      <c r="D169" s="53" t="s">
        <v>316</v>
      </c>
      <c r="E169" s="48">
        <v>195740.19212560615</v>
      </c>
      <c r="F169" s="49">
        <v>0</v>
      </c>
      <c r="G169" s="50">
        <v>195740.19212560615</v>
      </c>
      <c r="H169" s="58"/>
      <c r="I169" s="48">
        <v>0</v>
      </c>
      <c r="J169" s="49">
        <v>0</v>
      </c>
      <c r="K169" s="50">
        <v>0</v>
      </c>
      <c r="M169" s="55"/>
      <c r="N169" s="55"/>
      <c r="O169" s="55"/>
      <c r="Q169" s="55"/>
      <c r="R169" s="55"/>
      <c r="S169" s="55"/>
    </row>
    <row r="170" spans="2:19" outlineLevel="1">
      <c r="B170" s="51" t="s">
        <v>151</v>
      </c>
      <c r="C170" s="52" t="s">
        <v>93</v>
      </c>
      <c r="D170" s="53" t="s">
        <v>317</v>
      </c>
      <c r="E170" s="48">
        <v>15596.685374690273</v>
      </c>
      <c r="F170" s="49">
        <v>24.624423245395828</v>
      </c>
      <c r="G170" s="50">
        <v>15621.309797935668</v>
      </c>
      <c r="H170" s="58"/>
      <c r="I170" s="48">
        <v>16197.138822223791</v>
      </c>
      <c r="J170" s="49">
        <v>11.697582119101192</v>
      </c>
      <c r="K170" s="50">
        <v>16208.836404342892</v>
      </c>
      <c r="M170" s="55"/>
      <c r="N170" s="55"/>
      <c r="O170" s="55"/>
      <c r="Q170" s="55"/>
      <c r="R170" s="55"/>
      <c r="S170" s="55"/>
    </row>
    <row r="171" spans="2:19">
      <c r="B171" s="39" t="s">
        <v>153</v>
      </c>
      <c r="C171" s="40" t="s">
        <v>154</v>
      </c>
      <c r="D171" s="41"/>
      <c r="E171" s="42">
        <v>42610.028897273733</v>
      </c>
      <c r="F171" s="43">
        <v>20841.187592459315</v>
      </c>
      <c r="G171" s="44">
        <v>45381.553132077701</v>
      </c>
      <c r="H171" s="59"/>
      <c r="I171" s="42">
        <v>33103.347789300802</v>
      </c>
      <c r="J171" s="43">
        <v>3583.7617516453738</v>
      </c>
      <c r="K171" s="44">
        <v>36687.109540946178</v>
      </c>
      <c r="L171" s="54"/>
      <c r="M171" s="55"/>
      <c r="N171" s="55"/>
      <c r="O171" s="55"/>
      <c r="Q171" s="55"/>
      <c r="R171" s="55"/>
      <c r="S171" s="55"/>
    </row>
    <row r="172" spans="2:19" outlineLevel="1">
      <c r="B172" s="51" t="s">
        <v>153</v>
      </c>
      <c r="C172" s="52" t="s">
        <v>94</v>
      </c>
      <c r="D172" s="53" t="s">
        <v>318</v>
      </c>
      <c r="E172" s="48">
        <v>9500.1811343559693</v>
      </c>
      <c r="F172" s="49">
        <v>40.056400000000004</v>
      </c>
      <c r="G172" s="50">
        <v>9540.2375343559688</v>
      </c>
      <c r="H172" s="58"/>
      <c r="I172" s="48">
        <v>9806.4592462458622</v>
      </c>
      <c r="J172" s="49">
        <v>5.0107202400195519</v>
      </c>
      <c r="K172" s="50">
        <v>9811.4699664858817</v>
      </c>
      <c r="M172" s="55"/>
      <c r="N172" s="55"/>
      <c r="O172" s="55"/>
      <c r="Q172" s="55"/>
      <c r="R172" s="55"/>
      <c r="S172" s="55"/>
    </row>
    <row r="173" spans="2:19" outlineLevel="1">
      <c r="B173" s="51" t="s">
        <v>153</v>
      </c>
      <c r="C173" s="52" t="s">
        <v>95</v>
      </c>
      <c r="D173" s="53" t="s">
        <v>319</v>
      </c>
      <c r="E173" s="48">
        <v>19194.481797173066</v>
      </c>
      <c r="F173" s="49">
        <v>2860.2264382129306</v>
      </c>
      <c r="G173" s="50">
        <v>19157.154318054723</v>
      </c>
      <c r="H173" s="58"/>
      <c r="I173" s="48">
        <v>8748.3172493879611</v>
      </c>
      <c r="J173" s="49">
        <v>947.09943795104675</v>
      </c>
      <c r="K173" s="50">
        <v>9695.4166873390077</v>
      </c>
      <c r="M173" s="55"/>
      <c r="N173" s="55"/>
      <c r="O173" s="55"/>
      <c r="Q173" s="55"/>
      <c r="R173" s="55"/>
      <c r="S173" s="55"/>
    </row>
    <row r="174" spans="2:19" outlineLevel="1">
      <c r="B174" s="51" t="s">
        <v>153</v>
      </c>
      <c r="C174" s="52" t="s">
        <v>732</v>
      </c>
      <c r="D174" s="53" t="s">
        <v>733</v>
      </c>
      <c r="E174" s="48">
        <v>47.697112130000001</v>
      </c>
      <c r="F174" s="49">
        <v>0</v>
      </c>
      <c r="G174" s="50">
        <v>47.697112130000001</v>
      </c>
      <c r="H174" s="58"/>
      <c r="I174" s="48">
        <v>0</v>
      </c>
      <c r="J174" s="49">
        <v>0</v>
      </c>
      <c r="K174" s="50">
        <v>0</v>
      </c>
      <c r="M174" s="55"/>
      <c r="N174" s="55"/>
      <c r="O174" s="55"/>
      <c r="Q174" s="55"/>
      <c r="R174" s="55"/>
      <c r="S174" s="55"/>
    </row>
    <row r="175" spans="2:19" outlineLevel="1">
      <c r="B175" s="51" t="s">
        <v>153</v>
      </c>
      <c r="C175" s="52" t="s">
        <v>734</v>
      </c>
      <c r="D175" s="53" t="s">
        <v>735</v>
      </c>
      <c r="E175" s="48">
        <v>87.006744099999793</v>
      </c>
      <c r="F175" s="49">
        <v>13687.111040530315</v>
      </c>
      <c r="G175" s="50">
        <v>87.006744099999196</v>
      </c>
      <c r="H175" s="58"/>
      <c r="I175" s="48">
        <v>62.461166877302098</v>
      </c>
      <c r="J175" s="49">
        <v>24.545577222698675</v>
      </c>
      <c r="K175" s="50">
        <v>87.006744100000773</v>
      </c>
      <c r="M175" s="55"/>
      <c r="N175" s="55"/>
      <c r="O175" s="55"/>
      <c r="Q175" s="55"/>
      <c r="R175" s="55"/>
      <c r="S175" s="55"/>
    </row>
    <row r="176" spans="2:19" outlineLevel="1">
      <c r="B176" s="51" t="s">
        <v>153</v>
      </c>
      <c r="C176" s="52" t="s">
        <v>97</v>
      </c>
      <c r="D176" s="53" t="s">
        <v>320</v>
      </c>
      <c r="E176" s="48">
        <v>656.84870243689693</v>
      </c>
      <c r="F176" s="49">
        <v>3848.887681506937</v>
      </c>
      <c r="G176" s="50">
        <v>3020.7379841500697</v>
      </c>
      <c r="H176" s="58"/>
      <c r="I176" s="48">
        <v>3282.0322961871052</v>
      </c>
      <c r="J176" s="49">
        <v>0</v>
      </c>
      <c r="K176" s="50">
        <v>3282.0322961871052</v>
      </c>
      <c r="M176" s="55"/>
      <c r="N176" s="55"/>
      <c r="O176" s="55"/>
      <c r="Q176" s="55"/>
      <c r="R176" s="55"/>
      <c r="S176" s="55"/>
    </row>
    <row r="177" spans="2:19" outlineLevel="1">
      <c r="B177" s="51" t="s">
        <v>153</v>
      </c>
      <c r="C177" s="52" t="s">
        <v>736</v>
      </c>
      <c r="D177" s="53" t="s">
        <v>737</v>
      </c>
      <c r="E177" s="48">
        <v>416.43706967080885</v>
      </c>
      <c r="F177" s="49">
        <v>0</v>
      </c>
      <c r="G177" s="50">
        <v>416.43706967080885</v>
      </c>
      <c r="H177" s="58"/>
      <c r="I177" s="48">
        <v>404.23004398386814</v>
      </c>
      <c r="J177" s="49">
        <v>12.570228205812178</v>
      </c>
      <c r="K177" s="50">
        <v>416.8002721896803</v>
      </c>
      <c r="M177" s="55"/>
      <c r="N177" s="55"/>
      <c r="O177" s="55"/>
      <c r="Q177" s="55"/>
      <c r="R177" s="55"/>
      <c r="S177" s="55"/>
    </row>
    <row r="178" spans="2:19" outlineLevel="1">
      <c r="B178" s="51" t="s">
        <v>153</v>
      </c>
      <c r="C178" s="52" t="s">
        <v>98</v>
      </c>
      <c r="D178" s="53" t="s">
        <v>321</v>
      </c>
      <c r="E178" s="48">
        <v>10712.094019392714</v>
      </c>
      <c r="F178" s="49">
        <v>266.22206299764019</v>
      </c>
      <c r="G178" s="50">
        <v>10978.316082390354</v>
      </c>
      <c r="H178" s="58"/>
      <c r="I178" s="48">
        <v>8640.6980307050908</v>
      </c>
      <c r="J178" s="49">
        <v>2539.1059780759147</v>
      </c>
      <c r="K178" s="50">
        <v>11179.804008781006</v>
      </c>
      <c r="M178" s="55"/>
      <c r="N178" s="55"/>
      <c r="O178" s="55"/>
      <c r="Q178" s="55"/>
      <c r="R178" s="55"/>
      <c r="S178" s="55"/>
    </row>
    <row r="179" spans="2:19" outlineLevel="1">
      <c r="B179" s="51" t="s">
        <v>153</v>
      </c>
      <c r="C179" s="52" t="s">
        <v>99</v>
      </c>
      <c r="D179" s="53" t="s">
        <v>322</v>
      </c>
      <c r="E179" s="48">
        <v>1995.2823180142834</v>
      </c>
      <c r="F179" s="49">
        <v>138.68396921149022</v>
      </c>
      <c r="G179" s="50">
        <v>2133.9662872257736</v>
      </c>
      <c r="H179" s="58"/>
      <c r="I179" s="48">
        <v>2159.1497559136114</v>
      </c>
      <c r="J179" s="49">
        <v>55.429809949881843</v>
      </c>
      <c r="K179" s="50">
        <v>2214.5795658634934</v>
      </c>
      <c r="M179" s="55"/>
      <c r="N179" s="55"/>
      <c r="O179" s="55"/>
      <c r="Q179" s="55"/>
      <c r="R179" s="55"/>
      <c r="S179" s="55"/>
    </row>
    <row r="180" spans="2:19">
      <c r="B180" s="39" t="s">
        <v>155</v>
      </c>
      <c r="C180" s="40" t="s">
        <v>156</v>
      </c>
      <c r="D180" s="41"/>
      <c r="E180" s="42">
        <v>52434.238287418571</v>
      </c>
      <c r="F180" s="43">
        <v>15.932759629337973</v>
      </c>
      <c r="G180" s="44">
        <v>52450.171047047908</v>
      </c>
      <c r="H180" s="59"/>
      <c r="I180" s="42">
        <v>55728.927787623034</v>
      </c>
      <c r="J180" s="43">
        <v>59.840458675074814</v>
      </c>
      <c r="K180" s="44">
        <v>55788.76824629811</v>
      </c>
      <c r="L180" s="54"/>
      <c r="M180" s="55"/>
      <c r="N180" s="55"/>
      <c r="O180" s="55"/>
      <c r="Q180" s="55"/>
      <c r="R180" s="55"/>
      <c r="S180" s="55"/>
    </row>
    <row r="181" spans="2:19" outlineLevel="1">
      <c r="B181" s="51" t="s">
        <v>155</v>
      </c>
      <c r="C181" s="52" t="s">
        <v>100</v>
      </c>
      <c r="D181" s="53" t="s">
        <v>323</v>
      </c>
      <c r="E181" s="48">
        <v>3226.0631943094577</v>
      </c>
      <c r="F181" s="49">
        <v>0</v>
      </c>
      <c r="G181" s="50">
        <v>3226.0631943094577</v>
      </c>
      <c r="H181" s="58"/>
      <c r="I181" s="48">
        <v>3552.8998899176459</v>
      </c>
      <c r="J181" s="49">
        <v>0</v>
      </c>
      <c r="K181" s="50">
        <v>3552.8998899176459</v>
      </c>
      <c r="M181" s="55"/>
      <c r="N181" s="55"/>
      <c r="O181" s="55"/>
      <c r="Q181" s="55"/>
      <c r="R181" s="55"/>
      <c r="S181" s="55"/>
    </row>
    <row r="182" spans="2:19" outlineLevel="1">
      <c r="B182" s="51" t="s">
        <v>155</v>
      </c>
      <c r="C182" s="52" t="s">
        <v>101</v>
      </c>
      <c r="D182" s="53" t="s">
        <v>324</v>
      </c>
      <c r="E182" s="48">
        <v>49208.175093109116</v>
      </c>
      <c r="F182" s="49">
        <v>15.932759629337973</v>
      </c>
      <c r="G182" s="50">
        <v>49224.107852738452</v>
      </c>
      <c r="H182" s="58"/>
      <c r="I182" s="48">
        <v>52176.027897705389</v>
      </c>
      <c r="J182" s="49">
        <v>59.840458675074814</v>
      </c>
      <c r="K182" s="50">
        <v>52235.868356380466</v>
      </c>
      <c r="M182" s="55"/>
      <c r="N182" s="55"/>
      <c r="O182" s="55"/>
      <c r="Q182" s="55"/>
      <c r="R182" s="55"/>
      <c r="S182" s="55"/>
    </row>
    <row r="183" spans="2:19">
      <c r="B183" s="39" t="s">
        <v>157</v>
      </c>
      <c r="C183" s="40" t="s">
        <v>158</v>
      </c>
      <c r="D183" s="41"/>
      <c r="E183" s="42">
        <v>39904.077814377881</v>
      </c>
      <c r="F183" s="43">
        <v>5370.5039175811635</v>
      </c>
      <c r="G183" s="44">
        <v>45274.58173195905</v>
      </c>
      <c r="H183" s="59"/>
      <c r="I183" s="42">
        <v>46316.186467538566</v>
      </c>
      <c r="J183" s="43">
        <v>2683.6725355204539</v>
      </c>
      <c r="K183" s="44">
        <v>48999.85900305902</v>
      </c>
      <c r="L183" s="54"/>
      <c r="M183" s="55"/>
      <c r="N183" s="55"/>
      <c r="O183" s="55"/>
      <c r="Q183" s="55"/>
      <c r="R183" s="55"/>
      <c r="S183" s="55"/>
    </row>
    <row r="184" spans="2:19" outlineLevel="1">
      <c r="B184" s="51" t="s">
        <v>157</v>
      </c>
      <c r="C184" s="52" t="s">
        <v>83</v>
      </c>
      <c r="D184" s="53" t="s">
        <v>325</v>
      </c>
      <c r="E184" s="48">
        <v>1772.2954229288605</v>
      </c>
      <c r="F184" s="49">
        <v>585.93913015343992</v>
      </c>
      <c r="G184" s="50">
        <v>2358.2345530823004</v>
      </c>
      <c r="H184" s="58"/>
      <c r="I184" s="48">
        <v>3074.9829469503002</v>
      </c>
      <c r="J184" s="49">
        <v>181.83000875813005</v>
      </c>
      <c r="K184" s="50">
        <v>3256.8129557084303</v>
      </c>
      <c r="M184" s="55"/>
      <c r="N184" s="55"/>
      <c r="O184" s="55"/>
      <c r="Q184" s="55"/>
      <c r="R184" s="55"/>
      <c r="S184" s="55"/>
    </row>
    <row r="185" spans="2:19" outlineLevel="1">
      <c r="B185" s="51" t="s">
        <v>157</v>
      </c>
      <c r="C185" s="52" t="s">
        <v>738</v>
      </c>
      <c r="D185" s="53" t="s">
        <v>739</v>
      </c>
      <c r="E185" s="48">
        <v>67.669060601150449</v>
      </c>
      <c r="F185" s="49">
        <v>233.78283511199993</v>
      </c>
      <c r="G185" s="50">
        <v>301.45189571315041</v>
      </c>
      <c r="H185" s="58"/>
      <c r="I185" s="48">
        <v>299.4291017642625</v>
      </c>
      <c r="J185" s="49">
        <v>3.5195609356049635</v>
      </c>
      <c r="K185" s="50">
        <v>302.94866269986744</v>
      </c>
      <c r="M185" s="55"/>
      <c r="N185" s="55"/>
      <c r="O185" s="55"/>
      <c r="Q185" s="55"/>
      <c r="R185" s="55"/>
      <c r="S185" s="55"/>
    </row>
    <row r="186" spans="2:19" outlineLevel="1">
      <c r="B186" s="51" t="s">
        <v>157</v>
      </c>
      <c r="C186" s="52" t="s">
        <v>103</v>
      </c>
      <c r="D186" s="53" t="s">
        <v>326</v>
      </c>
      <c r="E186" s="48">
        <v>32380.215229220452</v>
      </c>
      <c r="F186" s="49">
        <v>1933.0486082449142</v>
      </c>
      <c r="G186" s="50">
        <v>34313.263837465369</v>
      </c>
      <c r="H186" s="58"/>
      <c r="I186" s="48">
        <v>35169.335514705104</v>
      </c>
      <c r="J186" s="49">
        <v>1839.5567652051409</v>
      </c>
      <c r="K186" s="50">
        <v>37008.892279910244</v>
      </c>
      <c r="M186" s="55"/>
      <c r="N186" s="55"/>
      <c r="O186" s="55"/>
      <c r="Q186" s="55"/>
      <c r="R186" s="55"/>
      <c r="S186" s="55"/>
    </row>
    <row r="187" spans="2:19" outlineLevel="1">
      <c r="B187" s="51" t="s">
        <v>157</v>
      </c>
      <c r="C187" s="52" t="s">
        <v>104</v>
      </c>
      <c r="D187" s="53" t="s">
        <v>327</v>
      </c>
      <c r="E187" s="48">
        <v>3715.8802317386908</v>
      </c>
      <c r="F187" s="49">
        <v>392.85041247835403</v>
      </c>
      <c r="G187" s="50">
        <v>4108.7306442170448</v>
      </c>
      <c r="H187" s="58"/>
      <c r="I187" s="48">
        <v>3646.8751480792344</v>
      </c>
      <c r="J187" s="49">
        <v>503.25324605159312</v>
      </c>
      <c r="K187" s="50">
        <v>4150.1283941308275</v>
      </c>
      <c r="M187" s="55"/>
      <c r="N187" s="55"/>
      <c r="O187" s="55"/>
      <c r="Q187" s="55"/>
      <c r="R187" s="55"/>
      <c r="S187" s="55"/>
    </row>
    <row r="188" spans="2:19" outlineLevel="1">
      <c r="B188" s="51" t="s">
        <v>157</v>
      </c>
      <c r="C188" s="52" t="s">
        <v>740</v>
      </c>
      <c r="D188" s="53" t="s">
        <v>741</v>
      </c>
      <c r="E188" s="48">
        <v>427.33941543104606</v>
      </c>
      <c r="F188" s="49">
        <v>2078.3517561794561</v>
      </c>
      <c r="G188" s="50">
        <v>2505.6911716105024</v>
      </c>
      <c r="H188" s="58"/>
      <c r="I188" s="48">
        <v>2375.9748696305428</v>
      </c>
      <c r="J188" s="49">
        <v>155.51295456998497</v>
      </c>
      <c r="K188" s="50">
        <v>2531.4878242005279</v>
      </c>
      <c r="M188" s="55"/>
      <c r="N188" s="55"/>
      <c r="O188" s="55"/>
      <c r="Q188" s="55"/>
      <c r="R188" s="55"/>
      <c r="S188" s="55"/>
    </row>
    <row r="189" spans="2:19" outlineLevel="1">
      <c r="B189" s="51" t="s">
        <v>157</v>
      </c>
      <c r="C189" s="52" t="s">
        <v>102</v>
      </c>
      <c r="D189" s="53" t="s">
        <v>328</v>
      </c>
      <c r="E189" s="48">
        <v>1540.6784544576788</v>
      </c>
      <c r="F189" s="49">
        <v>146.531175413</v>
      </c>
      <c r="G189" s="50">
        <v>1687.2096298706788</v>
      </c>
      <c r="H189" s="58"/>
      <c r="I189" s="48">
        <v>1749.588886409128</v>
      </c>
      <c r="J189" s="49">
        <v>0</v>
      </c>
      <c r="K189" s="50">
        <v>1749.588886409128</v>
      </c>
      <c r="M189" s="55"/>
      <c r="N189" s="55"/>
      <c r="O189" s="55"/>
      <c r="Q189" s="55"/>
      <c r="R189" s="55"/>
      <c r="S189" s="55"/>
    </row>
    <row r="190" spans="2:19">
      <c r="B190" s="39" t="s">
        <v>159</v>
      </c>
      <c r="C190" s="40" t="s">
        <v>160</v>
      </c>
      <c r="D190" s="41"/>
      <c r="E190" s="42">
        <v>47284.579306783417</v>
      </c>
      <c r="F190" s="43">
        <v>4630.5157111322833</v>
      </c>
      <c r="G190" s="44">
        <v>50800.076486649756</v>
      </c>
      <c r="H190" s="59"/>
      <c r="I190" s="42">
        <v>50879.530161791939</v>
      </c>
      <c r="J190" s="43">
        <v>814.21137618938837</v>
      </c>
      <c r="K190" s="44">
        <v>51693.741537981332</v>
      </c>
      <c r="L190" s="54"/>
      <c r="M190" s="55"/>
      <c r="N190" s="55"/>
      <c r="O190" s="55"/>
      <c r="Q190" s="55"/>
      <c r="R190" s="55"/>
      <c r="S190" s="55"/>
    </row>
    <row r="191" spans="2:19" outlineLevel="1">
      <c r="B191" s="51" t="s">
        <v>159</v>
      </c>
      <c r="C191" s="52" t="s">
        <v>742</v>
      </c>
      <c r="D191" s="53" t="s">
        <v>743</v>
      </c>
      <c r="E191" s="48">
        <v>875.24478203210708</v>
      </c>
      <c r="F191" s="49">
        <v>0</v>
      </c>
      <c r="G191" s="50">
        <v>875.24478203210708</v>
      </c>
      <c r="H191" s="58"/>
      <c r="I191" s="48">
        <v>875.24478203210708</v>
      </c>
      <c r="J191" s="49">
        <v>0</v>
      </c>
      <c r="K191" s="50">
        <v>875.24478203210708</v>
      </c>
      <c r="M191" s="55"/>
      <c r="N191" s="55"/>
      <c r="O191" s="55"/>
      <c r="Q191" s="55"/>
      <c r="R191" s="55"/>
      <c r="S191" s="55"/>
    </row>
    <row r="192" spans="2:19" outlineLevel="1">
      <c r="B192" s="51" t="s">
        <v>159</v>
      </c>
      <c r="C192" s="52" t="s">
        <v>106</v>
      </c>
      <c r="D192" s="53" t="s">
        <v>329</v>
      </c>
      <c r="E192" s="48">
        <v>3815.5497477519189</v>
      </c>
      <c r="F192" s="49">
        <v>326.50478202256807</v>
      </c>
      <c r="G192" s="50">
        <v>4142.0545297744866</v>
      </c>
      <c r="H192" s="58"/>
      <c r="I192" s="48">
        <v>4127.0416143711427</v>
      </c>
      <c r="J192" s="49">
        <v>15.012915403343623</v>
      </c>
      <c r="K192" s="50">
        <v>4142.0545297744866</v>
      </c>
      <c r="M192" s="55"/>
      <c r="N192" s="55"/>
      <c r="O192" s="55"/>
      <c r="Q192" s="55"/>
      <c r="R192" s="55"/>
      <c r="S192" s="55"/>
    </row>
    <row r="193" spans="2:19" outlineLevel="1">
      <c r="B193" s="51" t="s">
        <v>159</v>
      </c>
      <c r="C193" s="52" t="s">
        <v>202</v>
      </c>
      <c r="D193" s="53" t="s">
        <v>744</v>
      </c>
      <c r="E193" s="48">
        <v>27280.529470202939</v>
      </c>
      <c r="F193" s="49">
        <v>1261.3673770454452</v>
      </c>
      <c r="G193" s="50">
        <v>28541.896847248383</v>
      </c>
      <c r="H193" s="58"/>
      <c r="I193" s="48">
        <v>28130.974015845761</v>
      </c>
      <c r="J193" s="49">
        <v>410.92283140262191</v>
      </c>
      <c r="K193" s="50">
        <v>28541.896847248383</v>
      </c>
      <c r="M193" s="55"/>
      <c r="N193" s="55"/>
      <c r="O193" s="55"/>
      <c r="Q193" s="55"/>
      <c r="R193" s="55"/>
      <c r="S193" s="55"/>
    </row>
    <row r="194" spans="2:19" outlineLevel="1">
      <c r="B194" s="51" t="s">
        <v>159</v>
      </c>
      <c r="C194" s="52" t="s">
        <v>107</v>
      </c>
      <c r="D194" s="53" t="s">
        <v>330</v>
      </c>
      <c r="E194" s="48">
        <v>6205.0495290964882</v>
      </c>
      <c r="F194" s="49">
        <v>3042.6435520642699</v>
      </c>
      <c r="G194" s="50">
        <v>8132.674549894813</v>
      </c>
      <c r="H194" s="58"/>
      <c r="I194" s="48">
        <v>8628.0878856624695</v>
      </c>
      <c r="J194" s="49">
        <v>388.27562938342282</v>
      </c>
      <c r="K194" s="50">
        <v>9016.3635150458922</v>
      </c>
      <c r="M194" s="55"/>
      <c r="N194" s="55"/>
      <c r="O194" s="55"/>
      <c r="Q194" s="55"/>
      <c r="R194" s="55"/>
      <c r="S194" s="55"/>
    </row>
    <row r="195" spans="2:19" outlineLevel="1">
      <c r="B195" s="51" t="s">
        <v>159</v>
      </c>
      <c r="C195" s="52" t="s">
        <v>108</v>
      </c>
      <c r="D195" s="53" t="s">
        <v>331</v>
      </c>
      <c r="E195" s="48">
        <v>7445.2172573599655</v>
      </c>
      <c r="F195" s="49">
        <v>0</v>
      </c>
      <c r="G195" s="50">
        <v>7445.2172573599655</v>
      </c>
      <c r="H195" s="58"/>
      <c r="I195" s="48">
        <v>7445.2172573599655</v>
      </c>
      <c r="J195" s="49">
        <v>0</v>
      </c>
      <c r="K195" s="50">
        <v>7445.2172573599655</v>
      </c>
      <c r="M195" s="55"/>
      <c r="N195" s="55"/>
      <c r="O195" s="55"/>
      <c r="Q195" s="55"/>
      <c r="R195" s="55"/>
      <c r="S195" s="55"/>
    </row>
    <row r="196" spans="2:19" outlineLevel="1">
      <c r="B196" s="51" t="s">
        <v>159</v>
      </c>
      <c r="C196" s="52" t="s">
        <v>109</v>
      </c>
      <c r="D196" s="53" t="s">
        <v>332</v>
      </c>
      <c r="E196" s="48">
        <v>1662.9885203400002</v>
      </c>
      <c r="F196" s="49">
        <v>0</v>
      </c>
      <c r="G196" s="50">
        <v>1662.9885203400002</v>
      </c>
      <c r="H196" s="58"/>
      <c r="I196" s="48">
        <v>1672.9646065204975</v>
      </c>
      <c r="J196" s="49">
        <v>0</v>
      </c>
      <c r="K196" s="50">
        <v>1672.9646065204975</v>
      </c>
      <c r="M196" s="55"/>
      <c r="N196" s="55"/>
      <c r="O196" s="55"/>
      <c r="Q196" s="55"/>
      <c r="R196" s="55"/>
      <c r="S196" s="55"/>
    </row>
    <row r="197" spans="2:19">
      <c r="B197" s="39" t="s">
        <v>161</v>
      </c>
      <c r="C197" s="40" t="s">
        <v>162</v>
      </c>
      <c r="D197" s="41"/>
      <c r="E197" s="42">
        <v>66336.051171717118</v>
      </c>
      <c r="F197" s="43">
        <v>0</v>
      </c>
      <c r="G197" s="44">
        <v>66336.051171717118</v>
      </c>
      <c r="H197" s="59"/>
      <c r="I197" s="42">
        <v>66842.559319147578</v>
      </c>
      <c r="J197" s="43">
        <v>0</v>
      </c>
      <c r="K197" s="44">
        <v>66842.559319147578</v>
      </c>
      <c r="L197" s="54"/>
      <c r="M197" s="55"/>
      <c r="N197" s="55"/>
      <c r="O197" s="55"/>
      <c r="Q197" s="55"/>
      <c r="R197" s="55"/>
      <c r="S197" s="55"/>
    </row>
    <row r="198" spans="2:19" outlineLevel="1">
      <c r="B198" s="51" t="s">
        <v>161</v>
      </c>
      <c r="C198" s="52" t="s">
        <v>110</v>
      </c>
      <c r="D198" s="53" t="s">
        <v>333</v>
      </c>
      <c r="E198" s="48">
        <v>47290.884628689062</v>
      </c>
      <c r="F198" s="49">
        <v>0</v>
      </c>
      <c r="G198" s="50">
        <v>47290.884628689062</v>
      </c>
      <c r="H198" s="58"/>
      <c r="I198" s="48">
        <v>47309.675099925153</v>
      </c>
      <c r="J198" s="49">
        <v>0</v>
      </c>
      <c r="K198" s="50">
        <v>47309.675099925153</v>
      </c>
      <c r="M198" s="55"/>
      <c r="N198" s="55"/>
      <c r="O198" s="55"/>
      <c r="Q198" s="55"/>
      <c r="R198" s="55"/>
      <c r="S198" s="55"/>
    </row>
    <row r="199" spans="2:19" outlineLevel="1">
      <c r="B199" s="51" t="s">
        <v>161</v>
      </c>
      <c r="C199" s="52" t="s">
        <v>111</v>
      </c>
      <c r="D199" s="53" t="s">
        <v>334</v>
      </c>
      <c r="E199" s="48">
        <v>19045.166543028059</v>
      </c>
      <c r="F199" s="49">
        <v>0</v>
      </c>
      <c r="G199" s="50">
        <v>19045.166543028059</v>
      </c>
      <c r="H199" s="58"/>
      <c r="I199" s="48">
        <v>19532.884219222418</v>
      </c>
      <c r="J199" s="49">
        <v>0</v>
      </c>
      <c r="K199" s="50">
        <v>19532.884219222418</v>
      </c>
      <c r="M199" s="55"/>
      <c r="N199" s="55"/>
      <c r="O199" s="55"/>
      <c r="Q199" s="55"/>
      <c r="R199" s="55"/>
      <c r="S199" s="55"/>
    </row>
    <row r="200" spans="2:19">
      <c r="B200" s="39" t="s">
        <v>163</v>
      </c>
      <c r="C200" s="40" t="s">
        <v>164</v>
      </c>
      <c r="D200" s="41"/>
      <c r="E200" s="42">
        <v>28028.050929028392</v>
      </c>
      <c r="F200" s="43">
        <v>2153.020624224328</v>
      </c>
      <c r="G200" s="44">
        <v>30181.071553252717</v>
      </c>
      <c r="H200" s="59"/>
      <c r="I200" s="42">
        <v>29687.875417689793</v>
      </c>
      <c r="J200" s="43">
        <v>992.60202438361296</v>
      </c>
      <c r="K200" s="44">
        <v>30680.477442073403</v>
      </c>
      <c r="L200" s="54"/>
      <c r="M200" s="55"/>
      <c r="N200" s="55"/>
      <c r="O200" s="55"/>
      <c r="Q200" s="55"/>
      <c r="R200" s="55"/>
      <c r="S200" s="55"/>
    </row>
    <row r="201" spans="2:19" outlineLevel="1">
      <c r="B201" s="51" t="s">
        <v>163</v>
      </c>
      <c r="C201" s="52" t="s">
        <v>112</v>
      </c>
      <c r="D201" s="53" t="s">
        <v>335</v>
      </c>
      <c r="E201" s="48">
        <v>3082.6676574684116</v>
      </c>
      <c r="F201" s="49">
        <v>26.556240221166902</v>
      </c>
      <c r="G201" s="50">
        <v>3109.2238976895783</v>
      </c>
      <c r="H201" s="58"/>
      <c r="I201" s="48">
        <v>3160.0176315048338</v>
      </c>
      <c r="J201" s="49">
        <v>15.028231565589396</v>
      </c>
      <c r="K201" s="50">
        <v>3175.0458630704234</v>
      </c>
      <c r="M201" s="55"/>
      <c r="N201" s="55"/>
      <c r="O201" s="55"/>
      <c r="Q201" s="55"/>
      <c r="R201" s="55"/>
      <c r="S201" s="55"/>
    </row>
    <row r="202" spans="2:19" outlineLevel="1">
      <c r="B202" s="51" t="s">
        <v>163</v>
      </c>
      <c r="C202" s="52" t="s">
        <v>113</v>
      </c>
      <c r="D202" s="53" t="s">
        <v>336</v>
      </c>
      <c r="E202" s="48">
        <v>3392.907105486096</v>
      </c>
      <c r="F202" s="49">
        <v>25.461745679581202</v>
      </c>
      <c r="G202" s="50">
        <v>3418.3688511656774</v>
      </c>
      <c r="H202" s="58"/>
      <c r="I202" s="48">
        <v>3461.2274946677949</v>
      </c>
      <c r="J202" s="49">
        <v>0.26635189585832697</v>
      </c>
      <c r="K202" s="50">
        <v>3461.4938465636533</v>
      </c>
      <c r="M202" s="55"/>
      <c r="N202" s="55"/>
      <c r="O202" s="55"/>
      <c r="Q202" s="55"/>
      <c r="R202" s="55"/>
      <c r="S202" s="55"/>
    </row>
    <row r="203" spans="2:19" outlineLevel="1">
      <c r="B203" s="51" t="s">
        <v>163</v>
      </c>
      <c r="C203" s="52" t="s">
        <v>115</v>
      </c>
      <c r="D203" s="53" t="s">
        <v>337</v>
      </c>
      <c r="E203" s="48">
        <v>3596.8381486151529</v>
      </c>
      <c r="F203" s="49">
        <v>43.428588226680802</v>
      </c>
      <c r="G203" s="50">
        <v>3640.2667368418338</v>
      </c>
      <c r="H203" s="58"/>
      <c r="I203" s="48">
        <v>3700.255816823973</v>
      </c>
      <c r="J203" s="49">
        <v>6.3346433385464218</v>
      </c>
      <c r="K203" s="50">
        <v>3706.5904601625193</v>
      </c>
      <c r="M203" s="55"/>
      <c r="N203" s="55"/>
      <c r="O203" s="55"/>
      <c r="Q203" s="55"/>
      <c r="R203" s="55"/>
      <c r="S203" s="55"/>
    </row>
    <row r="204" spans="2:19" outlineLevel="1">
      <c r="B204" s="51" t="s">
        <v>163</v>
      </c>
      <c r="C204" s="52" t="s">
        <v>116</v>
      </c>
      <c r="D204" s="53" t="s">
        <v>338</v>
      </c>
      <c r="E204" s="48">
        <v>267.66692210028657</v>
      </c>
      <c r="F204" s="49">
        <v>0</v>
      </c>
      <c r="G204" s="50">
        <v>267.66692210028657</v>
      </c>
      <c r="H204" s="58"/>
      <c r="I204" s="48">
        <v>268.5779822701279</v>
      </c>
      <c r="J204" s="49">
        <v>0</v>
      </c>
      <c r="K204" s="50">
        <v>268.5779822701279</v>
      </c>
      <c r="M204" s="55"/>
      <c r="N204" s="55"/>
      <c r="O204" s="55"/>
      <c r="Q204" s="55"/>
      <c r="R204" s="55"/>
      <c r="S204" s="55"/>
    </row>
    <row r="205" spans="2:19" outlineLevel="1">
      <c r="B205" s="51" t="s">
        <v>163</v>
      </c>
      <c r="C205" s="52" t="s">
        <v>117</v>
      </c>
      <c r="D205" s="53" t="s">
        <v>339</v>
      </c>
      <c r="E205" s="48">
        <v>7680.9343291381347</v>
      </c>
      <c r="F205" s="49">
        <v>370.96935889086797</v>
      </c>
      <c r="G205" s="50">
        <v>8051.9036880290023</v>
      </c>
      <c r="H205" s="58"/>
      <c r="I205" s="48">
        <v>8083.2209665421842</v>
      </c>
      <c r="J205" s="49">
        <v>64.279598004756309</v>
      </c>
      <c r="K205" s="50">
        <v>8147.500564546941</v>
      </c>
      <c r="M205" s="55"/>
      <c r="N205" s="55"/>
      <c r="O205" s="55"/>
      <c r="Q205" s="55"/>
      <c r="R205" s="55"/>
      <c r="S205" s="55"/>
    </row>
    <row r="206" spans="2:19" outlineLevel="1">
      <c r="B206" s="51" t="s">
        <v>163</v>
      </c>
      <c r="C206" s="52" t="s">
        <v>114</v>
      </c>
      <c r="D206" s="53" t="s">
        <v>340</v>
      </c>
      <c r="E206" s="48">
        <v>9829.0135357567196</v>
      </c>
      <c r="F206" s="49">
        <v>1686.604691206031</v>
      </c>
      <c r="G206" s="50">
        <v>11515.61822696275</v>
      </c>
      <c r="H206" s="58"/>
      <c r="I206" s="48">
        <v>10830.747733657905</v>
      </c>
      <c r="J206" s="49">
        <v>906.6931995788625</v>
      </c>
      <c r="K206" s="50">
        <v>11737.440933236767</v>
      </c>
      <c r="M206" s="55"/>
      <c r="N206" s="55"/>
      <c r="O206" s="55"/>
      <c r="Q206" s="55"/>
      <c r="R206" s="55"/>
      <c r="S206" s="55"/>
    </row>
    <row r="207" spans="2:19" outlineLevel="1">
      <c r="B207" s="51" t="s">
        <v>163</v>
      </c>
      <c r="C207" s="52" t="s">
        <v>118</v>
      </c>
      <c r="D207" s="53" t="s">
        <v>341</v>
      </c>
      <c r="E207" s="48">
        <v>178.02323046358924</v>
      </c>
      <c r="F207" s="49">
        <v>0</v>
      </c>
      <c r="G207" s="50">
        <v>178.02323046358924</v>
      </c>
      <c r="H207" s="58"/>
      <c r="I207" s="48">
        <v>183.82779222297719</v>
      </c>
      <c r="J207" s="49">
        <v>0</v>
      </c>
      <c r="K207" s="50">
        <v>183.82779222297719</v>
      </c>
      <c r="M207" s="55"/>
      <c r="N207" s="55"/>
      <c r="O207" s="55"/>
      <c r="Q207" s="55"/>
      <c r="R207" s="55"/>
      <c r="S207" s="55"/>
    </row>
    <row r="208" spans="2:19">
      <c r="B208" s="39" t="s">
        <v>165</v>
      </c>
      <c r="C208" s="40" t="s">
        <v>166</v>
      </c>
      <c r="D208" s="41"/>
      <c r="E208" s="42">
        <v>34441.630547590947</v>
      </c>
      <c r="F208" s="43">
        <v>792.63885101015342</v>
      </c>
      <c r="G208" s="44">
        <v>35234.2693986011</v>
      </c>
      <c r="H208" s="59"/>
      <c r="I208" s="42">
        <v>26790.540730834931</v>
      </c>
      <c r="J208" s="43">
        <v>8935.9846284526102</v>
      </c>
      <c r="K208" s="44">
        <v>35726.525359287538</v>
      </c>
      <c r="L208" s="54"/>
      <c r="M208" s="55"/>
      <c r="N208" s="55"/>
      <c r="O208" s="55"/>
      <c r="Q208" s="55"/>
      <c r="R208" s="55"/>
      <c r="S208" s="55"/>
    </row>
    <row r="209" spans="2:19" outlineLevel="1">
      <c r="B209" s="51" t="s">
        <v>165</v>
      </c>
      <c r="C209" s="52" t="s">
        <v>119</v>
      </c>
      <c r="D209" s="53" t="s">
        <v>342</v>
      </c>
      <c r="E209" s="48">
        <v>6236.4600850197057</v>
      </c>
      <c r="F209" s="49">
        <v>0</v>
      </c>
      <c r="G209" s="50">
        <v>6236.4600850197057</v>
      </c>
      <c r="H209" s="58"/>
      <c r="I209" s="48">
        <v>6370.0550874509036</v>
      </c>
      <c r="J209" s="49">
        <v>0</v>
      </c>
      <c r="K209" s="50">
        <v>6370.0550874509036</v>
      </c>
      <c r="M209" s="55"/>
      <c r="N209" s="55"/>
      <c r="O209" s="55"/>
      <c r="Q209" s="55"/>
      <c r="R209" s="55"/>
      <c r="S209" s="55"/>
    </row>
    <row r="210" spans="2:19" outlineLevel="1">
      <c r="B210" s="51" t="s">
        <v>165</v>
      </c>
      <c r="C210" s="52" t="s">
        <v>745</v>
      </c>
      <c r="D210" s="53" t="s">
        <v>746</v>
      </c>
      <c r="E210" s="48">
        <v>583.06771919388245</v>
      </c>
      <c r="F210" s="49">
        <v>0</v>
      </c>
      <c r="G210" s="50">
        <v>583.06771919388245</v>
      </c>
      <c r="H210" s="58"/>
      <c r="I210" s="48">
        <v>602.8513499696486</v>
      </c>
      <c r="J210" s="49">
        <v>0</v>
      </c>
      <c r="K210" s="50">
        <v>602.8513499696486</v>
      </c>
      <c r="M210" s="55"/>
      <c r="N210" s="55"/>
      <c r="O210" s="55"/>
      <c r="Q210" s="55"/>
      <c r="R210" s="55"/>
      <c r="S210" s="55"/>
    </row>
    <row r="211" spans="2:19" outlineLevel="1">
      <c r="B211" s="51" t="s">
        <v>165</v>
      </c>
      <c r="C211" s="52" t="s">
        <v>120</v>
      </c>
      <c r="D211" s="53" t="s">
        <v>343</v>
      </c>
      <c r="E211" s="48">
        <v>8027.70800214665</v>
      </c>
      <c r="F211" s="49">
        <v>0</v>
      </c>
      <c r="G211" s="50">
        <v>8027.70800214665</v>
      </c>
      <c r="H211" s="58"/>
      <c r="I211" s="48">
        <v>8148.7840115661029</v>
      </c>
      <c r="J211" s="49">
        <v>0</v>
      </c>
      <c r="K211" s="50">
        <v>8148.7840115661029</v>
      </c>
      <c r="M211" s="55"/>
      <c r="N211" s="55"/>
      <c r="O211" s="55"/>
      <c r="Q211" s="55"/>
      <c r="R211" s="55"/>
      <c r="S211" s="55"/>
    </row>
    <row r="212" spans="2:19" outlineLevel="1">
      <c r="B212" s="51" t="s">
        <v>165</v>
      </c>
      <c r="C212" s="52" t="s">
        <v>121</v>
      </c>
      <c r="D212" s="53" t="s">
        <v>747</v>
      </c>
      <c r="E212" s="48">
        <v>912.86042330040164</v>
      </c>
      <c r="F212" s="49">
        <v>0.86042717213517206</v>
      </c>
      <c r="G212" s="50">
        <v>913.72085047253677</v>
      </c>
      <c r="H212" s="58"/>
      <c r="I212" s="48">
        <v>379.74373174382299</v>
      </c>
      <c r="J212" s="49">
        <v>559.31457089345008</v>
      </c>
      <c r="K212" s="50">
        <v>939.05830263727307</v>
      </c>
      <c r="M212" s="55"/>
      <c r="N212" s="55"/>
      <c r="O212" s="55"/>
      <c r="Q212" s="55"/>
      <c r="R212" s="55"/>
      <c r="S212" s="55"/>
    </row>
    <row r="213" spans="2:19" outlineLevel="1">
      <c r="B213" s="51" t="s">
        <v>165</v>
      </c>
      <c r="C213" s="52" t="s">
        <v>122</v>
      </c>
      <c r="D213" s="53" t="s">
        <v>344</v>
      </c>
      <c r="E213" s="48">
        <v>5064.4636635958595</v>
      </c>
      <c r="F213" s="49">
        <v>0</v>
      </c>
      <c r="G213" s="50">
        <v>5064.4636635958595</v>
      </c>
      <c r="H213" s="58"/>
      <c r="I213" s="48">
        <v>5158.5415680029364</v>
      </c>
      <c r="J213" s="49">
        <v>11.75742319868103</v>
      </c>
      <c r="K213" s="50">
        <v>5170.2989912016174</v>
      </c>
      <c r="M213" s="55"/>
      <c r="N213" s="55"/>
      <c r="O213" s="55"/>
      <c r="Q213" s="55"/>
      <c r="R213" s="55"/>
      <c r="S213" s="55"/>
    </row>
    <row r="214" spans="2:19" outlineLevel="1">
      <c r="B214" s="51" t="s">
        <v>165</v>
      </c>
      <c r="C214" s="52" t="s">
        <v>123</v>
      </c>
      <c r="D214" s="53" t="s">
        <v>345</v>
      </c>
      <c r="E214" s="48">
        <v>1767.9102298727785</v>
      </c>
      <c r="F214" s="49">
        <v>0</v>
      </c>
      <c r="G214" s="50">
        <v>1767.9102298727785</v>
      </c>
      <c r="H214" s="58"/>
      <c r="I214" s="48">
        <v>1799.5932366057586</v>
      </c>
      <c r="J214" s="49">
        <v>0</v>
      </c>
      <c r="K214" s="50">
        <v>1799.5932366057586</v>
      </c>
      <c r="M214" s="55"/>
      <c r="N214" s="55"/>
      <c r="O214" s="55"/>
      <c r="Q214" s="55"/>
      <c r="R214" s="55"/>
      <c r="S214" s="55"/>
    </row>
    <row r="215" spans="2:19" outlineLevel="1">
      <c r="B215" s="51" t="s">
        <v>165</v>
      </c>
      <c r="C215" s="52" t="s">
        <v>124</v>
      </c>
      <c r="D215" s="53" t="s">
        <v>346</v>
      </c>
      <c r="E215" s="48">
        <v>8132.8326725924089</v>
      </c>
      <c r="F215" s="49">
        <v>744.21106665212199</v>
      </c>
      <c r="G215" s="50">
        <v>8877.043739244531</v>
      </c>
      <c r="H215" s="58"/>
      <c r="I215" s="48">
        <v>641.92410377631495</v>
      </c>
      <c r="J215" s="49">
        <v>8242.7824192992102</v>
      </c>
      <c r="K215" s="50">
        <v>8884.7065230755252</v>
      </c>
      <c r="M215" s="55"/>
      <c r="N215" s="55"/>
      <c r="O215" s="55"/>
      <c r="Q215" s="55"/>
      <c r="R215" s="55"/>
      <c r="S215" s="55"/>
    </row>
    <row r="216" spans="2:19" outlineLevel="1">
      <c r="B216" s="51" t="s">
        <v>165</v>
      </c>
      <c r="C216" s="52" t="s">
        <v>105</v>
      </c>
      <c r="D216" s="53" t="s">
        <v>347</v>
      </c>
      <c r="E216" s="48">
        <v>3716.3277518692639</v>
      </c>
      <c r="F216" s="49">
        <v>47.567357185896327</v>
      </c>
      <c r="G216" s="50">
        <v>3763.8951090551604</v>
      </c>
      <c r="H216" s="58"/>
      <c r="I216" s="48">
        <v>3689.0476417194454</v>
      </c>
      <c r="J216" s="49">
        <v>122.130215061269</v>
      </c>
      <c r="K216" s="50">
        <v>3811.1778567807146</v>
      </c>
      <c r="M216" s="55"/>
      <c r="N216" s="55"/>
      <c r="O216" s="55"/>
      <c r="Q216" s="55"/>
      <c r="R216" s="55"/>
      <c r="S216" s="55"/>
    </row>
    <row r="217" spans="2:19">
      <c r="B217" s="39" t="s">
        <v>167</v>
      </c>
      <c r="C217" s="40" t="s">
        <v>168</v>
      </c>
      <c r="D217" s="41"/>
      <c r="E217" s="42">
        <v>44744.060319812488</v>
      </c>
      <c r="F217" s="43">
        <v>443.15179477839945</v>
      </c>
      <c r="G217" s="44">
        <v>45187.21211459089</v>
      </c>
      <c r="H217" s="59"/>
      <c r="I217" s="42">
        <v>45138.557226697885</v>
      </c>
      <c r="J217" s="43">
        <v>48.654887892999994</v>
      </c>
      <c r="K217" s="44">
        <v>45187.21211459089</v>
      </c>
      <c r="L217" s="54"/>
      <c r="M217" s="55"/>
      <c r="N217" s="55"/>
      <c r="O217" s="55"/>
      <c r="Q217" s="55"/>
      <c r="R217" s="55"/>
      <c r="S217" s="55"/>
    </row>
    <row r="218" spans="2:19" outlineLevel="1">
      <c r="B218" s="51" t="s">
        <v>167</v>
      </c>
      <c r="C218" s="52" t="s">
        <v>125</v>
      </c>
      <c r="D218" s="53" t="s">
        <v>348</v>
      </c>
      <c r="E218" s="48">
        <v>16422.794457854128</v>
      </c>
      <c r="F218" s="49">
        <v>0</v>
      </c>
      <c r="G218" s="50">
        <v>16422.794457854128</v>
      </c>
      <c r="H218" s="58"/>
      <c r="I218" s="48">
        <v>16422.794457854136</v>
      </c>
      <c r="J218" s="49">
        <v>0</v>
      </c>
      <c r="K218" s="50">
        <v>16422.794457854136</v>
      </c>
      <c r="M218" s="55"/>
      <c r="N218" s="55"/>
      <c r="O218" s="55"/>
      <c r="Q218" s="55"/>
      <c r="R218" s="55"/>
      <c r="S218" s="55"/>
    </row>
    <row r="219" spans="2:19" outlineLevel="1">
      <c r="B219" s="51" t="s">
        <v>167</v>
      </c>
      <c r="C219" s="52" t="s">
        <v>748</v>
      </c>
      <c r="D219" s="53" t="s">
        <v>749</v>
      </c>
      <c r="E219" s="48">
        <v>2566.9332026784814</v>
      </c>
      <c r="F219" s="49">
        <v>0</v>
      </c>
      <c r="G219" s="50">
        <v>2566.9332026784814</v>
      </c>
      <c r="H219" s="58"/>
      <c r="I219" s="48">
        <v>2566.9332026784814</v>
      </c>
      <c r="J219" s="49">
        <v>0</v>
      </c>
      <c r="K219" s="50">
        <v>2566.9332026784814</v>
      </c>
      <c r="M219" s="55"/>
      <c r="N219" s="55"/>
      <c r="O219" s="55"/>
      <c r="Q219" s="55"/>
      <c r="R219" s="55"/>
      <c r="S219" s="55"/>
    </row>
    <row r="220" spans="2:19" outlineLevel="1">
      <c r="B220" s="51" t="s">
        <v>167</v>
      </c>
      <c r="C220" s="52" t="s">
        <v>126</v>
      </c>
      <c r="D220" s="53" t="s">
        <v>349</v>
      </c>
      <c r="E220" s="48">
        <v>8698.2973170259502</v>
      </c>
      <c r="F220" s="49">
        <v>0</v>
      </c>
      <c r="G220" s="50">
        <v>8698.2973170259502</v>
      </c>
      <c r="H220" s="58"/>
      <c r="I220" s="48">
        <v>8698.2973170259502</v>
      </c>
      <c r="J220" s="49">
        <v>0</v>
      </c>
      <c r="K220" s="50">
        <v>8698.2973170259502</v>
      </c>
      <c r="M220" s="55"/>
      <c r="N220" s="55"/>
      <c r="O220" s="55"/>
      <c r="Q220" s="55"/>
      <c r="R220" s="55"/>
      <c r="S220" s="55"/>
    </row>
    <row r="221" spans="2:19" outlineLevel="1">
      <c r="B221" s="51" t="s">
        <v>167</v>
      </c>
      <c r="C221" s="52" t="s">
        <v>127</v>
      </c>
      <c r="D221" s="53" t="s">
        <v>350</v>
      </c>
      <c r="E221" s="48">
        <v>15739.720760442731</v>
      </c>
      <c r="F221" s="49">
        <v>443.15179477839945</v>
      </c>
      <c r="G221" s="50">
        <v>16182.872555221131</v>
      </c>
      <c r="H221" s="58"/>
      <c r="I221" s="48">
        <v>16134.217667328125</v>
      </c>
      <c r="J221" s="49">
        <v>48.654887892999994</v>
      </c>
      <c r="K221" s="50">
        <v>16182.872555221125</v>
      </c>
      <c r="M221" s="55"/>
      <c r="N221" s="55"/>
      <c r="O221" s="55"/>
      <c r="Q221" s="55"/>
      <c r="R221" s="55"/>
      <c r="S221" s="55"/>
    </row>
    <row r="222" spans="2:19" outlineLevel="1">
      <c r="B222" s="51" t="s">
        <v>167</v>
      </c>
      <c r="C222" s="52" t="s">
        <v>128</v>
      </c>
      <c r="D222" s="53" t="s">
        <v>351</v>
      </c>
      <c r="E222" s="48">
        <v>1316.3145818111952</v>
      </c>
      <c r="F222" s="49">
        <v>0</v>
      </c>
      <c r="G222" s="50">
        <v>1316.3145818111952</v>
      </c>
      <c r="H222" s="58"/>
      <c r="I222" s="48">
        <v>1316.3145818111955</v>
      </c>
      <c r="J222" s="49">
        <v>0</v>
      </c>
      <c r="K222" s="50">
        <v>1316.3145818111955</v>
      </c>
      <c r="M222" s="55"/>
      <c r="N222" s="55"/>
      <c r="O222" s="55"/>
      <c r="Q222" s="55"/>
      <c r="R222" s="55"/>
      <c r="S222" s="55"/>
    </row>
    <row r="223" spans="2:19">
      <c r="B223" s="39" t="s">
        <v>169</v>
      </c>
      <c r="C223" s="40" t="s">
        <v>170</v>
      </c>
      <c r="D223" s="41"/>
      <c r="E223" s="42">
        <v>35606.629270435471</v>
      </c>
      <c r="F223" s="43">
        <v>8.4054348373449184</v>
      </c>
      <c r="G223" s="44">
        <v>35615.034705272818</v>
      </c>
      <c r="H223" s="59"/>
      <c r="I223" s="42">
        <v>35670.183614282316</v>
      </c>
      <c r="J223" s="43">
        <v>2.9894466088116562</v>
      </c>
      <c r="K223" s="44">
        <v>35673.173060891124</v>
      </c>
      <c r="L223" s="54"/>
      <c r="M223" s="55"/>
      <c r="N223" s="55"/>
      <c r="O223" s="55"/>
      <c r="Q223" s="55"/>
      <c r="R223" s="55"/>
      <c r="S223" s="55"/>
    </row>
    <row r="224" spans="2:19" outlineLevel="1">
      <c r="B224" s="51" t="s">
        <v>169</v>
      </c>
      <c r="C224" s="52" t="s">
        <v>129</v>
      </c>
      <c r="D224" s="53" t="s">
        <v>352</v>
      </c>
      <c r="E224" s="48">
        <v>35606.629270435471</v>
      </c>
      <c r="F224" s="49">
        <v>8.4054348373449184</v>
      </c>
      <c r="G224" s="50">
        <v>35615.034705272818</v>
      </c>
      <c r="H224" s="58"/>
      <c r="I224" s="48">
        <v>35670.183614282316</v>
      </c>
      <c r="J224" s="49">
        <v>2.9894466088116562</v>
      </c>
      <c r="K224" s="50">
        <v>35673.173060891124</v>
      </c>
      <c r="M224" s="55"/>
      <c r="N224" s="55"/>
      <c r="O224" s="55"/>
      <c r="Q224" s="55"/>
      <c r="R224" s="55"/>
      <c r="S224" s="55"/>
    </row>
    <row r="225" spans="2:19">
      <c r="B225" s="39" t="s">
        <v>171</v>
      </c>
      <c r="C225" s="40" t="s">
        <v>172</v>
      </c>
      <c r="D225" s="41"/>
      <c r="E225" s="42">
        <v>31254.446837647545</v>
      </c>
      <c r="F225" s="43">
        <v>0.37234371396415727</v>
      </c>
      <c r="G225" s="44">
        <v>31254.819181361509</v>
      </c>
      <c r="H225" s="59"/>
      <c r="I225" s="42">
        <v>32004.95996043324</v>
      </c>
      <c r="J225" s="43">
        <v>664.31636780420479</v>
      </c>
      <c r="K225" s="44">
        <v>32669.276328237444</v>
      </c>
      <c r="L225" s="54"/>
      <c r="M225" s="55"/>
      <c r="N225" s="55"/>
      <c r="O225" s="55"/>
      <c r="Q225" s="55"/>
      <c r="R225" s="55"/>
      <c r="S225" s="55"/>
    </row>
    <row r="226" spans="2:19" outlineLevel="1">
      <c r="B226" s="51" t="s">
        <v>171</v>
      </c>
      <c r="C226" s="52" t="s">
        <v>203</v>
      </c>
      <c r="D226" s="53" t="s">
        <v>353</v>
      </c>
      <c r="E226" s="48">
        <v>14583.249415386892</v>
      </c>
      <c r="F226" s="49">
        <v>0</v>
      </c>
      <c r="G226" s="50">
        <v>14583.249415386892</v>
      </c>
      <c r="H226" s="58"/>
      <c r="I226" s="48">
        <v>14785.382983980697</v>
      </c>
      <c r="J226" s="49">
        <v>225.78577336372607</v>
      </c>
      <c r="K226" s="50">
        <v>15011.168757344423</v>
      </c>
      <c r="M226" s="55"/>
      <c r="N226" s="55"/>
      <c r="O226" s="55"/>
      <c r="Q226" s="55"/>
      <c r="R226" s="55"/>
      <c r="S226" s="55"/>
    </row>
    <row r="227" spans="2:19" outlineLevel="1">
      <c r="B227" s="51" t="s">
        <v>171</v>
      </c>
      <c r="C227" s="52" t="s">
        <v>130</v>
      </c>
      <c r="D227" s="53" t="s">
        <v>354</v>
      </c>
      <c r="E227" s="48">
        <v>10986.83601636493</v>
      </c>
      <c r="F227" s="49">
        <v>0</v>
      </c>
      <c r="G227" s="50">
        <v>10986.83601636493</v>
      </c>
      <c r="H227" s="58"/>
      <c r="I227" s="48">
        <v>11304.359215611934</v>
      </c>
      <c r="J227" s="49">
        <v>338.67866004558937</v>
      </c>
      <c r="K227" s="50">
        <v>11643.037875657523</v>
      </c>
      <c r="M227" s="55"/>
      <c r="N227" s="55"/>
      <c r="O227" s="55"/>
      <c r="Q227" s="55"/>
      <c r="R227" s="55"/>
      <c r="S227" s="55"/>
    </row>
    <row r="228" spans="2:19" outlineLevel="1">
      <c r="B228" s="51" t="s">
        <v>171</v>
      </c>
      <c r="C228" s="52" t="s">
        <v>131</v>
      </c>
      <c r="D228" s="53" t="s">
        <v>355</v>
      </c>
      <c r="E228" s="48">
        <v>4522.204232622521</v>
      </c>
      <c r="F228" s="49">
        <v>0.37234371396415727</v>
      </c>
      <c r="G228" s="50">
        <v>4522.5765763364852</v>
      </c>
      <c r="H228" s="58"/>
      <c r="I228" s="48">
        <v>4753.0604678667014</v>
      </c>
      <c r="J228" s="49">
        <v>99.851934394889369</v>
      </c>
      <c r="K228" s="50">
        <v>4852.9124022615906</v>
      </c>
      <c r="M228" s="55"/>
      <c r="N228" s="55"/>
      <c r="O228" s="55"/>
      <c r="Q228" s="55"/>
      <c r="R228" s="55"/>
      <c r="S228" s="55"/>
    </row>
    <row r="229" spans="2:19" outlineLevel="1">
      <c r="B229" s="51" t="s">
        <v>171</v>
      </c>
      <c r="C229" s="52" t="s">
        <v>132</v>
      </c>
      <c r="D229" s="53" t="s">
        <v>750</v>
      </c>
      <c r="E229" s="48">
        <v>1162.1571732732025</v>
      </c>
      <c r="F229" s="49">
        <v>0</v>
      </c>
      <c r="G229" s="50">
        <v>1162.1571732732025</v>
      </c>
      <c r="H229" s="58"/>
      <c r="I229" s="48">
        <v>1162.1572929739104</v>
      </c>
      <c r="J229" s="49">
        <v>0</v>
      </c>
      <c r="K229" s="50">
        <v>1162.1572929739104</v>
      </c>
      <c r="M229" s="55"/>
      <c r="N229" s="55"/>
      <c r="O229" s="55"/>
      <c r="Q229" s="55"/>
      <c r="R229" s="55"/>
      <c r="S229" s="55"/>
    </row>
    <row r="230" spans="2:19">
      <c r="B230" s="39" t="s">
        <v>173</v>
      </c>
      <c r="C230" s="40" t="s">
        <v>174</v>
      </c>
      <c r="D230" s="41"/>
      <c r="E230" s="42">
        <v>1986.5751825152961</v>
      </c>
      <c r="F230" s="43">
        <v>0</v>
      </c>
      <c r="G230" s="44">
        <v>1986.5751825152961</v>
      </c>
      <c r="H230" s="59"/>
      <c r="I230" s="42">
        <v>2091.6596213550315</v>
      </c>
      <c r="J230" s="43">
        <v>0</v>
      </c>
      <c r="K230" s="44">
        <v>2091.6596213550315</v>
      </c>
      <c r="L230" s="54"/>
      <c r="M230" s="55"/>
      <c r="N230" s="55"/>
      <c r="O230" s="55"/>
      <c r="Q230" s="55"/>
      <c r="R230" s="55"/>
      <c r="S230" s="55"/>
    </row>
    <row r="231" spans="2:19" outlineLevel="1">
      <c r="B231" s="51" t="s">
        <v>173</v>
      </c>
      <c r="C231" s="52" t="s">
        <v>133</v>
      </c>
      <c r="D231" s="53" t="s">
        <v>356</v>
      </c>
      <c r="E231" s="48">
        <v>205.85773611692628</v>
      </c>
      <c r="F231" s="49">
        <v>0</v>
      </c>
      <c r="G231" s="50">
        <v>205.85773611692628</v>
      </c>
      <c r="H231" s="58"/>
      <c r="I231" s="48">
        <v>205.85773611692628</v>
      </c>
      <c r="J231" s="49">
        <v>0</v>
      </c>
      <c r="K231" s="50">
        <v>205.85773611692628</v>
      </c>
      <c r="M231" s="55"/>
      <c r="N231" s="55"/>
      <c r="O231" s="55"/>
      <c r="Q231" s="55"/>
      <c r="R231" s="55"/>
      <c r="S231" s="55"/>
    </row>
    <row r="232" spans="2:19" outlineLevel="1">
      <c r="B232" s="51" t="s">
        <v>173</v>
      </c>
      <c r="C232" s="52" t="s">
        <v>134</v>
      </c>
      <c r="D232" s="53" t="s">
        <v>357</v>
      </c>
      <c r="E232" s="48">
        <v>1780.7174463983699</v>
      </c>
      <c r="F232" s="49">
        <v>0</v>
      </c>
      <c r="G232" s="50">
        <v>1780.7174463983699</v>
      </c>
      <c r="H232" s="58"/>
      <c r="I232" s="48">
        <v>1885.8018852381053</v>
      </c>
      <c r="J232" s="49">
        <v>0</v>
      </c>
      <c r="K232" s="50">
        <v>1885.8018852381053</v>
      </c>
      <c r="M232" s="55"/>
      <c r="N232" s="55"/>
      <c r="O232" s="55"/>
      <c r="Q232" s="55"/>
      <c r="R232" s="55"/>
      <c r="S232" s="55"/>
    </row>
    <row r="233" spans="2:19">
      <c r="B233" s="39" t="s">
        <v>175</v>
      </c>
      <c r="C233" s="40" t="s">
        <v>176</v>
      </c>
      <c r="D233" s="41"/>
      <c r="E233" s="42">
        <v>17573.606464396635</v>
      </c>
      <c r="F233" s="43">
        <v>0</v>
      </c>
      <c r="G233" s="44">
        <v>17573.606464396635</v>
      </c>
      <c r="H233" s="59"/>
      <c r="I233" s="42">
        <v>17790.941705739493</v>
      </c>
      <c r="J233" s="43">
        <v>0</v>
      </c>
      <c r="K233" s="44">
        <v>17790.941705739493</v>
      </c>
      <c r="L233" s="54"/>
      <c r="M233" s="55"/>
      <c r="N233" s="55"/>
      <c r="O233" s="55"/>
      <c r="Q233" s="55"/>
      <c r="R233" s="55"/>
      <c r="S233" s="55"/>
    </row>
    <row r="234" spans="2:19" outlineLevel="1">
      <c r="B234" s="51" t="s">
        <v>175</v>
      </c>
      <c r="C234" s="52" t="s">
        <v>137</v>
      </c>
      <c r="D234" s="53" t="s">
        <v>358</v>
      </c>
      <c r="E234" s="48">
        <v>848.99916847945167</v>
      </c>
      <c r="F234" s="49">
        <v>0</v>
      </c>
      <c r="G234" s="50">
        <v>848.99916847945167</v>
      </c>
      <c r="H234" s="58"/>
      <c r="I234" s="48">
        <v>904.85777874350674</v>
      </c>
      <c r="J234" s="49">
        <v>0</v>
      </c>
      <c r="K234" s="50">
        <v>904.85777874350674</v>
      </c>
      <c r="M234" s="55"/>
      <c r="N234" s="55"/>
      <c r="O234" s="55"/>
      <c r="Q234" s="55"/>
      <c r="R234" s="55"/>
      <c r="S234" s="55"/>
    </row>
    <row r="235" spans="2:19" outlineLevel="1">
      <c r="B235" s="51" t="s">
        <v>175</v>
      </c>
      <c r="C235" s="52" t="s">
        <v>138</v>
      </c>
      <c r="D235" s="53" t="s">
        <v>359</v>
      </c>
      <c r="E235" s="48">
        <v>1132.6117546976811</v>
      </c>
      <c r="F235" s="49">
        <v>0</v>
      </c>
      <c r="G235" s="50">
        <v>1132.6117546976811</v>
      </c>
      <c r="H235" s="58"/>
      <c r="I235" s="48">
        <v>1148.0243748162934</v>
      </c>
      <c r="J235" s="49">
        <v>0</v>
      </c>
      <c r="K235" s="50">
        <v>1148.0243748162934</v>
      </c>
      <c r="M235" s="55"/>
      <c r="N235" s="55"/>
      <c r="O235" s="55"/>
      <c r="Q235" s="55"/>
      <c r="R235" s="55"/>
      <c r="S235" s="55"/>
    </row>
    <row r="236" spans="2:19" outlineLevel="1">
      <c r="B236" s="51" t="s">
        <v>175</v>
      </c>
      <c r="C236" s="52" t="s">
        <v>135</v>
      </c>
      <c r="D236" s="53" t="s">
        <v>360</v>
      </c>
      <c r="E236" s="48">
        <v>479.39442300557829</v>
      </c>
      <c r="F236" s="49">
        <v>0</v>
      </c>
      <c r="G236" s="50">
        <v>479.39442300557829</v>
      </c>
      <c r="H236" s="58"/>
      <c r="I236" s="48">
        <v>479.67616436469092</v>
      </c>
      <c r="J236" s="49">
        <v>0</v>
      </c>
      <c r="K236" s="50">
        <v>479.67616436469092</v>
      </c>
      <c r="M236" s="55"/>
      <c r="N236" s="55"/>
      <c r="O236" s="55"/>
      <c r="Q236" s="55"/>
      <c r="R236" s="55"/>
      <c r="S236" s="55"/>
    </row>
    <row r="237" spans="2:19" outlineLevel="1">
      <c r="B237" s="51" t="s">
        <v>175</v>
      </c>
      <c r="C237" s="52" t="s">
        <v>136</v>
      </c>
      <c r="D237" s="53" t="s">
        <v>361</v>
      </c>
      <c r="E237" s="48">
        <v>3078.6338311232521</v>
      </c>
      <c r="F237" s="49">
        <v>0</v>
      </c>
      <c r="G237" s="50">
        <v>3078.6338311232521</v>
      </c>
      <c r="H237" s="58"/>
      <c r="I237" s="48">
        <v>3078.6338311232521</v>
      </c>
      <c r="J237" s="49">
        <v>0</v>
      </c>
      <c r="K237" s="50">
        <v>3078.6338311232521</v>
      </c>
      <c r="M237" s="55"/>
      <c r="N237" s="55"/>
      <c r="O237" s="55"/>
      <c r="Q237" s="55"/>
      <c r="R237" s="55"/>
      <c r="S237" s="55"/>
    </row>
    <row r="238" spans="2:19" outlineLevel="1">
      <c r="B238" s="51" t="s">
        <v>175</v>
      </c>
      <c r="C238" s="52" t="s">
        <v>751</v>
      </c>
      <c r="D238" s="53" t="s">
        <v>752</v>
      </c>
      <c r="E238" s="48">
        <v>235.26271261578066</v>
      </c>
      <c r="F238" s="49">
        <v>0</v>
      </c>
      <c r="G238" s="50">
        <v>235.26271261578066</v>
      </c>
      <c r="H238" s="58"/>
      <c r="I238" s="48">
        <v>243.6069889267427</v>
      </c>
      <c r="J238" s="49">
        <v>0</v>
      </c>
      <c r="K238" s="50">
        <v>243.6069889267427</v>
      </c>
      <c r="M238" s="55"/>
      <c r="N238" s="55"/>
      <c r="O238" s="55"/>
      <c r="Q238" s="55"/>
      <c r="R238" s="55"/>
      <c r="S238" s="55"/>
    </row>
    <row r="239" spans="2:19" outlineLevel="1">
      <c r="B239" s="51" t="s">
        <v>175</v>
      </c>
      <c r="C239" s="52" t="s">
        <v>139</v>
      </c>
      <c r="D239" s="53" t="s">
        <v>362</v>
      </c>
      <c r="E239" s="48">
        <v>11798.704574474892</v>
      </c>
      <c r="F239" s="49">
        <v>0</v>
      </c>
      <c r="G239" s="50">
        <v>11798.704574474892</v>
      </c>
      <c r="H239" s="58"/>
      <c r="I239" s="48">
        <v>11936.142567765008</v>
      </c>
      <c r="J239" s="49">
        <v>0</v>
      </c>
      <c r="K239" s="50">
        <v>11936.142567765008</v>
      </c>
      <c r="M239" s="55"/>
      <c r="N239" s="55"/>
      <c r="O239" s="55"/>
      <c r="Q239" s="55"/>
      <c r="R239" s="55"/>
      <c r="S239" s="55"/>
    </row>
    <row r="240" spans="2:19">
      <c r="B240" s="39" t="s">
        <v>177</v>
      </c>
      <c r="C240" s="40" t="s">
        <v>178</v>
      </c>
      <c r="D240" s="41"/>
      <c r="E240" s="42">
        <v>10357.041057643701</v>
      </c>
      <c r="F240" s="43">
        <v>0</v>
      </c>
      <c r="G240" s="44">
        <v>10357.041057643701</v>
      </c>
      <c r="H240" s="59"/>
      <c r="I240" s="42">
        <v>10357.041057643701</v>
      </c>
      <c r="J240" s="43">
        <v>0</v>
      </c>
      <c r="K240" s="44">
        <v>10357.041057643701</v>
      </c>
      <c r="L240" s="54"/>
      <c r="M240" s="55"/>
      <c r="N240" s="55"/>
      <c r="O240" s="55"/>
      <c r="Q240" s="55"/>
      <c r="R240" s="55"/>
      <c r="S240" s="55"/>
    </row>
    <row r="241" spans="2:19" outlineLevel="1">
      <c r="B241" s="61" t="s">
        <v>177</v>
      </c>
      <c r="C241" s="62" t="s">
        <v>140</v>
      </c>
      <c r="D241" s="63" t="s">
        <v>363</v>
      </c>
      <c r="E241" s="64">
        <v>10357.041057643701</v>
      </c>
      <c r="F241" s="65">
        <v>0</v>
      </c>
      <c r="G241" s="66">
        <v>10357.041057643701</v>
      </c>
      <c r="H241" s="58"/>
      <c r="I241" s="64">
        <v>10357.041057643701</v>
      </c>
      <c r="J241" s="65">
        <v>0</v>
      </c>
      <c r="K241" s="66">
        <v>10357.041057643701</v>
      </c>
      <c r="M241" s="55"/>
      <c r="N241" s="55"/>
      <c r="O241" s="55"/>
      <c r="Q241" s="55"/>
      <c r="R241" s="55"/>
      <c r="S241" s="55"/>
    </row>
  </sheetData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E904-1F19-4A01-843C-D63E9835E78E}">
  <sheetPr>
    <tabColor rgb="FFFFC000"/>
  </sheetPr>
  <dimension ref="B1:O364"/>
  <sheetViews>
    <sheetView showGridLines="0" tabSelected="1" zoomScale="85" zoomScaleNormal="85" zoomScaleSheetLayoutView="100" workbookViewId="0">
      <pane ySplit="9" topLeftCell="A123" activePane="bottomLeft" state="frozen"/>
      <selection activeCell="F242" sqref="F242"/>
      <selection pane="bottomLeft" activeCell="E84" sqref="E84"/>
    </sheetView>
  </sheetViews>
  <sheetFormatPr defaultColWidth="11.453125" defaultRowHeight="14.5"/>
  <cols>
    <col min="1" max="1" width="2.7265625" style="2" customWidth="1"/>
    <col min="2" max="2" width="10.7265625" style="2" customWidth="1"/>
    <col min="3" max="3" width="11.453125" style="2" customWidth="1"/>
    <col min="4" max="4" width="9.1796875" style="2" customWidth="1"/>
    <col min="5" max="5" width="79" style="2" customWidth="1"/>
    <col min="6" max="6" width="16.453125" style="2" customWidth="1"/>
    <col min="7" max="7" width="18.81640625" style="2" customWidth="1"/>
    <col min="8" max="8" width="3.7265625" style="2" customWidth="1"/>
    <col min="9" max="9" width="16.453125" style="2" customWidth="1"/>
    <col min="10" max="16384" width="11.453125" style="2"/>
  </cols>
  <sheetData>
    <row r="1" spans="2:12">
      <c r="B1" s="1" t="s">
        <v>758</v>
      </c>
    </row>
    <row r="2" spans="2:12">
      <c r="B2" s="1" t="s">
        <v>759</v>
      </c>
    </row>
    <row r="3" spans="2:12">
      <c r="B3" s="1" t="s">
        <v>760</v>
      </c>
    </row>
    <row r="4" spans="2:12">
      <c r="B4" s="1" t="s">
        <v>761</v>
      </c>
    </row>
    <row r="5" spans="2:12">
      <c r="B5" s="1" t="s">
        <v>765</v>
      </c>
      <c r="F5" s="57"/>
      <c r="I5" s="57"/>
    </row>
    <row r="6" spans="2:12">
      <c r="B6" s="30" t="s">
        <v>762</v>
      </c>
    </row>
    <row r="7" spans="2:12" ht="24" customHeight="1">
      <c r="F7" s="3"/>
      <c r="I7" s="3"/>
    </row>
    <row r="8" spans="2:12" ht="34.5" customHeight="1">
      <c r="B8" s="26" t="s">
        <v>179</v>
      </c>
      <c r="C8" s="26" t="s">
        <v>640</v>
      </c>
      <c r="D8" s="27" t="s">
        <v>204</v>
      </c>
      <c r="E8" s="28"/>
      <c r="F8" s="26" t="s">
        <v>641</v>
      </c>
      <c r="G8" s="56" t="s">
        <v>757</v>
      </c>
      <c r="I8" s="56" t="s">
        <v>766</v>
      </c>
    </row>
    <row r="9" spans="2:12">
      <c r="B9" s="10" t="s">
        <v>141</v>
      </c>
      <c r="C9" s="11" t="s">
        <v>143</v>
      </c>
      <c r="D9" s="11"/>
      <c r="E9" s="11"/>
      <c r="F9" s="12">
        <v>139920.13625880619</v>
      </c>
      <c r="G9" s="23"/>
      <c r="I9" s="67">
        <v>79180.443211404621</v>
      </c>
      <c r="K9" s="68"/>
      <c r="L9" s="68"/>
    </row>
    <row r="10" spans="2:12">
      <c r="B10" s="8" t="s">
        <v>141</v>
      </c>
      <c r="C10" s="8" t="s">
        <v>364</v>
      </c>
      <c r="D10" s="15" t="s">
        <v>497</v>
      </c>
      <c r="E10" s="19"/>
      <c r="F10" s="9">
        <v>10119.333150527977</v>
      </c>
      <c r="G10" s="9">
        <v>100</v>
      </c>
      <c r="H10" s="3"/>
      <c r="I10" s="9">
        <v>7775.3981235033907</v>
      </c>
      <c r="K10" s="68"/>
      <c r="L10" s="68"/>
    </row>
    <row r="11" spans="2:12">
      <c r="B11" s="6"/>
      <c r="C11" s="6" t="s">
        <v>364</v>
      </c>
      <c r="D11" s="16" t="s">
        <v>180</v>
      </c>
      <c r="E11" s="20" t="s">
        <v>206</v>
      </c>
      <c r="F11" s="7">
        <v>9868.1544357153743</v>
      </c>
      <c r="G11" s="7">
        <v>97.517833328775254</v>
      </c>
      <c r="H11" s="3"/>
      <c r="I11" s="7"/>
      <c r="K11" s="68"/>
      <c r="L11" s="68"/>
    </row>
    <row r="12" spans="2:12">
      <c r="B12" s="8" t="s">
        <v>141</v>
      </c>
      <c r="C12" s="8" t="s">
        <v>365</v>
      </c>
      <c r="D12" s="15" t="s">
        <v>498</v>
      </c>
      <c r="E12" s="19"/>
      <c r="F12" s="9">
        <v>4394.6130781540896</v>
      </c>
      <c r="G12" s="9">
        <v>100</v>
      </c>
      <c r="H12" s="3"/>
      <c r="I12" s="9">
        <v>3071.5403242418402</v>
      </c>
      <c r="K12" s="68"/>
      <c r="L12" s="68"/>
    </row>
    <row r="13" spans="2:12">
      <c r="B13" s="4"/>
      <c r="C13" s="4" t="s">
        <v>365</v>
      </c>
      <c r="D13" s="17" t="s">
        <v>181</v>
      </c>
      <c r="E13" s="21" t="s">
        <v>208</v>
      </c>
      <c r="F13" s="5">
        <v>3460.3531008362734</v>
      </c>
      <c r="G13" s="5">
        <v>78.740791038872487</v>
      </c>
      <c r="H13" s="3"/>
      <c r="I13" s="5"/>
      <c r="K13" s="68"/>
      <c r="L13" s="68"/>
    </row>
    <row r="14" spans="2:12">
      <c r="B14" s="6"/>
      <c r="C14" s="6" t="s">
        <v>365</v>
      </c>
      <c r="D14" s="16" t="s">
        <v>1</v>
      </c>
      <c r="E14" s="20" t="s">
        <v>207</v>
      </c>
      <c r="F14" s="7">
        <v>917.62653195852431</v>
      </c>
      <c r="G14" s="7">
        <v>20.880712718944611</v>
      </c>
      <c r="H14" s="3"/>
      <c r="I14" s="7"/>
      <c r="K14" s="68"/>
      <c r="L14" s="68"/>
    </row>
    <row r="15" spans="2:12">
      <c r="B15" s="8" t="s">
        <v>141</v>
      </c>
      <c r="C15" s="8" t="s">
        <v>366</v>
      </c>
      <c r="D15" s="15" t="s">
        <v>499</v>
      </c>
      <c r="E15" s="19"/>
      <c r="F15" s="9">
        <v>132.01028820666326</v>
      </c>
      <c r="G15" s="9">
        <v>100</v>
      </c>
      <c r="H15" s="3"/>
      <c r="I15" s="9">
        <v>54.951417498050759</v>
      </c>
      <c r="K15" s="68"/>
      <c r="L15" s="68"/>
    </row>
    <row r="16" spans="2:12">
      <c r="B16" s="6"/>
      <c r="C16" s="6" t="s">
        <v>366</v>
      </c>
      <c r="D16" s="16" t="s">
        <v>2</v>
      </c>
      <c r="E16" s="20" t="s">
        <v>209</v>
      </c>
      <c r="F16" s="7">
        <v>129.67863836747762</v>
      </c>
      <c r="G16" s="7">
        <v>98.233736270967441</v>
      </c>
      <c r="H16" s="3"/>
      <c r="I16" s="7"/>
      <c r="K16" s="68"/>
      <c r="L16" s="68"/>
    </row>
    <row r="17" spans="2:15">
      <c r="B17" s="8" t="s">
        <v>141</v>
      </c>
      <c r="C17" s="8" t="s">
        <v>367</v>
      </c>
      <c r="D17" s="15" t="s">
        <v>500</v>
      </c>
      <c r="E17" s="19"/>
      <c r="F17" s="9">
        <v>19123.210028775735</v>
      </c>
      <c r="G17" s="9">
        <v>100</v>
      </c>
      <c r="H17" s="24"/>
      <c r="I17" s="9">
        <v>14517.499337348832</v>
      </c>
      <c r="K17" s="68"/>
      <c r="L17" s="68"/>
    </row>
    <row r="18" spans="2:15">
      <c r="B18" s="4"/>
      <c r="C18" s="4" t="s">
        <v>367</v>
      </c>
      <c r="D18" s="17" t="s">
        <v>3</v>
      </c>
      <c r="E18" s="21" t="s">
        <v>210</v>
      </c>
      <c r="F18" s="5">
        <v>7236.62470185435</v>
      </c>
      <c r="G18" s="5">
        <v>37.84210229854196</v>
      </c>
      <c r="H18" s="3"/>
      <c r="I18" s="5"/>
      <c r="K18" s="68"/>
      <c r="L18" s="68"/>
    </row>
    <row r="19" spans="2:15">
      <c r="B19" s="4"/>
      <c r="C19" s="4" t="s">
        <v>367</v>
      </c>
      <c r="D19" s="17" t="s">
        <v>184</v>
      </c>
      <c r="E19" s="21" t="s">
        <v>213</v>
      </c>
      <c r="F19" s="5">
        <v>4372.2052310387298</v>
      </c>
      <c r="G19" s="5">
        <v>22.863343677445545</v>
      </c>
      <c r="H19" s="3"/>
      <c r="I19" s="5"/>
      <c r="K19" s="68"/>
      <c r="L19" s="68"/>
    </row>
    <row r="20" spans="2:15">
      <c r="B20" s="4"/>
      <c r="C20" s="4" t="s">
        <v>367</v>
      </c>
      <c r="D20" s="17" t="s">
        <v>183</v>
      </c>
      <c r="E20" s="21" t="s">
        <v>212</v>
      </c>
      <c r="F20" s="5">
        <v>3780.1550471973906</v>
      </c>
      <c r="G20" s="5">
        <v>19.767366679073156</v>
      </c>
      <c r="H20" s="3"/>
      <c r="I20" s="5"/>
      <c r="K20" s="68"/>
      <c r="L20" s="68"/>
    </row>
    <row r="21" spans="2:15">
      <c r="B21" s="6"/>
      <c r="C21" s="6" t="s">
        <v>367</v>
      </c>
      <c r="D21" s="16" t="s">
        <v>182</v>
      </c>
      <c r="E21" s="20" t="s">
        <v>211</v>
      </c>
      <c r="F21" s="7">
        <v>2255.1451449448637</v>
      </c>
      <c r="G21" s="7">
        <v>11.792712319487283</v>
      </c>
      <c r="H21" s="3"/>
      <c r="I21" s="7"/>
      <c r="K21" s="68"/>
      <c r="L21" s="68"/>
    </row>
    <row r="22" spans="2:15">
      <c r="B22" s="8" t="s">
        <v>141</v>
      </c>
      <c r="C22" s="8" t="s">
        <v>369</v>
      </c>
      <c r="D22" s="15" t="s">
        <v>501</v>
      </c>
      <c r="E22" s="19"/>
      <c r="F22" s="9">
        <v>7202.6728388434503</v>
      </c>
      <c r="G22" s="9">
        <v>100</v>
      </c>
      <c r="H22" s="24"/>
      <c r="I22" s="9">
        <v>2247.5454869909536</v>
      </c>
      <c r="K22" s="68"/>
      <c r="L22" s="68"/>
    </row>
    <row r="23" spans="2:15">
      <c r="B23" s="6"/>
      <c r="C23" s="6" t="s">
        <v>369</v>
      </c>
      <c r="D23" s="16" t="s">
        <v>4</v>
      </c>
      <c r="E23" s="20" t="s">
        <v>214</v>
      </c>
      <c r="F23" s="7">
        <v>6878.6591767894442</v>
      </c>
      <c r="G23" s="7">
        <v>95.501480224027034</v>
      </c>
      <c r="H23" s="3"/>
      <c r="I23" s="7"/>
      <c r="K23" s="68"/>
      <c r="L23" s="68"/>
    </row>
    <row r="24" spans="2:15">
      <c r="B24" s="8" t="s">
        <v>141</v>
      </c>
      <c r="C24" s="8" t="s">
        <v>370</v>
      </c>
      <c r="D24" s="15" t="s">
        <v>502</v>
      </c>
      <c r="E24" s="19"/>
      <c r="F24" s="9">
        <v>1788.0460363371665</v>
      </c>
      <c r="G24" s="9">
        <v>100</v>
      </c>
      <c r="H24" s="24"/>
      <c r="I24" s="9">
        <v>1024.1920438639258</v>
      </c>
      <c r="J24" s="71">
        <f>I24/I9</f>
        <v>1.2934911732300181E-2</v>
      </c>
      <c r="K24" s="72">
        <f>J25*J24</f>
        <v>9.9694506135084814E-3</v>
      </c>
      <c r="L24" s="68"/>
    </row>
    <row r="25" spans="2:15">
      <c r="B25" s="4"/>
      <c r="C25" s="4" t="s">
        <v>370</v>
      </c>
      <c r="D25" s="17" t="s">
        <v>6</v>
      </c>
      <c r="E25" s="21" t="s">
        <v>216</v>
      </c>
      <c r="F25" s="5">
        <v>1370.7204215734625</v>
      </c>
      <c r="G25" s="5">
        <v>76.660242170352589</v>
      </c>
      <c r="H25" s="29"/>
      <c r="I25" s="5"/>
      <c r="J25" s="2">
        <f>F25/($F$25+$F$26)</f>
        <v>0.77073974835200831</v>
      </c>
      <c r="K25" s="72">
        <f>K24*0.55</f>
        <v>5.4831978374296651E-3</v>
      </c>
      <c r="L25" s="72">
        <f>K24*0.45</f>
        <v>4.4862527760788171E-3</v>
      </c>
    </row>
    <row r="26" spans="2:15">
      <c r="B26" s="6"/>
      <c r="C26" s="6" t="s">
        <v>370</v>
      </c>
      <c r="D26" s="16" t="s">
        <v>5</v>
      </c>
      <c r="E26" s="20" t="s">
        <v>215</v>
      </c>
      <c r="F26" s="7">
        <v>407.7273936642099</v>
      </c>
      <c r="G26" s="7">
        <v>22.802958390234977</v>
      </c>
      <c r="H26" s="3"/>
      <c r="I26" s="7"/>
      <c r="J26" s="2">
        <f>F26/($F$25+$F$26)</f>
        <v>0.22926025164799174</v>
      </c>
      <c r="K26" s="72">
        <f>J26*K25</f>
        <v>1.2570793160448491E-3</v>
      </c>
      <c r="L26" s="68"/>
    </row>
    <row r="27" spans="2:15">
      <c r="B27" s="8" t="s">
        <v>141</v>
      </c>
      <c r="C27" s="8" t="s">
        <v>371</v>
      </c>
      <c r="D27" s="15" t="s">
        <v>503</v>
      </c>
      <c r="E27" s="19"/>
      <c r="F27" s="9">
        <v>11840.207841160473</v>
      </c>
      <c r="G27" s="9">
        <v>100</v>
      </c>
      <c r="H27" s="24"/>
      <c r="I27" s="9">
        <v>6691.9249022771264</v>
      </c>
      <c r="J27" s="71">
        <f>I27/I9</f>
        <v>8.4514870476416662E-2</v>
      </c>
      <c r="K27" s="71">
        <f>0.786*J27</f>
        <v>6.64286881944635E-2</v>
      </c>
      <c r="L27" s="68" t="s">
        <v>770</v>
      </c>
      <c r="M27" s="73">
        <f>J27-K27</f>
        <v>1.8086182281953161E-2</v>
      </c>
    </row>
    <row r="28" spans="2:15">
      <c r="B28" s="6"/>
      <c r="C28" s="6" t="s">
        <v>371</v>
      </c>
      <c r="D28" s="16" t="s">
        <v>8</v>
      </c>
      <c r="E28" s="20" t="s">
        <v>217</v>
      </c>
      <c r="F28" s="7">
        <v>11203.859788707865</v>
      </c>
      <c r="G28" s="7">
        <v>94.62553309038671</v>
      </c>
      <c r="H28" s="3"/>
      <c r="I28" s="7"/>
      <c r="K28" s="68"/>
      <c r="L28" s="68"/>
    </row>
    <row r="29" spans="2:15">
      <c r="B29" s="8" t="s">
        <v>141</v>
      </c>
      <c r="C29" s="8" t="s">
        <v>372</v>
      </c>
      <c r="D29" s="15" t="s">
        <v>504</v>
      </c>
      <c r="E29" s="19"/>
      <c r="F29" s="9">
        <v>3734.5485192711244</v>
      </c>
      <c r="G29" s="9">
        <v>100</v>
      </c>
      <c r="H29" s="24"/>
      <c r="I29" s="9">
        <v>3147.9340018875378</v>
      </c>
      <c r="J29" s="71">
        <f>I29/I9</f>
        <v>3.9756458466427606E-2</v>
      </c>
      <c r="K29" s="68"/>
      <c r="L29" s="68"/>
    </row>
    <row r="30" spans="2:15">
      <c r="B30" s="6"/>
      <c r="C30" s="6" t="s">
        <v>372</v>
      </c>
      <c r="D30" s="16" t="s">
        <v>9</v>
      </c>
      <c r="E30" s="20" t="s">
        <v>218</v>
      </c>
      <c r="F30" s="7">
        <v>3728.9999299793999</v>
      </c>
      <c r="G30" s="7">
        <v>99.851425433005019</v>
      </c>
      <c r="H30" s="3"/>
      <c r="I30" s="7"/>
      <c r="J30" s="71">
        <f>0.33*J29</f>
        <v>1.3119631293921111E-2</v>
      </c>
      <c r="K30" s="68" t="s">
        <v>767</v>
      </c>
      <c r="L30" s="71">
        <f>0.391*J29</f>
        <v>1.5544775260373195E-2</v>
      </c>
      <c r="M30" s="2" t="s">
        <v>768</v>
      </c>
      <c r="N30" s="72">
        <f>0.155*J29</f>
        <v>6.1622510622962789E-3</v>
      </c>
      <c r="O30" s="2" t="s">
        <v>769</v>
      </c>
    </row>
    <row r="31" spans="2:15">
      <c r="B31" s="8" t="s">
        <v>141</v>
      </c>
      <c r="C31" s="8" t="s">
        <v>373</v>
      </c>
      <c r="D31" s="15" t="s">
        <v>505</v>
      </c>
      <c r="E31" s="19"/>
      <c r="F31" s="9">
        <v>4959.9821670674683</v>
      </c>
      <c r="G31" s="9">
        <v>100</v>
      </c>
      <c r="H31" s="24"/>
      <c r="I31" s="9">
        <v>4034.5818208884184</v>
      </c>
      <c r="J31" s="69">
        <f>I31/I9</f>
        <v>5.0954271752640355E-2</v>
      </c>
      <c r="K31" s="74">
        <f>K32*0.491</f>
        <v>2.0690338725061885E-2</v>
      </c>
      <c r="L31" s="68"/>
    </row>
    <row r="32" spans="2:15">
      <c r="B32" s="6"/>
      <c r="C32" s="6" t="s">
        <v>373</v>
      </c>
      <c r="D32" s="16" t="s">
        <v>7</v>
      </c>
      <c r="E32" s="20" t="s">
        <v>219</v>
      </c>
      <c r="F32" s="7">
        <v>4103.8053590339296</v>
      </c>
      <c r="G32" s="7">
        <v>82.738308743965831</v>
      </c>
      <c r="H32" s="3"/>
      <c r="I32" s="7"/>
      <c r="J32" s="71">
        <f>0.491*J31</f>
        <v>2.5018547430546413E-2</v>
      </c>
      <c r="K32" s="72">
        <f>J31*0.827</f>
        <v>4.2139182739433574E-2</v>
      </c>
      <c r="M32" s="71">
        <f>K32*0.046</f>
        <v>1.9384024060139443E-3</v>
      </c>
    </row>
    <row r="33" spans="2:12">
      <c r="B33" s="8" t="s">
        <v>141</v>
      </c>
      <c r="C33" s="8" t="s">
        <v>374</v>
      </c>
      <c r="D33" s="15" t="s">
        <v>506</v>
      </c>
      <c r="E33" s="19"/>
      <c r="F33" s="9">
        <v>4952.1786073868516</v>
      </c>
      <c r="G33" s="9">
        <v>100</v>
      </c>
      <c r="H33" s="24"/>
      <c r="I33" s="9">
        <v>2909.1336917944886</v>
      </c>
      <c r="K33" s="68"/>
      <c r="L33" s="68"/>
    </row>
    <row r="34" spans="2:12">
      <c r="B34" s="6"/>
      <c r="C34" s="6" t="s">
        <v>374</v>
      </c>
      <c r="D34" s="16" t="s">
        <v>10</v>
      </c>
      <c r="E34" s="20" t="s">
        <v>220</v>
      </c>
      <c r="F34" s="7">
        <v>4860.5751504144746</v>
      </c>
      <c r="G34" s="7">
        <v>98.150239233380276</v>
      </c>
      <c r="H34" s="3"/>
      <c r="I34" s="7"/>
      <c r="K34" s="68"/>
      <c r="L34" s="68"/>
    </row>
    <row r="35" spans="2:12">
      <c r="B35" s="8" t="s">
        <v>141</v>
      </c>
      <c r="C35" s="8" t="s">
        <v>375</v>
      </c>
      <c r="D35" s="15" t="s">
        <v>507</v>
      </c>
      <c r="E35" s="19"/>
      <c r="F35" s="9">
        <v>13977.7315269722</v>
      </c>
      <c r="G35" s="9">
        <v>100</v>
      </c>
      <c r="H35" s="24"/>
      <c r="I35" s="9">
        <v>5582.2098011538674</v>
      </c>
      <c r="J35" s="69">
        <f>I35/I9</f>
        <v>7.0499855453572957E-2</v>
      </c>
      <c r="K35" s="68"/>
      <c r="L35" s="68"/>
    </row>
    <row r="36" spans="2:12">
      <c r="B36" s="6"/>
      <c r="C36" s="6" t="s">
        <v>375</v>
      </c>
      <c r="D36" s="16" t="s">
        <v>11</v>
      </c>
      <c r="E36" s="20" t="s">
        <v>221</v>
      </c>
      <c r="F36" s="7">
        <v>13938.228808901571</v>
      </c>
      <c r="G36" s="7">
        <v>99.717388204270463</v>
      </c>
      <c r="H36" s="3"/>
      <c r="I36" s="7"/>
      <c r="K36" s="68"/>
      <c r="L36" s="68"/>
    </row>
    <row r="37" spans="2:12">
      <c r="B37" s="8" t="s">
        <v>141</v>
      </c>
      <c r="C37" s="8" t="s">
        <v>376</v>
      </c>
      <c r="D37" s="15" t="s">
        <v>508</v>
      </c>
      <c r="E37" s="19"/>
      <c r="F37" s="9">
        <v>3896.1863775744778</v>
      </c>
      <c r="G37" s="9">
        <v>100</v>
      </c>
      <c r="H37" s="24"/>
      <c r="I37" s="9">
        <v>1537.2763309908755</v>
      </c>
      <c r="J37" s="69">
        <f>I37/$I$9</f>
        <v>1.9414848776313196E-2</v>
      </c>
      <c r="K37" s="68"/>
      <c r="L37" s="68"/>
    </row>
    <row r="38" spans="2:12">
      <c r="B38" s="6"/>
      <c r="C38" s="6" t="s">
        <v>376</v>
      </c>
      <c r="D38" s="16" t="s">
        <v>12</v>
      </c>
      <c r="E38" s="20" t="s">
        <v>222</v>
      </c>
      <c r="F38" s="7">
        <v>3873.7081462538335</v>
      </c>
      <c r="G38" s="7">
        <v>99.423070943165769</v>
      </c>
      <c r="H38" s="3"/>
      <c r="I38" s="7"/>
      <c r="K38" s="68"/>
      <c r="L38" s="68"/>
    </row>
    <row r="39" spans="2:12">
      <c r="B39" s="8" t="s">
        <v>141</v>
      </c>
      <c r="C39" s="8" t="s">
        <v>377</v>
      </c>
      <c r="D39" s="15" t="s">
        <v>509</v>
      </c>
      <c r="E39" s="19"/>
      <c r="F39" s="9">
        <v>2170.8288510633861</v>
      </c>
      <c r="G39" s="9">
        <v>100</v>
      </c>
      <c r="H39" s="24"/>
      <c r="I39" s="9">
        <v>293.93799534568279</v>
      </c>
      <c r="J39" s="69">
        <f>I39/$I$9</f>
        <v>3.712254989036812E-3</v>
      </c>
      <c r="K39" s="68"/>
      <c r="L39" s="68"/>
    </row>
    <row r="40" spans="2:12">
      <c r="B40" s="6"/>
      <c r="C40" s="6" t="s">
        <v>377</v>
      </c>
      <c r="D40" s="16" t="s">
        <v>13</v>
      </c>
      <c r="E40" s="20" t="s">
        <v>223</v>
      </c>
      <c r="F40" s="7">
        <v>2153.4283068099589</v>
      </c>
      <c r="G40" s="7">
        <v>99.198437765146551</v>
      </c>
      <c r="H40" s="3"/>
      <c r="I40" s="7"/>
      <c r="K40" s="68"/>
      <c r="L40" s="68"/>
    </row>
    <row r="41" spans="2:12">
      <c r="B41" s="8" t="s">
        <v>141</v>
      </c>
      <c r="C41" s="8" t="s">
        <v>368</v>
      </c>
      <c r="D41" s="15" t="s">
        <v>510</v>
      </c>
      <c r="E41" s="19"/>
      <c r="F41" s="9">
        <v>1164.1407215239433</v>
      </c>
      <c r="G41" s="9">
        <v>100</v>
      </c>
      <c r="H41" s="24"/>
      <c r="I41" s="9">
        <v>810.84014350867517</v>
      </c>
      <c r="J41" s="69">
        <f>I41/$I$9</f>
        <v>1.0240409255399156E-2</v>
      </c>
      <c r="K41" s="68"/>
      <c r="L41" s="68"/>
    </row>
    <row r="42" spans="2:12">
      <c r="B42" s="4"/>
      <c r="C42" s="4" t="s">
        <v>368</v>
      </c>
      <c r="D42" s="17" t="s">
        <v>3</v>
      </c>
      <c r="E42" s="21" t="s">
        <v>210</v>
      </c>
      <c r="F42" s="5">
        <v>452.20213814813008</v>
      </c>
      <c r="G42" s="5">
        <v>38.844284869286696</v>
      </c>
      <c r="H42" s="3"/>
      <c r="I42" s="5"/>
      <c r="J42" s="77">
        <f>G42/SUM($G$42:$G$44)</f>
        <v>0.44699200885128387</v>
      </c>
      <c r="K42" s="76">
        <f>J42*J41</f>
        <v>4.5773811045301486E-3</v>
      </c>
      <c r="L42" s="68"/>
    </row>
    <row r="43" spans="2:12">
      <c r="B43" s="4"/>
      <c r="C43" s="4" t="s">
        <v>368</v>
      </c>
      <c r="D43" s="17" t="s">
        <v>185</v>
      </c>
      <c r="E43" s="21" t="s">
        <v>224</v>
      </c>
      <c r="F43" s="5">
        <v>434.03134947543998</v>
      </c>
      <c r="G43" s="5">
        <v>37.283409252041452</v>
      </c>
      <c r="H43" s="3"/>
      <c r="I43" s="5"/>
      <c r="K43" s="68"/>
      <c r="L43" s="68"/>
    </row>
    <row r="44" spans="2:12">
      <c r="B44" s="6"/>
      <c r="C44" s="6" t="s">
        <v>368</v>
      </c>
      <c r="D44" s="16" t="s">
        <v>14</v>
      </c>
      <c r="E44" s="20" t="s">
        <v>234</v>
      </c>
      <c r="F44" s="7">
        <v>125.42249099277171</v>
      </c>
      <c r="G44" s="7">
        <v>10.773825592887492</v>
      </c>
      <c r="H44" s="3"/>
      <c r="I44" s="7"/>
      <c r="K44" s="68"/>
      <c r="L44" s="68"/>
    </row>
    <row r="45" spans="2:12">
      <c r="B45" s="8" t="s">
        <v>141</v>
      </c>
      <c r="C45" s="8" t="s">
        <v>379</v>
      </c>
      <c r="D45" s="15" t="s">
        <v>511</v>
      </c>
      <c r="E45" s="19"/>
      <c r="F45" s="9">
        <v>9922.6885437419951</v>
      </c>
      <c r="G45" s="9">
        <v>100</v>
      </c>
      <c r="H45" s="24"/>
      <c r="I45" s="9">
        <v>5822.6853276822612</v>
      </c>
      <c r="K45" s="68"/>
      <c r="L45" s="68"/>
    </row>
    <row r="46" spans="2:12">
      <c r="B46" s="4"/>
      <c r="C46" s="4" t="s">
        <v>379</v>
      </c>
      <c r="D46" s="17" t="s">
        <v>16</v>
      </c>
      <c r="E46" s="21" t="s">
        <v>225</v>
      </c>
      <c r="F46" s="5">
        <v>6992.0262741518236</v>
      </c>
      <c r="G46" s="5">
        <v>70.465038213474202</v>
      </c>
      <c r="H46" s="3"/>
      <c r="I46" s="5"/>
      <c r="K46" s="68"/>
      <c r="L46" s="68"/>
    </row>
    <row r="47" spans="2:12">
      <c r="B47" s="6"/>
      <c r="C47" s="6" t="s">
        <v>379</v>
      </c>
      <c r="D47" s="16" t="s">
        <v>186</v>
      </c>
      <c r="E47" s="20" t="s">
        <v>229</v>
      </c>
      <c r="F47" s="7">
        <v>2923.5240526183229</v>
      </c>
      <c r="G47" s="7">
        <v>29.463023451059744</v>
      </c>
      <c r="H47" s="3"/>
      <c r="I47" s="7"/>
      <c r="K47" s="68"/>
      <c r="L47" s="68"/>
    </row>
    <row r="48" spans="2:12">
      <c r="B48" s="8" t="s">
        <v>141</v>
      </c>
      <c r="C48" s="8" t="s">
        <v>380</v>
      </c>
      <c r="D48" s="15" t="s">
        <v>512</v>
      </c>
      <c r="E48" s="19"/>
      <c r="F48" s="9">
        <v>2416.5598732729595</v>
      </c>
      <c r="G48" s="9">
        <v>100</v>
      </c>
      <c r="H48" s="24"/>
      <c r="I48" s="9">
        <v>652.69132077511085</v>
      </c>
      <c r="K48" s="68"/>
      <c r="L48" s="68"/>
    </row>
    <row r="49" spans="2:12">
      <c r="B49" s="6"/>
      <c r="C49" s="6" t="s">
        <v>380</v>
      </c>
      <c r="D49" s="16" t="s">
        <v>18</v>
      </c>
      <c r="E49" s="20" t="s">
        <v>226</v>
      </c>
      <c r="F49" s="7">
        <v>2163.7160860468557</v>
      </c>
      <c r="G49" s="7">
        <v>89.537036097365331</v>
      </c>
      <c r="H49" s="3"/>
      <c r="I49" s="7"/>
      <c r="K49" s="68"/>
      <c r="L49" s="68"/>
    </row>
    <row r="50" spans="2:12">
      <c r="B50" s="8" t="s">
        <v>141</v>
      </c>
      <c r="C50" s="8" t="s">
        <v>381</v>
      </c>
      <c r="D50" s="15" t="s">
        <v>513</v>
      </c>
      <c r="E50" s="19"/>
      <c r="F50" s="9">
        <v>22019.267921080944</v>
      </c>
      <c r="G50" s="9">
        <v>100</v>
      </c>
      <c r="H50" s="24"/>
      <c r="I50" s="9">
        <v>6899.0351392657758</v>
      </c>
      <c r="J50" s="69">
        <f>I50/$I$9</f>
        <v>8.713054460740989E-2</v>
      </c>
      <c r="K50" s="68"/>
      <c r="L50" s="68"/>
    </row>
    <row r="51" spans="2:12">
      <c r="B51" s="4"/>
      <c r="C51" s="4" t="s">
        <v>381</v>
      </c>
      <c r="D51" s="17" t="s">
        <v>19</v>
      </c>
      <c r="E51" s="21" t="s">
        <v>227</v>
      </c>
      <c r="F51" s="5">
        <v>12126.611739460637</v>
      </c>
      <c r="G51" s="5">
        <v>55.072728952313568</v>
      </c>
      <c r="H51" s="3"/>
      <c r="I51" s="5"/>
      <c r="K51" s="68"/>
      <c r="L51" s="68"/>
    </row>
    <row r="52" spans="2:12">
      <c r="B52" s="6"/>
      <c r="C52" s="6" t="s">
        <v>381</v>
      </c>
      <c r="D52" s="16" t="s">
        <v>187</v>
      </c>
      <c r="E52" s="20" t="s">
        <v>230</v>
      </c>
      <c r="F52" s="7">
        <v>5156.4154660501645</v>
      </c>
      <c r="G52" s="7">
        <v>23.417742517740489</v>
      </c>
      <c r="H52" s="3"/>
      <c r="I52" s="7"/>
      <c r="K52" s="68"/>
      <c r="L52" s="68"/>
    </row>
    <row r="53" spans="2:12">
      <c r="B53" s="8" t="s">
        <v>141</v>
      </c>
      <c r="C53" s="8" t="s">
        <v>382</v>
      </c>
      <c r="D53" s="15" t="s">
        <v>514</v>
      </c>
      <c r="E53" s="19"/>
      <c r="F53" s="9">
        <v>467.88925659883574</v>
      </c>
      <c r="G53" s="9">
        <v>100</v>
      </c>
      <c r="H53" s="24"/>
      <c r="I53" s="9">
        <v>345.34914769176095</v>
      </c>
      <c r="J53" s="69">
        <f>I53/$I$9</f>
        <v>4.3615460293611888E-3</v>
      </c>
      <c r="K53" s="68"/>
      <c r="L53" s="68"/>
    </row>
    <row r="54" spans="2:12">
      <c r="B54" s="4"/>
      <c r="C54" s="4" t="s">
        <v>382</v>
      </c>
      <c r="D54" s="17" t="s">
        <v>17</v>
      </c>
      <c r="E54" s="21" t="s">
        <v>228</v>
      </c>
      <c r="F54" s="5">
        <v>324.48151242441025</v>
      </c>
      <c r="G54" s="5">
        <v>69.350066890426149</v>
      </c>
      <c r="H54" s="3"/>
      <c r="I54" s="5"/>
      <c r="K54" s="68"/>
      <c r="L54" s="68"/>
    </row>
    <row r="55" spans="2:12">
      <c r="B55" s="6"/>
      <c r="C55" s="6" t="s">
        <v>382</v>
      </c>
      <c r="D55" s="16" t="s">
        <v>188</v>
      </c>
      <c r="E55" s="20" t="s">
        <v>231</v>
      </c>
      <c r="F55" s="7">
        <v>69.733837021605012</v>
      </c>
      <c r="G55" s="7">
        <v>14.903919258268889</v>
      </c>
      <c r="H55" s="3"/>
      <c r="I55" s="7"/>
      <c r="J55" s="2">
        <f>G55/SUM(G54:G55)</f>
        <v>0.17689274940613273</v>
      </c>
      <c r="K55" s="71">
        <f>J55*J53</f>
        <v>7.7152586879510195E-4</v>
      </c>
      <c r="L55" s="68"/>
    </row>
    <row r="56" spans="2:12">
      <c r="B56" s="8" t="s">
        <v>141</v>
      </c>
      <c r="C56" s="8" t="s">
        <v>378</v>
      </c>
      <c r="D56" s="15" t="s">
        <v>515</v>
      </c>
      <c r="E56" s="19"/>
      <c r="F56" s="9">
        <v>5005.9418042664283</v>
      </c>
      <c r="G56" s="9">
        <v>100</v>
      </c>
      <c r="H56" s="24"/>
      <c r="I56" s="9">
        <v>3788.7888531093868</v>
      </c>
      <c r="J56" s="69">
        <f>I56/$I$9</f>
        <v>4.7850058669078967E-2</v>
      </c>
      <c r="K56" s="68"/>
      <c r="L56" s="68"/>
    </row>
    <row r="57" spans="2:12">
      <c r="B57" s="6"/>
      <c r="C57" s="6" t="s">
        <v>378</v>
      </c>
      <c r="D57" s="16" t="s">
        <v>20</v>
      </c>
      <c r="E57" s="20" t="s">
        <v>237</v>
      </c>
      <c r="F57" s="7">
        <v>4030.8040359158449</v>
      </c>
      <c r="G57" s="7">
        <v>80.520393434867742</v>
      </c>
      <c r="H57" s="3"/>
      <c r="I57" s="7"/>
      <c r="K57" s="68"/>
      <c r="L57" s="68"/>
    </row>
    <row r="58" spans="2:12">
      <c r="B58" s="8" t="s">
        <v>141</v>
      </c>
      <c r="C58" s="8" t="s">
        <v>383</v>
      </c>
      <c r="D58" s="15" t="s">
        <v>522</v>
      </c>
      <c r="E58" s="19"/>
      <c r="F58" s="9">
        <v>7874.5502061836869</v>
      </c>
      <c r="G58" s="9">
        <v>100</v>
      </c>
      <c r="H58" s="24"/>
      <c r="I58" s="9">
        <v>6421.5379100647951</v>
      </c>
      <c r="K58" s="68"/>
      <c r="L58" s="68"/>
    </row>
    <row r="59" spans="2:12">
      <c r="B59" s="4"/>
      <c r="C59" s="4" t="s">
        <v>383</v>
      </c>
      <c r="D59" s="17" t="s">
        <v>22</v>
      </c>
      <c r="E59" s="21" t="s">
        <v>233</v>
      </c>
      <c r="F59" s="5">
        <v>5851.7861621916927</v>
      </c>
      <c r="G59" s="5">
        <v>74.312640201295963</v>
      </c>
      <c r="H59" s="3"/>
      <c r="I59" s="5"/>
      <c r="K59" s="68"/>
      <c r="L59" s="68"/>
    </row>
    <row r="60" spans="2:12">
      <c r="B60" s="6"/>
      <c r="C60" s="6" t="s">
        <v>383</v>
      </c>
      <c r="D60" s="16" t="s">
        <v>21</v>
      </c>
      <c r="E60" s="20" t="s">
        <v>232</v>
      </c>
      <c r="F60" s="7">
        <v>1815.1117180538843</v>
      </c>
      <c r="G60" s="7">
        <v>23.05035424916743</v>
      </c>
      <c r="H60" s="3"/>
      <c r="I60" s="7"/>
      <c r="K60" s="68"/>
      <c r="L60" s="68"/>
    </row>
    <row r="61" spans="2:12">
      <c r="B61" s="8" t="s">
        <v>141</v>
      </c>
      <c r="C61" s="8" t="s">
        <v>384</v>
      </c>
      <c r="D61" s="15" t="s">
        <v>523</v>
      </c>
      <c r="E61" s="19"/>
      <c r="F61" s="9">
        <v>1278.2575912580435</v>
      </c>
      <c r="G61" s="9">
        <v>100</v>
      </c>
      <c r="H61" s="24"/>
      <c r="I61" s="9">
        <v>887.64420418930536</v>
      </c>
      <c r="K61" s="68"/>
      <c r="L61" s="68"/>
    </row>
    <row r="62" spans="2:12">
      <c r="B62" s="6"/>
      <c r="C62" s="6" t="s">
        <v>384</v>
      </c>
      <c r="D62" s="16" t="s">
        <v>23</v>
      </c>
      <c r="E62" s="20" t="s">
        <v>235</v>
      </c>
      <c r="F62" s="7">
        <v>1197.1633634261677</v>
      </c>
      <c r="G62" s="7">
        <v>93.655877470513289</v>
      </c>
      <c r="H62" s="3"/>
      <c r="I62" s="7"/>
      <c r="K62" s="68"/>
      <c r="L62" s="68"/>
    </row>
    <row r="63" spans="2:12">
      <c r="B63" s="8" t="s">
        <v>141</v>
      </c>
      <c r="C63" s="8" t="s">
        <v>385</v>
      </c>
      <c r="D63" s="15" t="s">
        <v>524</v>
      </c>
      <c r="E63" s="19"/>
      <c r="F63" s="9">
        <v>1479.2910295382881</v>
      </c>
      <c r="G63" s="9">
        <v>100</v>
      </c>
      <c r="H63" s="24"/>
      <c r="I63" s="9">
        <v>663.74588733255064</v>
      </c>
      <c r="K63" s="68"/>
      <c r="L63" s="68"/>
    </row>
    <row r="64" spans="2:12">
      <c r="B64" s="4"/>
      <c r="C64" s="4" t="s">
        <v>385</v>
      </c>
      <c r="D64" s="17" t="s">
        <v>189</v>
      </c>
      <c r="E64" s="21" t="s">
        <v>236</v>
      </c>
      <c r="F64" s="5">
        <v>1007.6244232318724</v>
      </c>
      <c r="G64" s="5">
        <v>68.115360879756651</v>
      </c>
      <c r="H64" s="3"/>
      <c r="I64" s="5"/>
      <c r="K64" s="68"/>
      <c r="L64" s="68"/>
    </row>
    <row r="65" spans="2:12">
      <c r="B65" s="6"/>
      <c r="C65" s="6" t="s">
        <v>385</v>
      </c>
      <c r="D65" s="16" t="s">
        <v>23</v>
      </c>
      <c r="E65" s="20" t="s">
        <v>235</v>
      </c>
      <c r="F65" s="7">
        <v>468.86844162036266</v>
      </c>
      <c r="G65" s="7">
        <v>31.695483326678758</v>
      </c>
      <c r="H65" s="3"/>
      <c r="I65" s="7"/>
      <c r="K65" s="68"/>
      <c r="L65" s="68"/>
    </row>
    <row r="66" spans="2:12">
      <c r="B66" s="10" t="s">
        <v>144</v>
      </c>
      <c r="C66" s="11" t="s">
        <v>145</v>
      </c>
      <c r="D66" s="11"/>
      <c r="E66" s="11"/>
      <c r="F66" s="12">
        <v>6554.1962479671583</v>
      </c>
      <c r="G66" s="23"/>
      <c r="H66" s="3"/>
      <c r="I66" s="67">
        <v>3817.7682023020543</v>
      </c>
      <c r="K66" s="68"/>
      <c r="L66" s="68"/>
    </row>
    <row r="67" spans="2:12">
      <c r="B67" s="8" t="s">
        <v>144</v>
      </c>
      <c r="C67" s="8" t="s">
        <v>386</v>
      </c>
      <c r="D67" s="15" t="s">
        <v>525</v>
      </c>
      <c r="E67" s="19"/>
      <c r="F67" s="9">
        <v>1817.0748955332499</v>
      </c>
      <c r="G67" s="9">
        <v>100</v>
      </c>
      <c r="H67" s="24"/>
      <c r="I67" s="9">
        <v>725.63269397783802</v>
      </c>
      <c r="K67" s="68"/>
      <c r="L67" s="68"/>
    </row>
    <row r="68" spans="2:12">
      <c r="B68" s="4"/>
      <c r="C68" s="4" t="s">
        <v>386</v>
      </c>
      <c r="D68" s="17" t="s">
        <v>24</v>
      </c>
      <c r="E68" s="21" t="s">
        <v>238</v>
      </c>
      <c r="F68" s="5">
        <v>886.39914362972036</v>
      </c>
      <c r="G68" s="5">
        <v>48.781651532838566</v>
      </c>
      <c r="H68" s="3"/>
      <c r="I68" s="5"/>
      <c r="K68" s="68"/>
      <c r="L68" s="68"/>
    </row>
    <row r="69" spans="2:12">
      <c r="B69" s="6"/>
      <c r="C69" s="6" t="s">
        <v>386</v>
      </c>
      <c r="D69" s="16" t="s">
        <v>60</v>
      </c>
      <c r="E69" s="20" t="s">
        <v>281</v>
      </c>
      <c r="F69" s="7">
        <v>624.27086089414809</v>
      </c>
      <c r="G69" s="7">
        <v>34.355813424572453</v>
      </c>
      <c r="H69" s="3"/>
      <c r="I69" s="7"/>
      <c r="K69" s="68"/>
      <c r="L69" s="68"/>
    </row>
    <row r="70" spans="2:12">
      <c r="B70" s="8" t="s">
        <v>144</v>
      </c>
      <c r="C70" s="8" t="s">
        <v>387</v>
      </c>
      <c r="D70" s="15" t="s">
        <v>526</v>
      </c>
      <c r="E70" s="19"/>
      <c r="F70" s="9">
        <v>407.02901192583693</v>
      </c>
      <c r="G70" s="9">
        <v>100</v>
      </c>
      <c r="H70" s="24"/>
      <c r="I70" s="9">
        <v>274.66824678092547</v>
      </c>
      <c r="K70" s="68"/>
      <c r="L70" s="68"/>
    </row>
    <row r="71" spans="2:12">
      <c r="B71" s="4"/>
      <c r="C71" s="4" t="s">
        <v>387</v>
      </c>
      <c r="D71" s="17" t="s">
        <v>25</v>
      </c>
      <c r="E71" s="21" t="s">
        <v>239</v>
      </c>
      <c r="F71" s="5">
        <v>260.00880420686212</v>
      </c>
      <c r="G71" s="5">
        <v>63.879673583129559</v>
      </c>
      <c r="H71" s="3"/>
      <c r="I71" s="5"/>
      <c r="K71" s="68"/>
      <c r="L71" s="68"/>
    </row>
    <row r="72" spans="2:12">
      <c r="B72" s="6"/>
      <c r="C72" s="6" t="s">
        <v>387</v>
      </c>
      <c r="D72" s="16" t="s">
        <v>115</v>
      </c>
      <c r="E72" s="20" t="s">
        <v>337</v>
      </c>
      <c r="F72" s="7">
        <v>147.02020771897477</v>
      </c>
      <c r="G72" s="7">
        <v>36.120326416870427</v>
      </c>
      <c r="H72" s="3"/>
      <c r="I72" s="7"/>
      <c r="K72" s="68"/>
      <c r="L72" s="68"/>
    </row>
    <row r="73" spans="2:12">
      <c r="B73" s="8" t="s">
        <v>144</v>
      </c>
      <c r="C73" s="8" t="s">
        <v>388</v>
      </c>
      <c r="D73" s="15" t="s">
        <v>527</v>
      </c>
      <c r="E73" s="19"/>
      <c r="F73" s="9">
        <v>3889.9129666214349</v>
      </c>
      <c r="G73" s="9">
        <v>100</v>
      </c>
      <c r="H73" s="24"/>
      <c r="I73" s="9">
        <v>2517.0852251005726</v>
      </c>
      <c r="K73" s="68"/>
      <c r="L73" s="68"/>
    </row>
    <row r="74" spans="2:12">
      <c r="B74" s="6"/>
      <c r="C74" s="6" t="s">
        <v>388</v>
      </c>
      <c r="D74" s="16" t="s">
        <v>26</v>
      </c>
      <c r="E74" s="20" t="s">
        <v>240</v>
      </c>
      <c r="F74" s="7">
        <v>3850.098728237308</v>
      </c>
      <c r="G74" s="7">
        <v>98.97647482795206</v>
      </c>
      <c r="H74" s="3"/>
      <c r="I74" s="7"/>
      <c r="K74" s="68"/>
      <c r="L74" s="68"/>
    </row>
    <row r="75" spans="2:12">
      <c r="B75" s="8" t="s">
        <v>144</v>
      </c>
      <c r="C75" s="8" t="s">
        <v>389</v>
      </c>
      <c r="D75" s="15" t="s">
        <v>528</v>
      </c>
      <c r="E75" s="19"/>
      <c r="F75" s="9">
        <v>423.42441995878255</v>
      </c>
      <c r="G75" s="9">
        <v>100</v>
      </c>
      <c r="H75" s="24"/>
      <c r="I75" s="9">
        <v>293.3721924993074</v>
      </c>
      <c r="K75" s="68"/>
      <c r="L75" s="68"/>
    </row>
    <row r="76" spans="2:12">
      <c r="B76" s="4"/>
      <c r="C76" s="4" t="s">
        <v>389</v>
      </c>
      <c r="D76" s="17" t="s">
        <v>28</v>
      </c>
      <c r="E76" s="21" t="s">
        <v>241</v>
      </c>
      <c r="F76" s="5">
        <v>261.786872011995</v>
      </c>
      <c r="G76" s="5">
        <v>61.826115753427288</v>
      </c>
      <c r="H76" s="3"/>
      <c r="I76" s="5"/>
      <c r="K76" s="68"/>
      <c r="L76" s="68"/>
    </row>
    <row r="77" spans="2:12">
      <c r="B77" s="6"/>
      <c r="C77" s="6" t="s">
        <v>389</v>
      </c>
      <c r="D77" s="16" t="s">
        <v>27</v>
      </c>
      <c r="E77" s="20" t="s">
        <v>242</v>
      </c>
      <c r="F77" s="7">
        <v>153.62258676359377</v>
      </c>
      <c r="G77" s="7">
        <v>36.280993613582297</v>
      </c>
      <c r="H77" s="3"/>
      <c r="I77" s="7"/>
      <c r="K77" s="68"/>
      <c r="L77" s="68"/>
    </row>
    <row r="78" spans="2:12">
      <c r="B78" s="8" t="s">
        <v>144</v>
      </c>
      <c r="C78" s="8" t="s">
        <v>390</v>
      </c>
      <c r="D78" s="15" t="s">
        <v>529</v>
      </c>
      <c r="E78" s="19"/>
      <c r="F78" s="9">
        <v>16.754953927853482</v>
      </c>
      <c r="G78" s="9">
        <v>100</v>
      </c>
      <c r="H78" s="24"/>
      <c r="I78" s="9">
        <v>7.0098439434108677</v>
      </c>
      <c r="K78" s="68"/>
      <c r="L78" s="68"/>
    </row>
    <row r="79" spans="2:12">
      <c r="B79" s="6"/>
      <c r="C79" s="6" t="s">
        <v>390</v>
      </c>
      <c r="D79" s="16" t="s">
        <v>29</v>
      </c>
      <c r="E79" s="20" t="s">
        <v>243</v>
      </c>
      <c r="F79" s="7">
        <v>16.579154712050691</v>
      </c>
      <c r="G79" s="7">
        <v>98.950762762107374</v>
      </c>
      <c r="H79" s="3"/>
      <c r="I79" s="7"/>
      <c r="K79" s="68"/>
      <c r="L79" s="68"/>
    </row>
    <row r="80" spans="2:12">
      <c r="B80" s="10" t="s">
        <v>142</v>
      </c>
      <c r="C80" s="11" t="s">
        <v>146</v>
      </c>
      <c r="D80" s="11"/>
      <c r="E80" s="11"/>
      <c r="F80" s="12">
        <v>300555.92823312257</v>
      </c>
      <c r="G80" s="23"/>
      <c r="H80" s="3"/>
      <c r="I80" s="67">
        <v>114528.6785629721</v>
      </c>
      <c r="K80" s="68"/>
      <c r="L80" s="68"/>
    </row>
    <row r="81" spans="2:12">
      <c r="B81" s="8" t="s">
        <v>142</v>
      </c>
      <c r="C81" s="8" t="s">
        <v>391</v>
      </c>
      <c r="D81" s="15" t="s">
        <v>530</v>
      </c>
      <c r="E81" s="19"/>
      <c r="F81" s="9">
        <v>10458.774867242491</v>
      </c>
      <c r="G81" s="9">
        <v>100</v>
      </c>
      <c r="H81" s="24"/>
      <c r="I81" s="9">
        <v>2643.0858752501417</v>
      </c>
      <c r="J81" s="69">
        <f>I81/$I$80</f>
        <v>2.3077939153876428E-2</v>
      </c>
      <c r="K81" s="68"/>
      <c r="L81" s="68"/>
    </row>
    <row r="82" spans="2:12">
      <c r="B82" s="6"/>
      <c r="C82" s="6" t="s">
        <v>391</v>
      </c>
      <c r="D82" s="16" t="s">
        <v>30</v>
      </c>
      <c r="E82" s="20" t="s">
        <v>244</v>
      </c>
      <c r="F82" s="7">
        <v>10035.108759903724</v>
      </c>
      <c r="G82" s="7">
        <v>95.949180351269291</v>
      </c>
      <c r="H82" s="3"/>
      <c r="I82" s="7"/>
      <c r="K82" s="68"/>
      <c r="L82" s="68"/>
    </row>
    <row r="83" spans="2:12">
      <c r="B83" s="8" t="s">
        <v>142</v>
      </c>
      <c r="C83" s="8" t="s">
        <v>392</v>
      </c>
      <c r="D83" s="15" t="s">
        <v>531</v>
      </c>
      <c r="E83" s="19"/>
      <c r="F83" s="9">
        <v>2605.0246286796928</v>
      </c>
      <c r="G83" s="9">
        <v>100</v>
      </c>
      <c r="H83" s="24"/>
      <c r="I83" s="9">
        <v>741.48976583203807</v>
      </c>
      <c r="J83" s="69">
        <f>I83/$I$80</f>
        <v>6.4742715548258035E-3</v>
      </c>
      <c r="K83" s="68"/>
      <c r="L83" s="68"/>
    </row>
    <row r="84" spans="2:12">
      <c r="B84" s="4"/>
      <c r="C84" s="4" t="s">
        <v>392</v>
      </c>
      <c r="D84" s="17" t="s">
        <v>31</v>
      </c>
      <c r="E84" s="21" t="s">
        <v>245</v>
      </c>
      <c r="F84" s="5">
        <v>2016.1159928184436</v>
      </c>
      <c r="G84" s="5">
        <v>77.393356309275035</v>
      </c>
      <c r="H84" s="3"/>
      <c r="I84" s="5"/>
      <c r="K84" s="68"/>
      <c r="L84" s="68"/>
    </row>
    <row r="85" spans="2:12">
      <c r="B85" s="6"/>
      <c r="C85" s="6" t="s">
        <v>392</v>
      </c>
      <c r="D85" s="16" t="s">
        <v>33</v>
      </c>
      <c r="E85" s="20" t="s">
        <v>247</v>
      </c>
      <c r="F85" s="7">
        <v>252.08291996724296</v>
      </c>
      <c r="G85" s="7">
        <v>9.676796034554437</v>
      </c>
      <c r="H85" s="3"/>
      <c r="I85" s="7"/>
      <c r="K85" s="68"/>
      <c r="L85" s="68"/>
    </row>
    <row r="86" spans="2:12">
      <c r="B86" s="8" t="s">
        <v>142</v>
      </c>
      <c r="C86" s="8" t="s">
        <v>393</v>
      </c>
      <c r="D86" s="15" t="s">
        <v>532</v>
      </c>
      <c r="E86" s="19"/>
      <c r="F86" s="9">
        <v>15467.354112619556</v>
      </c>
      <c r="G86" s="9">
        <v>100</v>
      </c>
      <c r="H86" s="24"/>
      <c r="I86" s="9">
        <v>4111.6386304293628</v>
      </c>
      <c r="J86" s="69">
        <f>I86/$I$80</f>
        <v>3.5900515766176699E-2</v>
      </c>
      <c r="K86" s="68"/>
      <c r="L86" s="68"/>
    </row>
    <row r="87" spans="2:12">
      <c r="B87" s="6"/>
      <c r="C87" s="6" t="s">
        <v>393</v>
      </c>
      <c r="D87" s="16" t="s">
        <v>32</v>
      </c>
      <c r="E87" s="20" t="s">
        <v>246</v>
      </c>
      <c r="F87" s="7">
        <v>14776.508817615611</v>
      </c>
      <c r="G87" s="7">
        <v>95.53352635509718</v>
      </c>
      <c r="H87" s="3"/>
      <c r="I87" s="7"/>
      <c r="K87" s="68"/>
      <c r="L87" s="68"/>
    </row>
    <row r="88" spans="2:12">
      <c r="B88" s="8" t="s">
        <v>142</v>
      </c>
      <c r="C88" s="8" t="s">
        <v>394</v>
      </c>
      <c r="D88" s="15" t="s">
        <v>533</v>
      </c>
      <c r="E88" s="19"/>
      <c r="F88" s="9">
        <v>4078.4025906722313</v>
      </c>
      <c r="G88" s="9">
        <v>100</v>
      </c>
      <c r="H88" s="24"/>
      <c r="I88" s="9">
        <v>1292.2178225945913</v>
      </c>
      <c r="J88" s="69">
        <f>I88/$I$80</f>
        <v>1.1282919167569738E-2</v>
      </c>
      <c r="K88" s="68"/>
      <c r="L88" s="68"/>
    </row>
    <row r="89" spans="2:12">
      <c r="B89" s="6"/>
      <c r="C89" s="6" t="s">
        <v>394</v>
      </c>
      <c r="D89" s="16" t="s">
        <v>33</v>
      </c>
      <c r="E89" s="20" t="s">
        <v>247</v>
      </c>
      <c r="F89" s="7">
        <v>3855.8572331740447</v>
      </c>
      <c r="G89" s="7">
        <v>94.543320514576635</v>
      </c>
      <c r="H89" s="3"/>
      <c r="I89" s="7"/>
      <c r="K89" s="68"/>
      <c r="L89" s="68"/>
    </row>
    <row r="90" spans="2:12">
      <c r="B90" s="8" t="s">
        <v>142</v>
      </c>
      <c r="C90" s="8" t="s">
        <v>395</v>
      </c>
      <c r="D90" s="15" t="s">
        <v>534</v>
      </c>
      <c r="E90" s="19"/>
      <c r="F90" s="9">
        <v>1035.5424602904484</v>
      </c>
      <c r="G90" s="9">
        <v>100</v>
      </c>
      <c r="H90" s="24"/>
      <c r="I90" s="9">
        <v>206.78165859374337</v>
      </c>
      <c r="J90" s="69">
        <f>I90/$I$80</f>
        <v>1.8055011302697183E-3</v>
      </c>
      <c r="K90" s="68"/>
      <c r="L90" s="68"/>
    </row>
    <row r="91" spans="2:12">
      <c r="B91" s="4"/>
      <c r="C91" s="4" t="s">
        <v>395</v>
      </c>
      <c r="D91" s="17" t="s">
        <v>190</v>
      </c>
      <c r="E91" s="21" t="s">
        <v>516</v>
      </c>
      <c r="F91" s="5">
        <v>535.86857365048127</v>
      </c>
      <c r="G91" s="5">
        <v>51.747619648563827</v>
      </c>
      <c r="H91" s="3"/>
      <c r="I91" s="5"/>
      <c r="K91" s="68"/>
      <c r="L91" s="68"/>
    </row>
    <row r="92" spans="2:12">
      <c r="B92" s="6"/>
      <c r="C92" s="6" t="s">
        <v>395</v>
      </c>
      <c r="D92" s="16" t="s">
        <v>34</v>
      </c>
      <c r="E92" s="20" t="s">
        <v>248</v>
      </c>
      <c r="F92" s="7">
        <v>496.99620792911037</v>
      </c>
      <c r="G92" s="7">
        <v>47.993802957119996</v>
      </c>
      <c r="H92" s="3"/>
      <c r="I92" s="7"/>
      <c r="K92" s="68"/>
      <c r="L92" s="68"/>
    </row>
    <row r="93" spans="2:12">
      <c r="B93" s="8" t="s">
        <v>142</v>
      </c>
      <c r="C93" s="8" t="s">
        <v>396</v>
      </c>
      <c r="D93" s="15" t="s">
        <v>535</v>
      </c>
      <c r="E93" s="19"/>
      <c r="F93" s="9">
        <v>6290.546750713248</v>
      </c>
      <c r="G93" s="9">
        <v>100</v>
      </c>
      <c r="H93" s="24"/>
      <c r="I93" s="9">
        <v>1807.0938788287649</v>
      </c>
      <c r="J93" s="69">
        <f>I93/$I$80</f>
        <v>1.5778527278083959E-2</v>
      </c>
      <c r="K93" s="68"/>
      <c r="L93" s="68"/>
    </row>
    <row r="94" spans="2:12">
      <c r="B94" s="4"/>
      <c r="C94" s="4" t="s">
        <v>396</v>
      </c>
      <c r="D94" s="17" t="s">
        <v>191</v>
      </c>
      <c r="E94" s="21" t="s">
        <v>250</v>
      </c>
      <c r="F94" s="5">
        <v>2120.4018352529865</v>
      </c>
      <c r="G94" s="5">
        <v>33.707750999745237</v>
      </c>
      <c r="H94" s="3"/>
      <c r="I94" s="5"/>
      <c r="K94" s="68"/>
      <c r="L94" s="68"/>
    </row>
    <row r="95" spans="2:12">
      <c r="B95" s="4"/>
      <c r="C95" s="4" t="s">
        <v>396</v>
      </c>
      <c r="D95" s="17" t="s">
        <v>35</v>
      </c>
      <c r="E95" s="21" t="s">
        <v>249</v>
      </c>
      <c r="F95" s="5">
        <v>1449.3081867202857</v>
      </c>
      <c r="G95" s="5">
        <v>23.039462929926675</v>
      </c>
      <c r="H95" s="3"/>
      <c r="I95" s="5"/>
      <c r="K95" s="68"/>
      <c r="L95" s="68"/>
    </row>
    <row r="96" spans="2:12">
      <c r="B96" s="4"/>
      <c r="C96" s="4" t="s">
        <v>396</v>
      </c>
      <c r="D96" s="17" t="s">
        <v>192</v>
      </c>
      <c r="E96" s="21" t="s">
        <v>517</v>
      </c>
      <c r="F96" s="5">
        <v>1134.6379912797011</v>
      </c>
      <c r="G96" s="5">
        <v>18.037191936472791</v>
      </c>
      <c r="H96" s="3"/>
      <c r="I96" s="5"/>
      <c r="K96" s="68"/>
      <c r="L96" s="68"/>
    </row>
    <row r="97" spans="2:12">
      <c r="B97" s="6"/>
      <c r="C97" s="6" t="s">
        <v>396</v>
      </c>
      <c r="D97" s="16" t="s">
        <v>48</v>
      </c>
      <c r="E97" s="20" t="s">
        <v>268</v>
      </c>
      <c r="F97" s="7">
        <v>731.76903177516169</v>
      </c>
      <c r="G97" s="7">
        <v>11.632836711565504</v>
      </c>
      <c r="H97" s="3"/>
      <c r="I97" s="7"/>
      <c r="K97" s="68"/>
      <c r="L97" s="68"/>
    </row>
    <row r="98" spans="2:12">
      <c r="B98" s="8" t="s">
        <v>142</v>
      </c>
      <c r="C98" s="8" t="s">
        <v>398</v>
      </c>
      <c r="D98" s="15" t="s">
        <v>536</v>
      </c>
      <c r="E98" s="19"/>
      <c r="F98" s="9">
        <v>15643.131228180451</v>
      </c>
      <c r="G98" s="9">
        <v>100</v>
      </c>
      <c r="H98" s="24"/>
      <c r="I98" s="9">
        <v>5985.5239503518715</v>
      </c>
      <c r="J98" s="69">
        <f>I98/$I$80</f>
        <v>5.2262228338387832E-2</v>
      </c>
      <c r="K98" s="68"/>
      <c r="L98" s="68"/>
    </row>
    <row r="99" spans="2:12">
      <c r="B99" s="6"/>
      <c r="C99" s="6" t="s">
        <v>398</v>
      </c>
      <c r="D99" s="16" t="s">
        <v>193</v>
      </c>
      <c r="E99" s="20" t="s">
        <v>251</v>
      </c>
      <c r="F99" s="7">
        <v>12582.036219753147</v>
      </c>
      <c r="G99" s="7">
        <v>80.431698975248196</v>
      </c>
      <c r="H99" s="3"/>
      <c r="I99" s="7"/>
      <c r="K99" s="68"/>
      <c r="L99" s="68"/>
    </row>
    <row r="100" spans="2:12">
      <c r="B100" s="8" t="s">
        <v>142</v>
      </c>
      <c r="C100" s="8" t="s">
        <v>399</v>
      </c>
      <c r="D100" s="15" t="s">
        <v>537</v>
      </c>
      <c r="E100" s="19"/>
      <c r="F100" s="9">
        <v>5704.068465810009</v>
      </c>
      <c r="G100" s="9">
        <v>100</v>
      </c>
      <c r="H100" s="24"/>
      <c r="I100" s="9">
        <v>2423.5002888761296</v>
      </c>
      <c r="J100" s="69">
        <f>I100/$I$80</f>
        <v>2.1160641328307996E-2</v>
      </c>
      <c r="K100" s="68"/>
      <c r="L100" s="68"/>
    </row>
    <row r="101" spans="2:12">
      <c r="B101" s="4"/>
      <c r="C101" s="4" t="s">
        <v>399</v>
      </c>
      <c r="D101" s="17" t="s">
        <v>194</v>
      </c>
      <c r="E101" s="21" t="s">
        <v>253</v>
      </c>
      <c r="F101" s="5">
        <v>3833.6388060677555</v>
      </c>
      <c r="G101" s="5">
        <v>67.208849771815593</v>
      </c>
      <c r="H101" s="3"/>
      <c r="I101" s="5"/>
      <c r="K101" s="68"/>
      <c r="L101" s="68"/>
    </row>
    <row r="102" spans="2:12">
      <c r="B102" s="6"/>
      <c r="C102" s="6" t="s">
        <v>399</v>
      </c>
      <c r="D102" s="16" t="s">
        <v>36</v>
      </c>
      <c r="E102" s="20" t="s">
        <v>252</v>
      </c>
      <c r="F102" s="7">
        <v>1815.5238904066593</v>
      </c>
      <c r="G102" s="7">
        <v>31.828578168176758</v>
      </c>
      <c r="H102" s="3"/>
      <c r="I102" s="7"/>
      <c r="K102" s="68"/>
      <c r="L102" s="68"/>
    </row>
    <row r="103" spans="2:12">
      <c r="B103" s="8" t="s">
        <v>142</v>
      </c>
      <c r="C103" s="8" t="s">
        <v>400</v>
      </c>
      <c r="D103" s="15" t="s">
        <v>538</v>
      </c>
      <c r="E103" s="19"/>
      <c r="F103" s="9">
        <v>4078.0056753200997</v>
      </c>
      <c r="G103" s="9">
        <v>100</v>
      </c>
      <c r="H103" s="24"/>
      <c r="I103" s="9">
        <v>1353.0552302349697</v>
      </c>
      <c r="J103" s="69">
        <f>I103/$I$80</f>
        <v>1.181411719066513E-2</v>
      </c>
      <c r="K103" s="68"/>
      <c r="L103" s="68"/>
    </row>
    <row r="104" spans="2:12">
      <c r="B104" s="6"/>
      <c r="C104" s="6" t="s">
        <v>400</v>
      </c>
      <c r="D104" s="16" t="s">
        <v>37</v>
      </c>
      <c r="E104" s="20" t="s">
        <v>254</v>
      </c>
      <c r="F104" s="7">
        <v>3554.1725279777665</v>
      </c>
      <c r="G104" s="7">
        <v>87.154673410276331</v>
      </c>
      <c r="H104" s="3"/>
      <c r="I104" s="7"/>
      <c r="K104" s="68"/>
      <c r="L104" s="68"/>
    </row>
    <row r="105" spans="2:12">
      <c r="B105" s="8" t="s">
        <v>142</v>
      </c>
      <c r="C105" s="8" t="s">
        <v>401</v>
      </c>
      <c r="D105" s="15" t="s">
        <v>539</v>
      </c>
      <c r="E105" s="19"/>
      <c r="F105" s="9">
        <v>1694.4916509209452</v>
      </c>
      <c r="G105" s="9">
        <v>100</v>
      </c>
      <c r="H105" s="24"/>
      <c r="I105" s="9">
        <v>886.72013398030901</v>
      </c>
      <c r="J105" s="69">
        <f>I105/$I$80</f>
        <v>7.7423414388978345E-3</v>
      </c>
      <c r="K105" s="68"/>
      <c r="L105" s="68"/>
    </row>
    <row r="106" spans="2:12">
      <c r="B106" s="4"/>
      <c r="C106" s="4" t="s">
        <v>401</v>
      </c>
      <c r="D106" s="17" t="s">
        <v>38</v>
      </c>
      <c r="E106" s="21" t="s">
        <v>255</v>
      </c>
      <c r="F106" s="5">
        <v>1085.1922089046941</v>
      </c>
      <c r="G106" s="5">
        <v>64.042346170009111</v>
      </c>
      <c r="H106" s="3"/>
      <c r="I106" s="5"/>
      <c r="K106" s="68"/>
      <c r="L106" s="68"/>
    </row>
    <row r="107" spans="2:12">
      <c r="B107" s="6"/>
      <c r="C107" s="6" t="s">
        <v>401</v>
      </c>
      <c r="D107" s="16" t="s">
        <v>39</v>
      </c>
      <c r="E107" s="20" t="s">
        <v>256</v>
      </c>
      <c r="F107" s="7">
        <v>424.9214807025545</v>
      </c>
      <c r="G107" s="7">
        <v>25.076634663358327</v>
      </c>
      <c r="H107" s="3"/>
      <c r="I107" s="7"/>
      <c r="K107" s="68"/>
      <c r="L107" s="68"/>
    </row>
    <row r="108" spans="2:12">
      <c r="B108" s="8" t="s">
        <v>142</v>
      </c>
      <c r="C108" s="8" t="s">
        <v>402</v>
      </c>
      <c r="D108" s="15" t="s">
        <v>540</v>
      </c>
      <c r="E108" s="19"/>
      <c r="F108" s="9">
        <v>2608.9432924843286</v>
      </c>
      <c r="G108" s="9">
        <v>100</v>
      </c>
      <c r="H108" s="24"/>
      <c r="I108" s="9">
        <v>1103.8416878583516</v>
      </c>
      <c r="J108" s="69">
        <f>I108/$I$80</f>
        <v>9.6381247187045712E-3</v>
      </c>
      <c r="K108" s="68"/>
      <c r="L108" s="68"/>
    </row>
    <row r="109" spans="2:12">
      <c r="B109" s="4"/>
      <c r="C109" s="4" t="s">
        <v>402</v>
      </c>
      <c r="D109" s="17" t="s">
        <v>39</v>
      </c>
      <c r="E109" s="21" t="s">
        <v>256</v>
      </c>
      <c r="F109" s="5">
        <v>1992.2121579562902</v>
      </c>
      <c r="G109" s="5">
        <v>76.36088387567959</v>
      </c>
      <c r="H109" s="3"/>
      <c r="I109" s="5"/>
      <c r="K109" s="68"/>
      <c r="L109" s="68"/>
    </row>
    <row r="110" spans="2:12">
      <c r="B110" s="6"/>
      <c r="C110" s="6" t="s">
        <v>402</v>
      </c>
      <c r="D110" s="16" t="s">
        <v>197</v>
      </c>
      <c r="E110" s="20" t="s">
        <v>263</v>
      </c>
      <c r="F110" s="7">
        <v>367.22096486407884</v>
      </c>
      <c r="G110" s="7">
        <v>14.075467486086982</v>
      </c>
      <c r="H110" s="3"/>
      <c r="I110" s="7"/>
      <c r="K110" s="68"/>
      <c r="L110" s="68"/>
    </row>
    <row r="111" spans="2:12">
      <c r="B111" s="8" t="s">
        <v>142</v>
      </c>
      <c r="C111" s="8" t="s">
        <v>403</v>
      </c>
      <c r="D111" s="15" t="s">
        <v>541</v>
      </c>
      <c r="E111" s="19"/>
      <c r="F111" s="9">
        <v>2299.0025424509777</v>
      </c>
      <c r="G111" s="9">
        <v>100</v>
      </c>
      <c r="H111" s="24"/>
      <c r="I111" s="9">
        <v>1371.7754943576977</v>
      </c>
      <c r="J111" s="69">
        <f>I111/$I$80</f>
        <v>1.1977572007027435E-2</v>
      </c>
      <c r="K111" s="68"/>
      <c r="L111" s="68"/>
    </row>
    <row r="112" spans="2:12">
      <c r="B112" s="6"/>
      <c r="C112" s="6" t="s">
        <v>403</v>
      </c>
      <c r="D112" s="16" t="s">
        <v>51</v>
      </c>
      <c r="E112" s="20" t="s">
        <v>308</v>
      </c>
      <c r="F112" s="7">
        <v>2226.3365158993074</v>
      </c>
      <c r="G112" s="7">
        <v>96.839236790308163</v>
      </c>
      <c r="H112" s="3"/>
      <c r="I112" s="7"/>
      <c r="K112" s="68"/>
      <c r="L112" s="68"/>
    </row>
    <row r="113" spans="2:12">
      <c r="B113" s="8" t="s">
        <v>142</v>
      </c>
      <c r="C113" s="8" t="s">
        <v>404</v>
      </c>
      <c r="D113" s="15" t="s">
        <v>542</v>
      </c>
      <c r="E113" s="19"/>
      <c r="F113" s="9">
        <v>13772.923954393016</v>
      </c>
      <c r="G113" s="9">
        <v>100</v>
      </c>
      <c r="H113" s="24"/>
      <c r="I113" s="9">
        <v>6438.0078180105111</v>
      </c>
      <c r="J113" s="69">
        <f>I113/$I$80</f>
        <v>5.6213062953229281E-2</v>
      </c>
      <c r="K113" s="68"/>
      <c r="L113" s="68"/>
    </row>
    <row r="114" spans="2:12">
      <c r="B114" s="4"/>
      <c r="C114" s="4" t="s">
        <v>404</v>
      </c>
      <c r="D114" s="17" t="s">
        <v>40</v>
      </c>
      <c r="E114" s="21" t="s">
        <v>257</v>
      </c>
      <c r="F114" s="5">
        <v>10902.946074816435</v>
      </c>
      <c r="G114" s="5">
        <v>79.162174356875241</v>
      </c>
      <c r="H114" s="3"/>
      <c r="I114" s="5"/>
      <c r="K114" s="68"/>
      <c r="L114" s="68"/>
    </row>
    <row r="115" spans="2:12">
      <c r="B115" s="6"/>
      <c r="C115" s="6" t="s">
        <v>404</v>
      </c>
      <c r="D115" s="16" t="s">
        <v>195</v>
      </c>
      <c r="E115" s="20" t="s">
        <v>258</v>
      </c>
      <c r="F115" s="7">
        <v>2681.7031074179308</v>
      </c>
      <c r="G115" s="7">
        <v>19.470833617451099</v>
      </c>
      <c r="H115" s="3"/>
      <c r="I115" s="7"/>
      <c r="K115" s="68"/>
      <c r="L115" s="68"/>
    </row>
    <row r="116" spans="2:12">
      <c r="B116" s="8" t="s">
        <v>142</v>
      </c>
      <c r="C116" s="8" t="s">
        <v>405</v>
      </c>
      <c r="D116" s="15" t="s">
        <v>543</v>
      </c>
      <c r="E116" s="19"/>
      <c r="F116" s="9">
        <v>11657.460935015724</v>
      </c>
      <c r="G116" s="9">
        <v>100</v>
      </c>
      <c r="H116" s="24"/>
      <c r="I116" s="9">
        <v>6276.0967575210734</v>
      </c>
      <c r="J116" s="69">
        <f>I116/$I$80</f>
        <v>5.4799346646353241E-2</v>
      </c>
      <c r="K116" s="68"/>
      <c r="L116" s="68"/>
    </row>
    <row r="117" spans="2:12">
      <c r="B117" s="6"/>
      <c r="C117" s="6" t="s">
        <v>405</v>
      </c>
      <c r="D117" s="16" t="s">
        <v>41</v>
      </c>
      <c r="E117" s="20" t="s">
        <v>259</v>
      </c>
      <c r="F117" s="7">
        <v>11596.061795543999</v>
      </c>
      <c r="G117" s="7">
        <v>99.473306067127368</v>
      </c>
      <c r="H117" s="3"/>
      <c r="I117" s="7"/>
      <c r="K117" s="68"/>
      <c r="L117" s="68"/>
    </row>
    <row r="118" spans="2:12">
      <c r="B118" s="8" t="s">
        <v>142</v>
      </c>
      <c r="C118" s="8" t="s">
        <v>406</v>
      </c>
      <c r="D118" s="15" t="s">
        <v>544</v>
      </c>
      <c r="E118" s="19"/>
      <c r="F118" s="9">
        <v>14046.281418581602</v>
      </c>
      <c r="G118" s="9">
        <v>100</v>
      </c>
      <c r="H118" s="24"/>
      <c r="I118" s="9">
        <v>4163.3266540507757</v>
      </c>
      <c r="J118" s="69">
        <f>I118/$I$80</f>
        <v>3.6351826514453539E-2</v>
      </c>
      <c r="K118" s="68"/>
      <c r="L118" s="68"/>
    </row>
    <row r="119" spans="2:12">
      <c r="B119" s="6"/>
      <c r="C119" s="6" t="s">
        <v>406</v>
      </c>
      <c r="D119" s="16" t="s">
        <v>196</v>
      </c>
      <c r="E119" s="20" t="s">
        <v>260</v>
      </c>
      <c r="F119" s="7">
        <v>12280.494592792595</v>
      </c>
      <c r="G119" s="7">
        <v>87.428795044266465</v>
      </c>
      <c r="H119" s="3"/>
      <c r="I119" s="7"/>
      <c r="K119" s="68"/>
      <c r="L119" s="68"/>
    </row>
    <row r="120" spans="2:12">
      <c r="B120" s="8" t="s">
        <v>142</v>
      </c>
      <c r="C120" s="8" t="s">
        <v>407</v>
      </c>
      <c r="D120" s="15" t="s">
        <v>545</v>
      </c>
      <c r="E120" s="19"/>
      <c r="F120" s="9">
        <v>2257.5409953114631</v>
      </c>
      <c r="G120" s="9">
        <v>100</v>
      </c>
      <c r="H120" s="24"/>
      <c r="I120" s="9">
        <v>773.3460901736164</v>
      </c>
      <c r="J120" s="69">
        <f>I120/$I$80</f>
        <v>6.7524230601194108E-3</v>
      </c>
      <c r="K120" s="68"/>
      <c r="L120" s="68"/>
    </row>
    <row r="121" spans="2:12">
      <c r="B121" s="6"/>
      <c r="C121" s="6" t="s">
        <v>407</v>
      </c>
      <c r="D121" s="16" t="s">
        <v>42</v>
      </c>
      <c r="E121" s="20" t="s">
        <v>261</v>
      </c>
      <c r="F121" s="7">
        <v>2056.9972923677001</v>
      </c>
      <c r="G121" s="7">
        <v>91.116719326016266</v>
      </c>
      <c r="H121" s="3"/>
      <c r="I121" s="7"/>
      <c r="K121" s="68"/>
      <c r="L121" s="68"/>
    </row>
    <row r="122" spans="2:12">
      <c r="B122" s="8" t="s">
        <v>142</v>
      </c>
      <c r="C122" s="8" t="s">
        <v>408</v>
      </c>
      <c r="D122" s="15" t="s">
        <v>546</v>
      </c>
      <c r="E122" s="19"/>
      <c r="F122" s="9">
        <v>1218.6848077550624</v>
      </c>
      <c r="G122" s="9">
        <v>100</v>
      </c>
      <c r="H122" s="24"/>
      <c r="I122" s="9">
        <v>549.84420616172156</v>
      </c>
      <c r="J122" s="69">
        <f>I122/$I$80</f>
        <v>4.8009303264544079E-3</v>
      </c>
      <c r="K122" s="68"/>
      <c r="L122" s="68"/>
    </row>
    <row r="123" spans="2:12">
      <c r="B123" s="6"/>
      <c r="C123" s="6" t="s">
        <v>408</v>
      </c>
      <c r="D123" s="16" t="s">
        <v>43</v>
      </c>
      <c r="E123" s="20" t="s">
        <v>262</v>
      </c>
      <c r="F123" s="7">
        <v>1163.3132093259583</v>
      </c>
      <c r="G123" s="7">
        <v>95.456446320102728</v>
      </c>
      <c r="H123" s="3"/>
      <c r="I123" s="7"/>
      <c r="K123" s="68"/>
      <c r="L123" s="68"/>
    </row>
    <row r="124" spans="2:12">
      <c r="B124" s="8" t="s">
        <v>142</v>
      </c>
      <c r="C124" s="8" t="s">
        <v>397</v>
      </c>
      <c r="D124" s="15" t="s">
        <v>547</v>
      </c>
      <c r="E124" s="19"/>
      <c r="F124" s="9">
        <v>9306.9636809697568</v>
      </c>
      <c r="G124" s="9">
        <v>100</v>
      </c>
      <c r="H124" s="24"/>
      <c r="I124" s="9">
        <v>4092.6624936139015</v>
      </c>
      <c r="J124" s="69">
        <f>I124/$I$80</f>
        <v>3.5734826813387223E-2</v>
      </c>
      <c r="K124" s="68"/>
      <c r="L124" s="68"/>
    </row>
    <row r="125" spans="2:12">
      <c r="B125" s="6"/>
      <c r="C125" s="6" t="s">
        <v>397</v>
      </c>
      <c r="D125" s="16" t="s">
        <v>197</v>
      </c>
      <c r="E125" s="20" t="s">
        <v>263</v>
      </c>
      <c r="F125" s="7">
        <v>8911.0524723613144</v>
      </c>
      <c r="G125" s="7">
        <v>95.74607549594316</v>
      </c>
      <c r="H125" s="3"/>
      <c r="I125" s="7"/>
      <c r="K125" s="68"/>
      <c r="L125" s="68"/>
    </row>
    <row r="126" spans="2:12">
      <c r="B126" s="8" t="s">
        <v>142</v>
      </c>
      <c r="C126" s="8" t="s">
        <v>409</v>
      </c>
      <c r="D126" s="15" t="s">
        <v>548</v>
      </c>
      <c r="E126" s="19"/>
      <c r="F126" s="9">
        <v>7523.7923091811699</v>
      </c>
      <c r="G126" s="9">
        <v>100</v>
      </c>
      <c r="H126" s="24"/>
      <c r="I126" s="9">
        <v>3087.1455844328711</v>
      </c>
      <c r="J126" s="69">
        <f>I126/$I$80</f>
        <v>2.6955218755409321E-2</v>
      </c>
      <c r="K126" s="68"/>
      <c r="L126" s="68"/>
    </row>
    <row r="127" spans="2:12">
      <c r="B127" s="6"/>
      <c r="C127" s="6" t="s">
        <v>409</v>
      </c>
      <c r="D127" s="16" t="s">
        <v>44</v>
      </c>
      <c r="E127" s="20" t="s">
        <v>264</v>
      </c>
      <c r="F127" s="7">
        <v>7429.9258803018492</v>
      </c>
      <c r="G127" s="7">
        <v>98.752405369234125</v>
      </c>
      <c r="H127" s="3"/>
      <c r="I127" s="7"/>
      <c r="K127" s="68"/>
      <c r="L127" s="68"/>
    </row>
    <row r="128" spans="2:12">
      <c r="B128" s="8" t="s">
        <v>142</v>
      </c>
      <c r="C128" s="8" t="s">
        <v>410</v>
      </c>
      <c r="D128" s="15" t="s">
        <v>549</v>
      </c>
      <c r="E128" s="19"/>
      <c r="F128" s="9">
        <v>879.39370169610845</v>
      </c>
      <c r="G128" s="9">
        <v>100</v>
      </c>
      <c r="H128" s="24"/>
      <c r="I128" s="9">
        <v>235.18880396910265</v>
      </c>
      <c r="J128" s="69">
        <f>I128/$I$80</f>
        <v>2.0535363449582381E-3</v>
      </c>
      <c r="K128" s="68"/>
      <c r="L128" s="68"/>
    </row>
    <row r="129" spans="2:12">
      <c r="B129" s="6"/>
      <c r="C129" s="6" t="s">
        <v>410</v>
      </c>
      <c r="D129" s="16" t="s">
        <v>45</v>
      </c>
      <c r="E129" s="20" t="s">
        <v>265</v>
      </c>
      <c r="F129" s="7">
        <v>803.48521515158154</v>
      </c>
      <c r="G129" s="7">
        <v>91.368088445696131</v>
      </c>
      <c r="H129" s="3"/>
      <c r="I129" s="7"/>
      <c r="K129" s="68"/>
      <c r="L129" s="68"/>
    </row>
    <row r="130" spans="2:12">
      <c r="B130" s="8" t="s">
        <v>142</v>
      </c>
      <c r="C130" s="8" t="s">
        <v>412</v>
      </c>
      <c r="D130" s="15" t="s">
        <v>550</v>
      </c>
      <c r="E130" s="19"/>
      <c r="F130" s="9">
        <v>38.215260484391642</v>
      </c>
      <c r="G130" s="9">
        <v>100</v>
      </c>
      <c r="H130" s="24"/>
      <c r="I130" s="9">
        <v>16.476814608366038</v>
      </c>
      <c r="J130" s="69">
        <f>I130/$I$80</f>
        <v>1.4386627712033258E-4</v>
      </c>
      <c r="K130" s="68"/>
      <c r="L130" s="68"/>
    </row>
    <row r="131" spans="2:12">
      <c r="B131" s="6"/>
      <c r="C131" s="6" t="s">
        <v>412</v>
      </c>
      <c r="D131" s="16" t="s">
        <v>46</v>
      </c>
      <c r="E131" s="20" t="s">
        <v>266</v>
      </c>
      <c r="F131" s="7">
        <v>35.10522907617964</v>
      </c>
      <c r="G131" s="7">
        <v>91.861807642310225</v>
      </c>
      <c r="H131" s="3"/>
      <c r="I131" s="7"/>
      <c r="K131" s="68"/>
      <c r="L131" s="68"/>
    </row>
    <row r="132" spans="2:12">
      <c r="B132" s="8" t="s">
        <v>142</v>
      </c>
      <c r="C132" s="8" t="s">
        <v>413</v>
      </c>
      <c r="D132" s="15" t="s">
        <v>551</v>
      </c>
      <c r="E132" s="19"/>
      <c r="F132" s="9">
        <v>3428.6402603418906</v>
      </c>
      <c r="G132" s="9">
        <v>100</v>
      </c>
      <c r="H132" s="24"/>
      <c r="I132" s="9">
        <v>937.93929040886724</v>
      </c>
      <c r="J132" s="69">
        <f>I132/$I$80</f>
        <v>8.1895583025796779E-3</v>
      </c>
      <c r="K132" s="68"/>
      <c r="L132" s="68"/>
    </row>
    <row r="133" spans="2:12">
      <c r="B133" s="4"/>
      <c r="C133" s="4" t="s">
        <v>413</v>
      </c>
      <c r="D133" s="17" t="s">
        <v>47</v>
      </c>
      <c r="E133" s="21" t="s">
        <v>267</v>
      </c>
      <c r="F133" s="5">
        <v>2998.2345878029055</v>
      </c>
      <c r="G133" s="5">
        <v>87.446753235754542</v>
      </c>
      <c r="H133" s="3"/>
      <c r="I133" s="5"/>
      <c r="K133" s="68"/>
      <c r="L133" s="68"/>
    </row>
    <row r="134" spans="2:12">
      <c r="B134" s="6"/>
      <c r="C134" s="6" t="s">
        <v>413</v>
      </c>
      <c r="D134" s="16" t="s">
        <v>92</v>
      </c>
      <c r="E134" s="20" t="s">
        <v>316</v>
      </c>
      <c r="F134" s="7">
        <v>329.23212490510099</v>
      </c>
      <c r="G134" s="7">
        <v>9.6024108657077729</v>
      </c>
      <c r="H134" s="3"/>
      <c r="I134" s="7"/>
      <c r="K134" s="68"/>
      <c r="L134" s="68"/>
    </row>
    <row r="135" spans="2:12">
      <c r="B135" s="8" t="s">
        <v>142</v>
      </c>
      <c r="C135" s="8" t="s">
        <v>414</v>
      </c>
      <c r="D135" s="15" t="s">
        <v>552</v>
      </c>
      <c r="E135" s="19"/>
      <c r="F135" s="9">
        <v>16590.236747271294</v>
      </c>
      <c r="G135" s="9">
        <v>100</v>
      </c>
      <c r="H135" s="24"/>
      <c r="I135" s="9">
        <v>4825.2400497649924</v>
      </c>
      <c r="J135" s="69">
        <f>I135/$I$80</f>
        <v>4.213128196630591E-2</v>
      </c>
      <c r="K135" s="68"/>
      <c r="L135" s="68"/>
    </row>
    <row r="136" spans="2:12">
      <c r="B136" s="6"/>
      <c r="C136" s="6" t="s">
        <v>414</v>
      </c>
      <c r="D136" s="16" t="s">
        <v>48</v>
      </c>
      <c r="E136" s="20" t="s">
        <v>268</v>
      </c>
      <c r="F136" s="7">
        <v>13464.372045382079</v>
      </c>
      <c r="G136" s="7">
        <v>81.158408107688118</v>
      </c>
      <c r="H136" s="3"/>
      <c r="I136" s="7"/>
      <c r="K136" s="68"/>
      <c r="L136" s="68"/>
    </row>
    <row r="137" spans="2:12">
      <c r="B137" s="8" t="s">
        <v>142</v>
      </c>
      <c r="C137" s="8" t="s">
        <v>415</v>
      </c>
      <c r="D137" s="15" t="s">
        <v>553</v>
      </c>
      <c r="E137" s="19"/>
      <c r="F137" s="9">
        <v>592.10473339875182</v>
      </c>
      <c r="G137" s="9">
        <v>100</v>
      </c>
      <c r="H137" s="24"/>
      <c r="I137" s="9">
        <v>188.62449576494731</v>
      </c>
      <c r="J137" s="69">
        <f>I137/$I$80</f>
        <v>1.6469629976673013E-3</v>
      </c>
      <c r="K137" s="68"/>
      <c r="L137" s="68"/>
    </row>
    <row r="138" spans="2:12">
      <c r="B138" s="6"/>
      <c r="C138" s="6" t="s">
        <v>415</v>
      </c>
      <c r="D138" s="16" t="s">
        <v>49</v>
      </c>
      <c r="E138" s="20" t="s">
        <v>269</v>
      </c>
      <c r="F138" s="7">
        <v>543.99873855699116</v>
      </c>
      <c r="G138" s="7">
        <v>91.875424713187726</v>
      </c>
      <c r="H138" s="3"/>
      <c r="I138" s="7"/>
      <c r="K138" s="68"/>
      <c r="L138" s="68"/>
    </row>
    <row r="139" spans="2:12">
      <c r="B139" s="8" t="s">
        <v>142</v>
      </c>
      <c r="C139" s="8" t="s">
        <v>416</v>
      </c>
      <c r="D139" s="15" t="s">
        <v>554</v>
      </c>
      <c r="E139" s="19"/>
      <c r="F139" s="9">
        <v>4025.3308073487096</v>
      </c>
      <c r="G139" s="9">
        <v>100</v>
      </c>
      <c r="H139" s="24"/>
      <c r="I139" s="9">
        <v>1178.792065701381</v>
      </c>
      <c r="J139" s="69">
        <f>I139/$I$80</f>
        <v>1.0292549259207926E-2</v>
      </c>
      <c r="K139" s="68"/>
      <c r="L139" s="68"/>
    </row>
    <row r="140" spans="2:12">
      <c r="B140" s="4"/>
      <c r="C140" s="4" t="s">
        <v>416</v>
      </c>
      <c r="D140" s="17" t="s">
        <v>50</v>
      </c>
      <c r="E140" s="21" t="s">
        <v>270</v>
      </c>
      <c r="F140" s="5">
        <v>3041.0786451123008</v>
      </c>
      <c r="G140" s="5">
        <v>75.548539751328221</v>
      </c>
      <c r="H140" s="3"/>
      <c r="I140" s="5"/>
      <c r="K140" s="68"/>
      <c r="L140" s="68"/>
    </row>
    <row r="141" spans="2:12">
      <c r="B141" s="6"/>
      <c r="C141" s="6" t="s">
        <v>416</v>
      </c>
      <c r="D141" s="16" t="s">
        <v>51</v>
      </c>
      <c r="E141" s="20" t="s">
        <v>308</v>
      </c>
      <c r="F141" s="7">
        <v>727.34211651231885</v>
      </c>
      <c r="G141" s="7">
        <v>18.069126522085373</v>
      </c>
      <c r="H141" s="3"/>
      <c r="I141" s="7"/>
      <c r="K141" s="68"/>
      <c r="L141" s="68"/>
    </row>
    <row r="142" spans="2:12">
      <c r="B142" s="8" t="s">
        <v>142</v>
      </c>
      <c r="C142" s="8" t="s">
        <v>417</v>
      </c>
      <c r="D142" s="15" t="s">
        <v>555</v>
      </c>
      <c r="E142" s="19"/>
      <c r="F142" s="9">
        <v>4462.3933199397816</v>
      </c>
      <c r="G142" s="9">
        <v>100</v>
      </c>
      <c r="H142" s="24"/>
      <c r="I142" s="9">
        <v>1891.3110325689245</v>
      </c>
      <c r="J142" s="69">
        <f>I142/$I$80</f>
        <v>1.6513864093254265E-2</v>
      </c>
      <c r="K142" s="68"/>
      <c r="L142" s="68"/>
    </row>
    <row r="143" spans="2:12">
      <c r="B143" s="6"/>
      <c r="C143" s="6" t="s">
        <v>417</v>
      </c>
      <c r="D143" s="16" t="s">
        <v>52</v>
      </c>
      <c r="E143" s="20" t="s">
        <v>271</v>
      </c>
      <c r="F143" s="7">
        <v>3868.8442420131305</v>
      </c>
      <c r="G143" s="7">
        <v>86.698862350962358</v>
      </c>
      <c r="H143" s="3"/>
      <c r="I143" s="7"/>
      <c r="K143" s="68"/>
      <c r="L143" s="68"/>
    </row>
    <row r="144" spans="2:12">
      <c r="B144" s="8" t="s">
        <v>142</v>
      </c>
      <c r="C144" s="8" t="s">
        <v>418</v>
      </c>
      <c r="D144" s="15" t="s">
        <v>556</v>
      </c>
      <c r="E144" s="19"/>
      <c r="F144" s="9">
        <v>15213.014226648746</v>
      </c>
      <c r="G144" s="9">
        <v>100</v>
      </c>
      <c r="H144" s="24"/>
      <c r="I144" s="9">
        <v>7374.9790719205166</v>
      </c>
      <c r="J144" s="69">
        <f>I144/$I$80</f>
        <v>6.4394168905611532E-2</v>
      </c>
      <c r="K144" s="68"/>
      <c r="L144" s="68"/>
    </row>
    <row r="145" spans="2:12">
      <c r="B145" s="4"/>
      <c r="C145" s="4" t="s">
        <v>418</v>
      </c>
      <c r="D145" s="17" t="s">
        <v>53</v>
      </c>
      <c r="E145" s="21" t="s">
        <v>272</v>
      </c>
      <c r="F145" s="5">
        <v>9841.3733200490478</v>
      </c>
      <c r="G145" s="5">
        <v>64.69048916558458</v>
      </c>
      <c r="H145" s="3"/>
      <c r="I145" s="5"/>
      <c r="K145" s="68"/>
      <c r="L145" s="68"/>
    </row>
    <row r="146" spans="2:12">
      <c r="B146" s="6"/>
      <c r="C146" s="6" t="s">
        <v>418</v>
      </c>
      <c r="D146" s="16" t="s">
        <v>51</v>
      </c>
      <c r="E146" s="20" t="s">
        <v>308</v>
      </c>
      <c r="F146" s="7">
        <v>4795.2754242084529</v>
      </c>
      <c r="G146" s="7">
        <v>31.52087648618993</v>
      </c>
      <c r="H146" s="3"/>
      <c r="I146" s="7"/>
      <c r="K146" s="68"/>
      <c r="L146" s="68"/>
    </row>
    <row r="147" spans="2:12">
      <c r="B147" s="8" t="s">
        <v>142</v>
      </c>
      <c r="C147" s="8" t="s">
        <v>419</v>
      </c>
      <c r="D147" s="15" t="s">
        <v>557</v>
      </c>
      <c r="E147" s="19"/>
      <c r="F147" s="9">
        <v>1107.7907259689687</v>
      </c>
      <c r="G147" s="9">
        <v>100</v>
      </c>
      <c r="H147" s="24"/>
      <c r="I147" s="9">
        <v>417.02371439829517</v>
      </c>
      <c r="J147" s="69">
        <f>I147/$I$80</f>
        <v>3.6412165025461298E-3</v>
      </c>
      <c r="K147" s="68"/>
      <c r="L147" s="68"/>
    </row>
    <row r="148" spans="2:12">
      <c r="B148" s="4"/>
      <c r="C148" s="4" t="s">
        <v>419</v>
      </c>
      <c r="D148" s="17" t="s">
        <v>198</v>
      </c>
      <c r="E148" s="21" t="s">
        <v>273</v>
      </c>
      <c r="F148" s="5">
        <v>781.86290924823822</v>
      </c>
      <c r="G148" s="5">
        <v>70.578575079183295</v>
      </c>
      <c r="H148" s="3"/>
      <c r="I148" s="5"/>
      <c r="K148" s="68"/>
      <c r="L148" s="68"/>
    </row>
    <row r="149" spans="2:12">
      <c r="B149" s="6"/>
      <c r="C149" s="6" t="s">
        <v>419</v>
      </c>
      <c r="D149" s="16" t="s">
        <v>54</v>
      </c>
      <c r="E149" s="20" t="s">
        <v>274</v>
      </c>
      <c r="F149" s="7">
        <v>325.52008692533263</v>
      </c>
      <c r="G149" s="7">
        <v>29.384619251132012</v>
      </c>
      <c r="H149" s="3"/>
      <c r="I149" s="7"/>
      <c r="K149" s="68"/>
      <c r="L149" s="68"/>
    </row>
    <row r="150" spans="2:12">
      <c r="B150" s="8" t="s">
        <v>142</v>
      </c>
      <c r="C150" s="8" t="s">
        <v>420</v>
      </c>
      <c r="D150" s="15" t="s">
        <v>558</v>
      </c>
      <c r="E150" s="19"/>
      <c r="F150" s="9">
        <v>1965.1932783867271</v>
      </c>
      <c r="G150" s="9">
        <v>100</v>
      </c>
      <c r="H150" s="24"/>
      <c r="I150" s="9">
        <v>803.93246806586671</v>
      </c>
      <c r="J150" s="69">
        <f>I150/$I$80</f>
        <v>7.0194861073493917E-3</v>
      </c>
      <c r="K150" s="68"/>
      <c r="L150" s="68"/>
    </row>
    <row r="151" spans="2:12">
      <c r="B151" s="6"/>
      <c r="C151" s="6" t="s">
        <v>420</v>
      </c>
      <c r="D151" s="16" t="s">
        <v>55</v>
      </c>
      <c r="E151" s="20" t="s">
        <v>275</v>
      </c>
      <c r="F151" s="7">
        <v>1729.9756450814734</v>
      </c>
      <c r="G151" s="7">
        <v>88.030814277038985</v>
      </c>
      <c r="H151" s="3"/>
      <c r="I151" s="7"/>
      <c r="K151" s="68"/>
      <c r="L151" s="68"/>
    </row>
    <row r="152" spans="2:12">
      <c r="B152" s="8" t="s">
        <v>142</v>
      </c>
      <c r="C152" s="8" t="s">
        <v>421</v>
      </c>
      <c r="D152" s="15" t="s">
        <v>559</v>
      </c>
      <c r="E152" s="19"/>
      <c r="F152" s="9">
        <v>3596.940240243995</v>
      </c>
      <c r="G152" s="9">
        <v>100</v>
      </c>
      <c r="H152" s="24"/>
      <c r="I152" s="9">
        <v>1348.9566833289769</v>
      </c>
      <c r="J152" s="69">
        <f>I152/$I$80</f>
        <v>1.1778330984472772E-2</v>
      </c>
      <c r="K152" s="68"/>
      <c r="L152" s="68"/>
    </row>
    <row r="153" spans="2:12">
      <c r="B153" s="6"/>
      <c r="C153" s="6" t="s">
        <v>421</v>
      </c>
      <c r="D153" s="16" t="s">
        <v>56</v>
      </c>
      <c r="E153" s="20" t="s">
        <v>276</v>
      </c>
      <c r="F153" s="7">
        <v>3547.2393941587256</v>
      </c>
      <c r="G153" s="7">
        <v>98.61824654384867</v>
      </c>
      <c r="H153" s="3"/>
      <c r="I153" s="7"/>
      <c r="K153" s="68"/>
      <c r="L153" s="68"/>
    </row>
    <row r="154" spans="2:12">
      <c r="B154" s="8" t="s">
        <v>142</v>
      </c>
      <c r="C154" s="8" t="s">
        <v>422</v>
      </c>
      <c r="D154" s="15" t="s">
        <v>560</v>
      </c>
      <c r="E154" s="19"/>
      <c r="F154" s="9">
        <v>1899.3315434537631</v>
      </c>
      <c r="G154" s="9">
        <v>100</v>
      </c>
      <c r="H154" s="24"/>
      <c r="I154" s="9">
        <v>795.67829208194394</v>
      </c>
      <c r="J154" s="69">
        <f>I154/$I$80</f>
        <v>6.9474152855474591E-3</v>
      </c>
      <c r="K154" s="68"/>
      <c r="L154" s="68"/>
    </row>
    <row r="155" spans="2:12">
      <c r="B155" s="6"/>
      <c r="C155" s="6" t="s">
        <v>422</v>
      </c>
      <c r="D155" s="16" t="s">
        <v>57</v>
      </c>
      <c r="E155" s="20" t="s">
        <v>277</v>
      </c>
      <c r="F155" s="7">
        <v>1831.1472341090921</v>
      </c>
      <c r="G155" s="7">
        <v>96.410089140062198</v>
      </c>
      <c r="H155" s="3"/>
      <c r="I155" s="7"/>
      <c r="K155" s="68"/>
      <c r="L155" s="68"/>
    </row>
    <row r="156" spans="2:12">
      <c r="B156" s="8" t="s">
        <v>142</v>
      </c>
      <c r="C156" s="8" t="s">
        <v>424</v>
      </c>
      <c r="D156" s="15" t="s">
        <v>561</v>
      </c>
      <c r="E156" s="19"/>
      <c r="F156" s="9">
        <v>9777.3840316938567</v>
      </c>
      <c r="G156" s="9">
        <v>100</v>
      </c>
      <c r="H156" s="24"/>
      <c r="I156" s="9">
        <v>3658.0287512109217</v>
      </c>
      <c r="J156" s="69">
        <f>I156/$I$80</f>
        <v>3.1939849451765062E-2</v>
      </c>
      <c r="K156" s="68"/>
      <c r="L156" s="68"/>
    </row>
    <row r="157" spans="2:12">
      <c r="B157" s="4"/>
      <c r="C157" s="4" t="s">
        <v>424</v>
      </c>
      <c r="D157" s="17" t="s">
        <v>199</v>
      </c>
      <c r="E157" s="21" t="s">
        <v>279</v>
      </c>
      <c r="F157" s="5">
        <v>4796.4185106293144</v>
      </c>
      <c r="G157" s="5">
        <v>49.056255692539999</v>
      </c>
      <c r="H157" s="3"/>
      <c r="I157" s="5"/>
      <c r="K157" s="68"/>
      <c r="L157" s="68"/>
    </row>
    <row r="158" spans="2:12">
      <c r="B158" s="6"/>
      <c r="C158" s="6" t="s">
        <v>424</v>
      </c>
      <c r="D158" s="16" t="s">
        <v>58</v>
      </c>
      <c r="E158" s="20" t="s">
        <v>278</v>
      </c>
      <c r="F158" s="7">
        <v>4800.0326884576107</v>
      </c>
      <c r="G158" s="7">
        <v>49.093220363423143</v>
      </c>
      <c r="H158" s="3"/>
      <c r="I158" s="7"/>
      <c r="K158" s="68"/>
      <c r="L158" s="68"/>
    </row>
    <row r="159" spans="2:12">
      <c r="B159" s="8" t="s">
        <v>142</v>
      </c>
      <c r="C159" s="8" t="s">
        <v>425</v>
      </c>
      <c r="D159" s="15" t="s">
        <v>562</v>
      </c>
      <c r="E159" s="19"/>
      <c r="F159" s="9">
        <v>3129.201449370215</v>
      </c>
      <c r="G159" s="9">
        <v>100</v>
      </c>
      <c r="H159" s="24"/>
      <c r="I159" s="9">
        <v>1139.7648380113017</v>
      </c>
      <c r="J159" s="69">
        <f>I159/$I$80</f>
        <v>9.9517854594350953E-3</v>
      </c>
      <c r="K159" s="68"/>
      <c r="L159" s="68"/>
    </row>
    <row r="160" spans="2:12">
      <c r="B160" s="6"/>
      <c r="C160" s="6" t="s">
        <v>425</v>
      </c>
      <c r="D160" s="16" t="s">
        <v>59</v>
      </c>
      <c r="E160" s="20" t="s">
        <v>280</v>
      </c>
      <c r="F160" s="7">
        <v>2649.0154001394794</v>
      </c>
      <c r="G160" s="7">
        <v>84.654677654985164</v>
      </c>
      <c r="H160" s="3"/>
      <c r="I160" s="7"/>
      <c r="K160" s="68"/>
      <c r="L160" s="68"/>
    </row>
    <row r="161" spans="2:12">
      <c r="B161" s="8" t="s">
        <v>142</v>
      </c>
      <c r="C161" s="8" t="s">
        <v>563</v>
      </c>
      <c r="D161" s="15" t="s">
        <v>564</v>
      </c>
      <c r="E161" s="19"/>
      <c r="F161" s="9">
        <v>0</v>
      </c>
      <c r="G161" s="9">
        <v>0</v>
      </c>
      <c r="H161" s="24"/>
      <c r="I161" s="9">
        <v>0</v>
      </c>
      <c r="J161" s="69">
        <f>I161/$I$80</f>
        <v>0</v>
      </c>
      <c r="K161" s="68"/>
      <c r="L161" s="68"/>
    </row>
    <row r="162" spans="2:12">
      <c r="B162" s="6"/>
      <c r="C162" s="6" t="s">
        <v>563</v>
      </c>
      <c r="D162" s="16" t="s">
        <v>0</v>
      </c>
      <c r="E162" s="20" t="s">
        <v>205</v>
      </c>
      <c r="F162" s="7">
        <v>0</v>
      </c>
      <c r="G162" s="7">
        <v>0</v>
      </c>
      <c r="H162" s="3"/>
      <c r="I162" s="7"/>
      <c r="K162" s="68"/>
      <c r="L162" s="68"/>
    </row>
    <row r="163" spans="2:12">
      <c r="B163" s="8" t="s">
        <v>142</v>
      </c>
      <c r="C163" s="8" t="s">
        <v>411</v>
      </c>
      <c r="D163" s="15" t="s">
        <v>565</v>
      </c>
      <c r="E163" s="19"/>
      <c r="F163" s="9">
        <v>1863.8746548968272</v>
      </c>
      <c r="G163" s="9">
        <v>100</v>
      </c>
      <c r="H163" s="24"/>
      <c r="I163" s="9">
        <v>570.05210369368342</v>
      </c>
      <c r="J163" s="69">
        <f>I163/$I$80</f>
        <v>4.9773743209675448E-3</v>
      </c>
      <c r="K163" s="68"/>
      <c r="L163" s="68"/>
    </row>
    <row r="164" spans="2:12">
      <c r="B164" s="4"/>
      <c r="C164" s="4" t="s">
        <v>411</v>
      </c>
      <c r="D164" s="17" t="s">
        <v>61</v>
      </c>
      <c r="E164" s="21" t="s">
        <v>282</v>
      </c>
      <c r="F164" s="5">
        <v>1457.5922324298072</v>
      </c>
      <c r="G164" s="5">
        <v>78.202266906756705</v>
      </c>
      <c r="H164" s="3"/>
      <c r="I164" s="5"/>
      <c r="K164" s="68"/>
      <c r="L164" s="68"/>
    </row>
    <row r="165" spans="2:12">
      <c r="B165" s="6"/>
      <c r="C165" s="6" t="s">
        <v>411</v>
      </c>
      <c r="D165" s="16" t="s">
        <v>45</v>
      </c>
      <c r="E165" s="20" t="s">
        <v>265</v>
      </c>
      <c r="F165" s="7">
        <v>396.97639618460835</v>
      </c>
      <c r="G165" s="7">
        <v>21.298449181744068</v>
      </c>
      <c r="H165" s="3"/>
      <c r="I165" s="7"/>
      <c r="K165" s="68"/>
      <c r="L165" s="68"/>
    </row>
    <row r="166" spans="2:12">
      <c r="B166" s="8" t="s">
        <v>142</v>
      </c>
      <c r="C166" s="8" t="s">
        <v>426</v>
      </c>
      <c r="D166" s="15" t="s">
        <v>566</v>
      </c>
      <c r="E166" s="19"/>
      <c r="F166" s="9">
        <v>7515.6707060071139</v>
      </c>
      <c r="G166" s="9">
        <v>100</v>
      </c>
      <c r="H166" s="24"/>
      <c r="I166" s="9">
        <v>3414.7313601142378</v>
      </c>
      <c r="J166" s="69">
        <f>I166/$I$80</f>
        <v>2.9815513485006225E-2</v>
      </c>
      <c r="K166" s="68"/>
      <c r="L166" s="68"/>
    </row>
    <row r="167" spans="2:12">
      <c r="B167" s="6"/>
      <c r="C167" s="6" t="s">
        <v>426</v>
      </c>
      <c r="D167" s="16" t="s">
        <v>15</v>
      </c>
      <c r="E167" s="20" t="s">
        <v>283</v>
      </c>
      <c r="F167" s="7">
        <v>7300.0247237557996</v>
      </c>
      <c r="G167" s="7">
        <v>97.130715398707494</v>
      </c>
      <c r="H167" s="3"/>
      <c r="I167" s="7"/>
      <c r="K167" s="68"/>
      <c r="L167" s="68"/>
    </row>
    <row r="168" spans="2:12">
      <c r="B168" s="8" t="s">
        <v>142</v>
      </c>
      <c r="C168" s="8" t="s">
        <v>567</v>
      </c>
      <c r="D168" s="15" t="s">
        <v>568</v>
      </c>
      <c r="E168" s="19"/>
      <c r="F168" s="9">
        <v>0</v>
      </c>
      <c r="G168" s="9">
        <v>0</v>
      </c>
      <c r="H168" s="24"/>
      <c r="I168" s="9">
        <v>0</v>
      </c>
      <c r="J168" s="69">
        <f>I168/$I$80</f>
        <v>0</v>
      </c>
      <c r="K168" s="68"/>
      <c r="L168" s="68"/>
    </row>
    <row r="169" spans="2:12">
      <c r="B169" s="6"/>
      <c r="C169" s="6" t="s">
        <v>567</v>
      </c>
      <c r="D169" s="16" t="s">
        <v>0</v>
      </c>
      <c r="E169" s="20" t="s">
        <v>205</v>
      </c>
      <c r="F169" s="7">
        <v>0</v>
      </c>
      <c r="G169" s="7">
        <v>0</v>
      </c>
      <c r="H169" s="3"/>
      <c r="I169" s="7"/>
      <c r="K169" s="68"/>
      <c r="L169" s="68"/>
    </row>
    <row r="170" spans="2:12">
      <c r="B170" s="8" t="s">
        <v>142</v>
      </c>
      <c r="C170" s="8" t="s">
        <v>428</v>
      </c>
      <c r="D170" s="15" t="s">
        <v>569</v>
      </c>
      <c r="E170" s="19"/>
      <c r="F170" s="9">
        <v>1616.7357246883507</v>
      </c>
      <c r="G170" s="9">
        <v>100</v>
      </c>
      <c r="H170" s="24"/>
      <c r="I170" s="9">
        <v>663.44823122204934</v>
      </c>
      <c r="J170" s="69">
        <f>I170/$I$80</f>
        <v>5.7928567721774685E-3</v>
      </c>
      <c r="K170" s="68"/>
      <c r="L170" s="68"/>
    </row>
    <row r="171" spans="2:12">
      <c r="B171" s="6"/>
      <c r="C171" s="6" t="s">
        <v>428</v>
      </c>
      <c r="D171" s="16" t="s">
        <v>62</v>
      </c>
      <c r="E171" s="20" t="s">
        <v>284</v>
      </c>
      <c r="F171" s="7">
        <v>1570.7859621835146</v>
      </c>
      <c r="G171" s="7">
        <v>97.157868054552111</v>
      </c>
      <c r="H171" s="3"/>
      <c r="I171" s="7"/>
      <c r="K171" s="68"/>
      <c r="L171" s="68"/>
    </row>
    <row r="172" spans="2:12">
      <c r="B172" s="8" t="s">
        <v>142</v>
      </c>
      <c r="C172" s="8" t="s">
        <v>429</v>
      </c>
      <c r="D172" s="15" t="s">
        <v>570</v>
      </c>
      <c r="E172" s="19"/>
      <c r="F172" s="9">
        <v>8000.6331300555512</v>
      </c>
      <c r="G172" s="9">
        <v>100</v>
      </c>
      <c r="H172" s="24"/>
      <c r="I172" s="9">
        <v>3368.2897042966651</v>
      </c>
      <c r="J172" s="69">
        <f>I172/$I$80</f>
        <v>2.9410011069364212E-2</v>
      </c>
      <c r="K172" s="68"/>
      <c r="L172" s="68"/>
    </row>
    <row r="173" spans="2:12">
      <c r="B173" s="6"/>
      <c r="C173" s="6" t="s">
        <v>429</v>
      </c>
      <c r="D173" s="16" t="s">
        <v>63</v>
      </c>
      <c r="E173" s="20" t="s">
        <v>285</v>
      </c>
      <c r="F173" s="7">
        <v>7802.3490007712408</v>
      </c>
      <c r="G173" s="7">
        <v>97.52164452411364</v>
      </c>
      <c r="H173" s="3"/>
      <c r="I173" s="7"/>
      <c r="K173" s="68"/>
      <c r="L173" s="68"/>
    </row>
    <row r="174" spans="2:12">
      <c r="B174" s="8" t="s">
        <v>142</v>
      </c>
      <c r="C174" s="8" t="s">
        <v>430</v>
      </c>
      <c r="D174" s="15" t="s">
        <v>571</v>
      </c>
      <c r="E174" s="19"/>
      <c r="F174" s="9">
        <v>2600.1522092643813</v>
      </c>
      <c r="G174" s="9">
        <v>100</v>
      </c>
      <c r="H174" s="24"/>
      <c r="I174" s="9">
        <v>1102.9650906601116</v>
      </c>
      <c r="J174" s="69">
        <f>I174/$I$80</f>
        <v>9.6304707650465091E-3</v>
      </c>
      <c r="K174" s="68"/>
      <c r="L174" s="68"/>
    </row>
    <row r="175" spans="2:12">
      <c r="B175" s="4"/>
      <c r="C175" s="4" t="s">
        <v>430</v>
      </c>
      <c r="D175" s="17" t="s">
        <v>74</v>
      </c>
      <c r="E175" s="21" t="s">
        <v>286</v>
      </c>
      <c r="F175" s="5">
        <v>1320.5993523998222</v>
      </c>
      <c r="G175" s="5">
        <v>50.78930947559558</v>
      </c>
      <c r="H175" s="3"/>
      <c r="I175" s="5"/>
      <c r="K175" s="68"/>
      <c r="L175" s="68"/>
    </row>
    <row r="176" spans="2:12">
      <c r="B176" s="6"/>
      <c r="C176" s="6" t="s">
        <v>430</v>
      </c>
      <c r="D176" s="16" t="s">
        <v>64</v>
      </c>
      <c r="E176" s="20" t="s">
        <v>287</v>
      </c>
      <c r="F176" s="7">
        <v>786.47432360981566</v>
      </c>
      <c r="G176" s="7">
        <v>30.2472417117581</v>
      </c>
      <c r="H176" s="3"/>
      <c r="I176" s="7"/>
      <c r="K176" s="68"/>
      <c r="L176" s="68"/>
    </row>
    <row r="177" spans="2:12">
      <c r="B177" s="8" t="s">
        <v>142</v>
      </c>
      <c r="C177" s="8" t="s">
        <v>431</v>
      </c>
      <c r="D177" s="15" t="s">
        <v>572</v>
      </c>
      <c r="E177" s="19"/>
      <c r="F177" s="9">
        <v>6900.1330537218564</v>
      </c>
      <c r="G177" s="9">
        <v>100</v>
      </c>
      <c r="H177" s="24"/>
      <c r="I177" s="9">
        <v>2792.5611337220171</v>
      </c>
      <c r="J177" s="69">
        <f>I177/$I$80</f>
        <v>2.4383073032546724E-2</v>
      </c>
      <c r="K177" s="68"/>
      <c r="L177" s="68"/>
    </row>
    <row r="178" spans="2:12">
      <c r="B178" s="4"/>
      <c r="C178" s="4" t="s">
        <v>431</v>
      </c>
      <c r="D178" s="17" t="s">
        <v>65</v>
      </c>
      <c r="E178" s="21" t="s">
        <v>288</v>
      </c>
      <c r="F178" s="5">
        <v>5594.5280663153999</v>
      </c>
      <c r="G178" s="5">
        <v>81.078553453368158</v>
      </c>
      <c r="H178" s="3"/>
      <c r="I178" s="5"/>
      <c r="K178" s="68"/>
      <c r="L178" s="68"/>
    </row>
    <row r="179" spans="2:12">
      <c r="B179" s="6"/>
      <c r="C179" s="6" t="s">
        <v>431</v>
      </c>
      <c r="D179" s="16" t="s">
        <v>15</v>
      </c>
      <c r="E179" s="20" t="s">
        <v>283</v>
      </c>
      <c r="F179" s="7">
        <v>706.9224323895038</v>
      </c>
      <c r="G179" s="7">
        <v>10.245055086411668</v>
      </c>
      <c r="H179" s="3"/>
      <c r="I179" s="7"/>
      <c r="K179" s="68"/>
      <c r="L179" s="68"/>
    </row>
    <row r="180" spans="2:12">
      <c r="B180" s="8" t="s">
        <v>142</v>
      </c>
      <c r="C180" s="8" t="s">
        <v>432</v>
      </c>
      <c r="D180" s="15" t="s">
        <v>573</v>
      </c>
      <c r="E180" s="19"/>
      <c r="F180" s="9">
        <v>1388.3679146927395</v>
      </c>
      <c r="G180" s="9">
        <v>100</v>
      </c>
      <c r="H180" s="24"/>
      <c r="I180" s="9">
        <v>483.32752743729895</v>
      </c>
      <c r="J180" s="69">
        <f>I180/$I$80</f>
        <v>4.2201441027851167E-3</v>
      </c>
      <c r="K180" s="68"/>
      <c r="L180" s="68"/>
    </row>
    <row r="181" spans="2:12">
      <c r="B181" s="6"/>
      <c r="C181" s="6" t="s">
        <v>432</v>
      </c>
      <c r="D181" s="16" t="s">
        <v>66</v>
      </c>
      <c r="E181" s="20" t="s">
        <v>289</v>
      </c>
      <c r="F181" s="7">
        <v>1190.1347948719049</v>
      </c>
      <c r="G181" s="7">
        <v>85.721859622151683</v>
      </c>
      <c r="H181" s="3"/>
      <c r="I181" s="7"/>
      <c r="K181" s="68"/>
      <c r="L181" s="68"/>
    </row>
    <row r="182" spans="2:12">
      <c r="B182" s="8" t="s">
        <v>142</v>
      </c>
      <c r="C182" s="8" t="s">
        <v>433</v>
      </c>
      <c r="D182" s="15" t="s">
        <v>574</v>
      </c>
      <c r="E182" s="19"/>
      <c r="F182" s="9">
        <v>13793.609049238932</v>
      </c>
      <c r="G182" s="9">
        <v>100</v>
      </c>
      <c r="H182" s="24"/>
      <c r="I182" s="9">
        <v>5601.0551121807366</v>
      </c>
      <c r="J182" s="69">
        <f>I182/$I$80</f>
        <v>4.8905262703271911E-2</v>
      </c>
      <c r="K182" s="68"/>
      <c r="L182" s="68"/>
    </row>
    <row r="183" spans="2:12">
      <c r="B183" s="6"/>
      <c r="C183" s="6" t="s">
        <v>433</v>
      </c>
      <c r="D183" s="16" t="s">
        <v>67</v>
      </c>
      <c r="E183" s="20" t="s">
        <v>290</v>
      </c>
      <c r="F183" s="7">
        <v>12982.426838528199</v>
      </c>
      <c r="G183" s="7">
        <v>94.119144541395499</v>
      </c>
      <c r="H183" s="3"/>
      <c r="I183" s="7"/>
      <c r="K183" s="68"/>
      <c r="L183" s="68"/>
    </row>
    <row r="184" spans="2:12">
      <c r="B184" s="8" t="s">
        <v>142</v>
      </c>
      <c r="C184" s="8" t="s">
        <v>434</v>
      </c>
      <c r="D184" s="15" t="s">
        <v>575</v>
      </c>
      <c r="E184" s="19"/>
      <c r="F184" s="9">
        <v>1233.0486210314655</v>
      </c>
      <c r="G184" s="9">
        <v>100</v>
      </c>
      <c r="H184" s="24"/>
      <c r="I184" s="9">
        <v>529.08543701265921</v>
      </c>
      <c r="J184" s="69">
        <f>I184/$I$80</f>
        <v>4.6196764308404073E-3</v>
      </c>
      <c r="K184" s="68"/>
      <c r="L184" s="68"/>
    </row>
    <row r="185" spans="2:12">
      <c r="B185" s="6"/>
      <c r="C185" s="6" t="s">
        <v>434</v>
      </c>
      <c r="D185" s="16" t="s">
        <v>68</v>
      </c>
      <c r="E185" s="20" t="s">
        <v>291</v>
      </c>
      <c r="F185" s="7">
        <v>1214.2008856953751</v>
      </c>
      <c r="G185" s="7">
        <v>98.471452381145852</v>
      </c>
      <c r="H185" s="3"/>
      <c r="I185" s="7"/>
      <c r="K185" s="68"/>
      <c r="L185" s="68"/>
    </row>
    <row r="186" spans="2:12">
      <c r="B186" s="8" t="s">
        <v>142</v>
      </c>
      <c r="C186" s="8" t="s">
        <v>435</v>
      </c>
      <c r="D186" s="15" t="s">
        <v>576</v>
      </c>
      <c r="E186" s="19"/>
      <c r="F186" s="9">
        <v>2390.4624454542368</v>
      </c>
      <c r="G186" s="9">
        <v>100</v>
      </c>
      <c r="H186" s="24"/>
      <c r="I186" s="9">
        <v>1105.2377712652067</v>
      </c>
      <c r="J186" s="69">
        <f>I186/$I$80</f>
        <v>9.650314533730572E-3</v>
      </c>
      <c r="K186" s="68"/>
      <c r="L186" s="68"/>
    </row>
    <row r="187" spans="2:12">
      <c r="B187" s="4"/>
      <c r="C187" s="4" t="s">
        <v>435</v>
      </c>
      <c r="D187" s="17" t="s">
        <v>69</v>
      </c>
      <c r="E187" s="21" t="s">
        <v>293</v>
      </c>
      <c r="F187" s="5">
        <v>1832.2457081561492</v>
      </c>
      <c r="G187" s="5">
        <v>76.648169547293804</v>
      </c>
      <c r="H187" s="3"/>
      <c r="I187" s="5"/>
      <c r="K187" s="68"/>
      <c r="L187" s="68"/>
    </row>
    <row r="188" spans="2:12">
      <c r="B188" s="6"/>
      <c r="C188" s="6" t="s">
        <v>435</v>
      </c>
      <c r="D188" s="16" t="s">
        <v>70</v>
      </c>
      <c r="E188" s="20" t="s">
        <v>292</v>
      </c>
      <c r="F188" s="7">
        <v>534.04616467715027</v>
      </c>
      <c r="G188" s="7">
        <v>22.340705067034449</v>
      </c>
      <c r="H188" s="3"/>
      <c r="I188" s="7"/>
      <c r="K188" s="68"/>
      <c r="L188" s="68"/>
    </row>
    <row r="189" spans="2:12">
      <c r="B189" s="8" t="s">
        <v>142</v>
      </c>
      <c r="C189" s="8" t="s">
        <v>436</v>
      </c>
      <c r="D189" s="15" t="s">
        <v>577</v>
      </c>
      <c r="E189" s="19"/>
      <c r="F189" s="9">
        <v>9359.8658764522315</v>
      </c>
      <c r="G189" s="9">
        <v>100</v>
      </c>
      <c r="H189" s="24"/>
      <c r="I189" s="9">
        <v>4854.8475074069192</v>
      </c>
      <c r="J189" s="69">
        <f>I189/$I$80</f>
        <v>4.2389797632542706E-2</v>
      </c>
      <c r="K189" s="68"/>
      <c r="L189" s="68"/>
    </row>
    <row r="190" spans="2:12">
      <c r="B190" s="6"/>
      <c r="C190" s="6" t="s">
        <v>436</v>
      </c>
      <c r="D190" s="16" t="s">
        <v>71</v>
      </c>
      <c r="E190" s="20" t="s">
        <v>294</v>
      </c>
      <c r="F190" s="7">
        <v>9134.2325635509114</v>
      </c>
      <c r="G190" s="7">
        <v>97.589353139461394</v>
      </c>
      <c r="H190" s="3"/>
      <c r="I190" s="7"/>
      <c r="K190" s="68"/>
      <c r="L190" s="68"/>
    </row>
    <row r="191" spans="2:12">
      <c r="B191" s="8" t="s">
        <v>142</v>
      </c>
      <c r="C191" s="8" t="s">
        <v>437</v>
      </c>
      <c r="D191" s="15" t="s">
        <v>578</v>
      </c>
      <c r="E191" s="19"/>
      <c r="F191" s="9">
        <v>4282.4628485799858</v>
      </c>
      <c r="G191" s="9">
        <v>100</v>
      </c>
      <c r="H191" s="24"/>
      <c r="I191" s="9">
        <v>1045.1537059670591</v>
      </c>
      <c r="J191" s="69">
        <f>I191/$I$80</f>
        <v>9.1256942722201667E-3</v>
      </c>
      <c r="K191" s="68"/>
      <c r="L191" s="68"/>
    </row>
    <row r="192" spans="2:12">
      <c r="B192" s="6"/>
      <c r="C192" s="6" t="s">
        <v>437</v>
      </c>
      <c r="D192" s="16" t="s">
        <v>72</v>
      </c>
      <c r="E192" s="20" t="s">
        <v>295</v>
      </c>
      <c r="F192" s="7">
        <v>4218.6239551722847</v>
      </c>
      <c r="G192" s="7">
        <v>98.509294869215992</v>
      </c>
      <c r="H192" s="3"/>
      <c r="I192" s="7"/>
      <c r="K192" s="68"/>
      <c r="L192" s="68"/>
    </row>
    <row r="193" spans="2:12">
      <c r="B193" s="8" t="s">
        <v>142</v>
      </c>
      <c r="C193" s="8" t="s">
        <v>438</v>
      </c>
      <c r="D193" s="15" t="s">
        <v>579</v>
      </c>
      <c r="E193" s="19"/>
      <c r="F193" s="9">
        <v>125.23701883358741</v>
      </c>
      <c r="G193" s="9">
        <v>100</v>
      </c>
      <c r="H193" s="24"/>
      <c r="I193" s="9">
        <v>51.612996637299091</v>
      </c>
      <c r="J193" s="69">
        <f>I193/$I$80</f>
        <v>4.5065565485347288E-4</v>
      </c>
      <c r="K193" s="68"/>
      <c r="L193" s="68"/>
    </row>
    <row r="194" spans="2:12">
      <c r="B194" s="6"/>
      <c r="C194" s="6" t="s">
        <v>438</v>
      </c>
      <c r="D194" s="16" t="s">
        <v>73</v>
      </c>
      <c r="E194" s="20" t="s">
        <v>296</v>
      </c>
      <c r="F194" s="7">
        <v>97.136240132733661</v>
      </c>
      <c r="G194" s="7">
        <v>77.561923013998339</v>
      </c>
      <c r="H194" s="3"/>
      <c r="I194" s="7"/>
      <c r="K194" s="68"/>
      <c r="L194" s="68"/>
    </row>
    <row r="195" spans="2:12">
      <c r="B195" s="8" t="s">
        <v>142</v>
      </c>
      <c r="C195" s="8" t="s">
        <v>440</v>
      </c>
      <c r="D195" s="15" t="s">
        <v>580</v>
      </c>
      <c r="E195" s="19"/>
      <c r="F195" s="9">
        <v>12661.685736648515</v>
      </c>
      <c r="G195" s="9">
        <v>100</v>
      </c>
      <c r="H195" s="24"/>
      <c r="I195" s="9">
        <v>4393.9180909518527</v>
      </c>
      <c r="J195" s="69">
        <f>I195/$I$80</f>
        <v>3.8365221236145795E-2</v>
      </c>
      <c r="K195" s="68"/>
      <c r="L195" s="68"/>
    </row>
    <row r="196" spans="2:12">
      <c r="B196" s="6"/>
      <c r="C196" s="6" t="s">
        <v>440</v>
      </c>
      <c r="D196" s="16" t="s">
        <v>75</v>
      </c>
      <c r="E196" s="20" t="s">
        <v>297</v>
      </c>
      <c r="F196" s="7">
        <v>11775.490933945452</v>
      </c>
      <c r="G196" s="7">
        <v>93.000973005213481</v>
      </c>
      <c r="H196" s="3"/>
      <c r="I196" s="7"/>
      <c r="K196" s="68"/>
      <c r="L196" s="68"/>
    </row>
    <row r="197" spans="2:12">
      <c r="B197" s="8" t="s">
        <v>142</v>
      </c>
      <c r="C197" s="8" t="s">
        <v>441</v>
      </c>
      <c r="D197" s="15" t="s">
        <v>581</v>
      </c>
      <c r="E197" s="19"/>
      <c r="F197" s="9">
        <v>6494.4252550182246</v>
      </c>
      <c r="G197" s="9">
        <v>100</v>
      </c>
      <c r="H197" s="24"/>
      <c r="I197" s="9">
        <v>2030.7010750995078</v>
      </c>
      <c r="J197" s="69">
        <f>I197/$I$80</f>
        <v>1.7730939539156155E-2</v>
      </c>
      <c r="K197" s="68"/>
      <c r="L197" s="68"/>
    </row>
    <row r="198" spans="2:12">
      <c r="B198" s="4"/>
      <c r="C198" s="4" t="s">
        <v>441</v>
      </c>
      <c r="D198" s="17" t="s">
        <v>77</v>
      </c>
      <c r="E198" s="21" t="s">
        <v>299</v>
      </c>
      <c r="F198" s="5">
        <v>3840.7953631148966</v>
      </c>
      <c r="G198" s="5">
        <v>59.139880933222301</v>
      </c>
      <c r="H198" s="3"/>
      <c r="I198" s="5"/>
      <c r="K198" s="68"/>
      <c r="L198" s="68"/>
    </row>
    <row r="199" spans="2:12">
      <c r="B199" s="6"/>
      <c r="C199" s="6" t="s">
        <v>441</v>
      </c>
      <c r="D199" s="16" t="s">
        <v>76</v>
      </c>
      <c r="E199" s="20" t="s">
        <v>298</v>
      </c>
      <c r="F199" s="7">
        <v>2390.1379427311622</v>
      </c>
      <c r="G199" s="7">
        <v>36.802917100082247</v>
      </c>
      <c r="H199" s="3"/>
      <c r="I199" s="7"/>
      <c r="K199" s="68"/>
      <c r="L199" s="68"/>
    </row>
    <row r="200" spans="2:12">
      <c r="B200" s="8" t="s">
        <v>142</v>
      </c>
      <c r="C200" s="8" t="s">
        <v>442</v>
      </c>
      <c r="D200" s="15" t="s">
        <v>582</v>
      </c>
      <c r="E200" s="19"/>
      <c r="F200" s="9">
        <v>10050.518095335394</v>
      </c>
      <c r="G200" s="9">
        <v>100</v>
      </c>
      <c r="H200" s="24"/>
      <c r="I200" s="9">
        <v>3476.1929753754894</v>
      </c>
      <c r="J200" s="69">
        <f>I200/$I$80</f>
        <v>3.0352161737936669E-2</v>
      </c>
      <c r="K200" s="68"/>
      <c r="L200" s="68"/>
    </row>
    <row r="201" spans="2:12">
      <c r="B201" s="4"/>
      <c r="C201" s="4" t="s">
        <v>442</v>
      </c>
      <c r="D201" s="17" t="s">
        <v>84</v>
      </c>
      <c r="E201" s="21" t="s">
        <v>307</v>
      </c>
      <c r="F201" s="5">
        <v>5514.8346518397257</v>
      </c>
      <c r="G201" s="5">
        <v>54.871147930167382</v>
      </c>
      <c r="H201" s="3"/>
      <c r="I201" s="5"/>
      <c r="K201" s="68"/>
      <c r="L201" s="68"/>
    </row>
    <row r="202" spans="2:12">
      <c r="B202" s="4"/>
      <c r="C202" s="4" t="s">
        <v>442</v>
      </c>
      <c r="D202" s="17" t="s">
        <v>78</v>
      </c>
      <c r="E202" s="21" t="s">
        <v>300</v>
      </c>
      <c r="F202" s="5">
        <v>1844.6195215133537</v>
      </c>
      <c r="G202" s="5">
        <v>18.353476945327536</v>
      </c>
      <c r="H202" s="3"/>
      <c r="I202" s="5"/>
      <c r="K202" s="68"/>
      <c r="L202" s="68"/>
    </row>
    <row r="203" spans="2:12">
      <c r="B203" s="4"/>
      <c r="C203" s="4" t="s">
        <v>442</v>
      </c>
      <c r="D203" s="17" t="s">
        <v>79</v>
      </c>
      <c r="E203" s="21" t="s">
        <v>301</v>
      </c>
      <c r="F203" s="5">
        <v>1163.4353362423929</v>
      </c>
      <c r="G203" s="5">
        <v>11.575874250526068</v>
      </c>
      <c r="H203" s="3"/>
      <c r="I203" s="5"/>
      <c r="K203" s="68"/>
      <c r="L203" s="68"/>
    </row>
    <row r="204" spans="2:12">
      <c r="B204" s="4"/>
      <c r="C204" s="4" t="s">
        <v>442</v>
      </c>
      <c r="D204" s="17" t="s">
        <v>642</v>
      </c>
      <c r="E204" s="21" t="s">
        <v>643</v>
      </c>
      <c r="F204" s="5">
        <v>879.36118529677117</v>
      </c>
      <c r="G204" s="5">
        <v>8.7494114925766553</v>
      </c>
      <c r="H204" s="3"/>
      <c r="I204" s="5"/>
      <c r="K204" s="68"/>
      <c r="L204" s="68"/>
    </row>
    <row r="205" spans="2:12">
      <c r="B205" s="8" t="s">
        <v>142</v>
      </c>
      <c r="C205" s="8" t="s">
        <v>423</v>
      </c>
      <c r="D205" s="15" t="s">
        <v>583</v>
      </c>
      <c r="E205" s="19"/>
      <c r="F205" s="9">
        <v>9740.804284584161</v>
      </c>
      <c r="G205" s="9">
        <v>100</v>
      </c>
      <c r="H205" s="24"/>
      <c r="I205" s="9">
        <v>3971.2416264394797</v>
      </c>
      <c r="J205" s="69">
        <f>I205/$I$80</f>
        <v>3.4674648099217741E-2</v>
      </c>
      <c r="K205" s="68"/>
      <c r="L205" s="68"/>
    </row>
    <row r="206" spans="2:12">
      <c r="B206" s="6"/>
      <c r="C206" s="6" t="s">
        <v>423</v>
      </c>
      <c r="D206" s="16" t="s">
        <v>80</v>
      </c>
      <c r="E206" s="20" t="s">
        <v>302</v>
      </c>
      <c r="F206" s="7">
        <v>8821.6564941450106</v>
      </c>
      <c r="G206" s="7">
        <v>90.563943555525512</v>
      </c>
      <c r="H206" s="3"/>
      <c r="I206" s="7"/>
      <c r="K206" s="68"/>
      <c r="L206" s="68"/>
    </row>
    <row r="207" spans="2:12">
      <c r="B207" s="8" t="s">
        <v>142</v>
      </c>
      <c r="C207" s="8" t="s">
        <v>443</v>
      </c>
      <c r="D207" s="15" t="s">
        <v>584</v>
      </c>
      <c r="E207" s="19"/>
      <c r="F207" s="9">
        <v>2086.1349157794857</v>
      </c>
      <c r="G207" s="9">
        <v>100</v>
      </c>
      <c r="H207" s="24"/>
      <c r="I207" s="9">
        <v>955.16672053297839</v>
      </c>
      <c r="J207" s="69">
        <f>I207/$I$80</f>
        <v>8.3399785321699362E-3</v>
      </c>
      <c r="K207" s="68"/>
      <c r="L207" s="68"/>
    </row>
    <row r="208" spans="2:12">
      <c r="B208" s="4"/>
      <c r="C208" s="4" t="s">
        <v>443</v>
      </c>
      <c r="D208" s="17" t="s">
        <v>82</v>
      </c>
      <c r="E208" s="21" t="s">
        <v>304</v>
      </c>
      <c r="F208" s="5">
        <v>1455.3830816112434</v>
      </c>
      <c r="G208" s="5">
        <v>69.764571342090719</v>
      </c>
      <c r="H208" s="3"/>
      <c r="I208" s="5"/>
      <c r="K208" s="68"/>
      <c r="L208" s="68"/>
    </row>
    <row r="209" spans="2:12">
      <c r="B209" s="6"/>
      <c r="C209" s="6" t="s">
        <v>443</v>
      </c>
      <c r="D209" s="16" t="s">
        <v>81</v>
      </c>
      <c r="E209" s="20" t="s">
        <v>303</v>
      </c>
      <c r="F209" s="7">
        <v>290.08916588150191</v>
      </c>
      <c r="G209" s="7">
        <v>13.905580300069417</v>
      </c>
      <c r="H209" s="3"/>
      <c r="I209" s="7"/>
      <c r="K209" s="68"/>
      <c r="L209" s="68"/>
    </row>
    <row r="210" spans="2:12">
      <c r="B210" s="10" t="s">
        <v>147</v>
      </c>
      <c r="C210" s="11" t="s">
        <v>148</v>
      </c>
      <c r="D210" s="11"/>
      <c r="E210" s="11"/>
      <c r="F210" s="12">
        <v>29978.230529001085</v>
      </c>
      <c r="G210" s="23"/>
      <c r="H210" s="3"/>
      <c r="I210" s="67">
        <v>18706.047415556011</v>
      </c>
      <c r="K210" s="68"/>
      <c r="L210" s="68"/>
    </row>
    <row r="211" spans="2:12">
      <c r="B211" s="8" t="s">
        <v>147</v>
      </c>
      <c r="C211" s="8" t="s">
        <v>445</v>
      </c>
      <c r="D211" s="15" t="s">
        <v>148</v>
      </c>
      <c r="E211" s="19"/>
      <c r="F211" s="9">
        <v>22504.526589654626</v>
      </c>
      <c r="G211" s="9">
        <v>100</v>
      </c>
      <c r="H211" s="24"/>
      <c r="I211" s="9">
        <v>13515.890703301549</v>
      </c>
      <c r="K211" s="68"/>
      <c r="L211" s="68"/>
    </row>
    <row r="212" spans="2:12">
      <c r="B212" s="4"/>
      <c r="C212" s="4" t="s">
        <v>445</v>
      </c>
      <c r="D212" s="17" t="s">
        <v>87</v>
      </c>
      <c r="E212" s="21" t="s">
        <v>309</v>
      </c>
      <c r="F212" s="5">
        <v>13181.184618824329</v>
      </c>
      <c r="G212" s="5">
        <v>58.57125928116055</v>
      </c>
      <c r="H212" s="3"/>
      <c r="I212" s="5"/>
      <c r="K212" s="68"/>
      <c r="L212" s="68"/>
    </row>
    <row r="213" spans="2:12">
      <c r="B213" s="6"/>
      <c r="C213" s="6" t="s">
        <v>445</v>
      </c>
      <c r="D213" s="16" t="s">
        <v>200</v>
      </c>
      <c r="E213" s="20" t="s">
        <v>310</v>
      </c>
      <c r="F213" s="7">
        <v>5833.3122416664282</v>
      </c>
      <c r="G213" s="7">
        <v>25.920617429686406</v>
      </c>
      <c r="H213" s="3"/>
      <c r="I213" s="7"/>
      <c r="K213" s="68"/>
      <c r="L213" s="68"/>
    </row>
    <row r="214" spans="2:12">
      <c r="B214" s="8" t="s">
        <v>147</v>
      </c>
      <c r="C214" s="8" t="s">
        <v>446</v>
      </c>
      <c r="D214" s="15" t="s">
        <v>585</v>
      </c>
      <c r="E214" s="19"/>
      <c r="F214" s="9">
        <v>4969.5267036562218</v>
      </c>
      <c r="G214" s="9">
        <v>100</v>
      </c>
      <c r="H214" s="24"/>
      <c r="I214" s="9">
        <v>3633.1172043323777</v>
      </c>
      <c r="K214" s="68"/>
      <c r="L214" s="68"/>
    </row>
    <row r="215" spans="2:12">
      <c r="B215" s="6"/>
      <c r="C215" s="6" t="s">
        <v>446</v>
      </c>
      <c r="D215" s="16" t="s">
        <v>88</v>
      </c>
      <c r="E215" s="20" t="s">
        <v>311</v>
      </c>
      <c r="F215" s="7">
        <v>4778.3392887304053</v>
      </c>
      <c r="G215" s="7">
        <v>96.15280435488647</v>
      </c>
      <c r="H215" s="3"/>
      <c r="I215" s="7"/>
      <c r="K215" s="68"/>
      <c r="L215" s="68"/>
    </row>
    <row r="216" spans="2:12">
      <c r="B216" s="8" t="s">
        <v>147</v>
      </c>
      <c r="C216" s="8" t="s">
        <v>427</v>
      </c>
      <c r="D216" s="15" t="s">
        <v>586</v>
      </c>
      <c r="E216" s="19"/>
      <c r="F216" s="9">
        <v>2504.1772356902361</v>
      </c>
      <c r="G216" s="9">
        <v>100</v>
      </c>
      <c r="H216" s="24"/>
      <c r="I216" s="9">
        <v>1557.0395079220825</v>
      </c>
      <c r="K216" s="68"/>
      <c r="L216" s="68"/>
    </row>
    <row r="217" spans="2:12">
      <c r="B217" s="4"/>
      <c r="C217" s="4" t="s">
        <v>427</v>
      </c>
      <c r="D217" s="17" t="s">
        <v>89</v>
      </c>
      <c r="E217" s="21" t="s">
        <v>312</v>
      </c>
      <c r="F217" s="5">
        <v>1045.4385491859894</v>
      </c>
      <c r="G217" s="5">
        <v>41.747785831054848</v>
      </c>
      <c r="H217" s="3"/>
      <c r="I217" s="5"/>
      <c r="K217" s="68"/>
      <c r="L217" s="68"/>
    </row>
    <row r="218" spans="2:12">
      <c r="B218" s="4"/>
      <c r="C218" s="4" t="s">
        <v>427</v>
      </c>
      <c r="D218" s="17" t="s">
        <v>85</v>
      </c>
      <c r="E218" s="21" t="s">
        <v>306</v>
      </c>
      <c r="F218" s="5">
        <v>864.46207197132264</v>
      </c>
      <c r="G218" s="5">
        <v>34.520802267937221</v>
      </c>
      <c r="H218" s="3"/>
      <c r="I218" s="5"/>
      <c r="K218" s="68"/>
      <c r="L218" s="68"/>
    </row>
    <row r="219" spans="2:12">
      <c r="B219" s="6"/>
      <c r="C219" s="6" t="s">
        <v>427</v>
      </c>
      <c r="D219" s="16" t="s">
        <v>96</v>
      </c>
      <c r="E219" s="20" t="s">
        <v>305</v>
      </c>
      <c r="F219" s="7">
        <v>458.25328562539846</v>
      </c>
      <c r="G219" s="7">
        <v>18.299554803639463</v>
      </c>
      <c r="H219" s="3"/>
      <c r="I219" s="7"/>
      <c r="K219" s="68"/>
      <c r="L219" s="68"/>
    </row>
    <row r="220" spans="2:12">
      <c r="B220" s="10" t="s">
        <v>149</v>
      </c>
      <c r="C220" s="11" t="s">
        <v>150</v>
      </c>
      <c r="D220" s="11"/>
      <c r="E220" s="11"/>
      <c r="F220" s="12">
        <v>97284.56101233876</v>
      </c>
      <c r="G220" s="23"/>
      <c r="H220" s="3"/>
      <c r="I220" s="67">
        <v>45283.31164299087</v>
      </c>
      <c r="K220" s="68"/>
      <c r="L220" s="68"/>
    </row>
    <row r="221" spans="2:12">
      <c r="B221" s="8" t="s">
        <v>149</v>
      </c>
      <c r="C221" s="8" t="s">
        <v>448</v>
      </c>
      <c r="D221" s="15" t="s">
        <v>587</v>
      </c>
      <c r="E221" s="19"/>
      <c r="F221" s="9">
        <v>41811.805527397235</v>
      </c>
      <c r="G221" s="9">
        <v>100</v>
      </c>
      <c r="H221" s="24"/>
      <c r="I221" s="9">
        <v>20808.697232762686</v>
      </c>
      <c r="K221" s="68"/>
      <c r="L221" s="68"/>
    </row>
    <row r="222" spans="2:12">
      <c r="B222" s="4"/>
      <c r="C222" s="4" t="s">
        <v>448</v>
      </c>
      <c r="D222" s="17" t="s">
        <v>90</v>
      </c>
      <c r="E222" s="21" t="s">
        <v>313</v>
      </c>
      <c r="F222" s="5">
        <v>17416.199681428363</v>
      </c>
      <c r="G222" s="5">
        <v>41.653785244974358</v>
      </c>
      <c r="H222" s="3"/>
      <c r="I222" s="5"/>
      <c r="K222" s="68"/>
      <c r="L222" s="68"/>
    </row>
    <row r="223" spans="2:12">
      <c r="B223" s="4"/>
      <c r="C223" s="4" t="s">
        <v>448</v>
      </c>
      <c r="D223" s="17" t="s">
        <v>201</v>
      </c>
      <c r="E223" s="21" t="s">
        <v>314</v>
      </c>
      <c r="F223" s="5">
        <v>16153.290661579671</v>
      </c>
      <c r="G223" s="5">
        <v>38.633324865617695</v>
      </c>
      <c r="H223" s="3"/>
      <c r="I223" s="5"/>
      <c r="K223" s="68"/>
      <c r="L223" s="68"/>
    </row>
    <row r="224" spans="2:12">
      <c r="B224" s="6"/>
      <c r="C224" s="6" t="s">
        <v>448</v>
      </c>
      <c r="D224" s="16" t="s">
        <v>86</v>
      </c>
      <c r="E224" s="20" t="s">
        <v>315</v>
      </c>
      <c r="F224" s="7">
        <v>8242.3151843892028</v>
      </c>
      <c r="G224" s="7">
        <v>19.712889889407947</v>
      </c>
      <c r="H224" s="3"/>
      <c r="I224" s="7"/>
      <c r="K224" s="68"/>
      <c r="L224" s="68"/>
    </row>
    <row r="225" spans="2:12">
      <c r="B225" s="8" t="s">
        <v>149</v>
      </c>
      <c r="C225" s="8" t="s">
        <v>447</v>
      </c>
      <c r="D225" s="15" t="s">
        <v>587</v>
      </c>
      <c r="E225" s="19"/>
      <c r="F225" s="9">
        <v>24979.008156493721</v>
      </c>
      <c r="G225" s="9">
        <v>100</v>
      </c>
      <c r="H225" s="24"/>
      <c r="I225" s="9">
        <v>11384.489239888047</v>
      </c>
      <c r="K225" s="68"/>
      <c r="L225" s="68"/>
    </row>
    <row r="226" spans="2:12">
      <c r="B226" s="6"/>
      <c r="C226" s="6" t="s">
        <v>447</v>
      </c>
      <c r="D226" s="16" t="s">
        <v>90</v>
      </c>
      <c r="E226" s="20" t="s">
        <v>313</v>
      </c>
      <c r="F226" s="7">
        <v>24949.331303201772</v>
      </c>
      <c r="G226" s="7">
        <v>99.881192827569365</v>
      </c>
      <c r="H226" s="3"/>
      <c r="I226" s="7"/>
      <c r="K226" s="68"/>
      <c r="L226" s="68"/>
    </row>
    <row r="227" spans="2:12">
      <c r="B227" s="8" t="s">
        <v>149</v>
      </c>
      <c r="C227" s="8" t="s">
        <v>439</v>
      </c>
      <c r="D227" s="15" t="s">
        <v>588</v>
      </c>
      <c r="E227" s="19"/>
      <c r="F227" s="9">
        <v>26063.940861625131</v>
      </c>
      <c r="G227" s="9">
        <v>100</v>
      </c>
      <c r="H227" s="24"/>
      <c r="I227" s="9">
        <v>10613.048562614742</v>
      </c>
      <c r="K227" s="68"/>
      <c r="L227" s="68"/>
    </row>
    <row r="228" spans="2:12">
      <c r="B228" s="6"/>
      <c r="C228" s="6" t="s">
        <v>439</v>
      </c>
      <c r="D228" s="16" t="s">
        <v>91</v>
      </c>
      <c r="E228" s="20" t="s">
        <v>518</v>
      </c>
      <c r="F228" s="7">
        <v>19452.472939149626</v>
      </c>
      <c r="G228" s="7">
        <v>74.633659746328675</v>
      </c>
      <c r="H228" s="3"/>
      <c r="I228" s="7"/>
      <c r="K228" s="68"/>
      <c r="L228" s="68"/>
    </row>
    <row r="229" spans="2:12">
      <c r="B229" s="8" t="s">
        <v>149</v>
      </c>
      <c r="C229" s="8" t="s">
        <v>632</v>
      </c>
      <c r="D229" s="15" t="s">
        <v>588</v>
      </c>
      <c r="E229" s="19"/>
      <c r="F229" s="9">
        <v>200.91647518326727</v>
      </c>
      <c r="G229" s="9">
        <v>100</v>
      </c>
      <c r="H229" s="24"/>
      <c r="I229" s="9">
        <v>105.21131584716252</v>
      </c>
      <c r="K229" s="68"/>
      <c r="L229" s="68"/>
    </row>
    <row r="230" spans="2:12">
      <c r="B230" s="6"/>
      <c r="C230" s="6" t="s">
        <v>632</v>
      </c>
      <c r="D230" s="16" t="s">
        <v>91</v>
      </c>
      <c r="E230" s="20" t="s">
        <v>518</v>
      </c>
      <c r="F230" s="7">
        <v>200.91647518326727</v>
      </c>
      <c r="G230" s="7">
        <v>100</v>
      </c>
      <c r="H230" s="3"/>
      <c r="I230" s="7"/>
      <c r="K230" s="68"/>
      <c r="L230" s="68"/>
    </row>
    <row r="231" spans="2:12">
      <c r="B231" s="8" t="s">
        <v>149</v>
      </c>
      <c r="C231" s="8" t="s">
        <v>449</v>
      </c>
      <c r="D231" s="15" t="s">
        <v>589</v>
      </c>
      <c r="E231" s="19"/>
      <c r="F231" s="9">
        <v>4228.8899916393975</v>
      </c>
      <c r="G231" s="9">
        <v>100</v>
      </c>
      <c r="H231" s="24"/>
      <c r="I231" s="9">
        <v>2371.8652918782354</v>
      </c>
      <c r="K231" s="68"/>
      <c r="L231" s="68"/>
    </row>
    <row r="232" spans="2:12">
      <c r="B232" s="6"/>
      <c r="C232" s="6" t="s">
        <v>449</v>
      </c>
      <c r="D232" s="16" t="s">
        <v>86</v>
      </c>
      <c r="E232" s="20" t="s">
        <v>315</v>
      </c>
      <c r="F232" s="7">
        <v>3950.4502445824401</v>
      </c>
      <c r="G232" s="7">
        <v>93.415772280493485</v>
      </c>
      <c r="H232" s="3"/>
      <c r="I232" s="7"/>
      <c r="K232" s="68"/>
      <c r="L232" s="68"/>
    </row>
    <row r="233" spans="2:12">
      <c r="B233" s="10" t="s">
        <v>151</v>
      </c>
      <c r="C233" s="11" t="s">
        <v>152</v>
      </c>
      <c r="D233" s="11"/>
      <c r="E233" s="11"/>
      <c r="F233" s="12">
        <v>227587.58772991077</v>
      </c>
      <c r="G233" s="23"/>
      <c r="H233" s="3"/>
      <c r="I233" s="67">
        <v>169271.36736926524</v>
      </c>
      <c r="K233" s="68"/>
      <c r="L233" s="68"/>
    </row>
    <row r="234" spans="2:12">
      <c r="B234" s="8" t="s">
        <v>151</v>
      </c>
      <c r="C234" s="8" t="s">
        <v>450</v>
      </c>
      <c r="D234" s="15" t="s">
        <v>590</v>
      </c>
      <c r="E234" s="19"/>
      <c r="F234" s="9">
        <v>210482.37337980367</v>
      </c>
      <c r="G234" s="9">
        <v>100</v>
      </c>
      <c r="H234" s="24"/>
      <c r="I234" s="9">
        <v>156957.0605839398</v>
      </c>
      <c r="K234" s="68"/>
      <c r="L234" s="68"/>
    </row>
    <row r="235" spans="2:12">
      <c r="B235" s="6"/>
      <c r="C235" s="6" t="s">
        <v>450</v>
      </c>
      <c r="D235" s="16" t="s">
        <v>92</v>
      </c>
      <c r="E235" s="20" t="s">
        <v>316</v>
      </c>
      <c r="F235" s="7">
        <v>204358.12479715591</v>
      </c>
      <c r="G235" s="7">
        <v>97.090374607475141</v>
      </c>
      <c r="H235" s="3"/>
      <c r="I235" s="7"/>
      <c r="K235" s="68"/>
      <c r="L235" s="68"/>
    </row>
    <row r="236" spans="2:12">
      <c r="B236" s="8" t="s">
        <v>151</v>
      </c>
      <c r="C236" s="8" t="s">
        <v>451</v>
      </c>
      <c r="D236" s="15" t="s">
        <v>591</v>
      </c>
      <c r="E236" s="19"/>
      <c r="F236" s="9">
        <v>17105.214350107108</v>
      </c>
      <c r="G236" s="9">
        <v>100</v>
      </c>
      <c r="H236" s="24"/>
      <c r="I236" s="9">
        <v>12314.306785325429</v>
      </c>
      <c r="K236" s="68"/>
      <c r="L236" s="68"/>
    </row>
    <row r="237" spans="2:12">
      <c r="B237" s="6"/>
      <c r="C237" s="6" t="s">
        <v>451</v>
      </c>
      <c r="D237" s="16" t="s">
        <v>93</v>
      </c>
      <c r="E237" s="20" t="s">
        <v>317</v>
      </c>
      <c r="F237" s="7">
        <v>16327.947161240396</v>
      </c>
      <c r="G237" s="7">
        <v>95.455963468462201</v>
      </c>
      <c r="H237" s="3"/>
      <c r="I237" s="7"/>
      <c r="K237" s="68"/>
      <c r="L237" s="68"/>
    </row>
    <row r="238" spans="2:12">
      <c r="B238" s="10" t="s">
        <v>153</v>
      </c>
      <c r="C238" s="11" t="s">
        <v>154</v>
      </c>
      <c r="D238" s="11"/>
      <c r="E238" s="11"/>
      <c r="F238" s="12">
        <v>43416.435322086843</v>
      </c>
      <c r="G238" s="23"/>
      <c r="H238" s="3"/>
      <c r="I238" s="67">
        <v>24581.548412993536</v>
      </c>
      <c r="K238" s="68"/>
      <c r="L238" s="68"/>
    </row>
    <row r="239" spans="2:12">
      <c r="B239" s="8" t="s">
        <v>153</v>
      </c>
      <c r="C239" s="8" t="s">
        <v>452</v>
      </c>
      <c r="D239" s="15" t="s">
        <v>592</v>
      </c>
      <c r="E239" s="19"/>
      <c r="F239" s="9">
        <v>30206.125059425336</v>
      </c>
      <c r="G239" s="9">
        <v>100</v>
      </c>
      <c r="H239" s="24"/>
      <c r="I239" s="9">
        <v>17870.111861881138</v>
      </c>
      <c r="K239" s="68"/>
      <c r="L239" s="68"/>
    </row>
    <row r="240" spans="2:12">
      <c r="B240" s="4"/>
      <c r="C240" s="4" t="s">
        <v>452</v>
      </c>
      <c r="D240" s="17" t="s">
        <v>95</v>
      </c>
      <c r="E240" s="21" t="s">
        <v>319</v>
      </c>
      <c r="F240" s="5">
        <v>19159.742215247952</v>
      </c>
      <c r="G240" s="5">
        <v>63.4299903663726</v>
      </c>
      <c r="H240" s="3"/>
      <c r="I240" s="5"/>
      <c r="K240" s="68"/>
      <c r="L240" s="68"/>
    </row>
    <row r="241" spans="2:12">
      <c r="B241" s="6"/>
      <c r="C241" s="6" t="s">
        <v>452</v>
      </c>
      <c r="D241" s="16" t="s">
        <v>94</v>
      </c>
      <c r="E241" s="20" t="s">
        <v>318</v>
      </c>
      <c r="F241" s="7">
        <v>10253.543690564264</v>
      </c>
      <c r="G241" s="7">
        <v>33.945246768303406</v>
      </c>
      <c r="H241" s="3"/>
      <c r="I241" s="7"/>
      <c r="K241" s="68"/>
      <c r="L241" s="68"/>
    </row>
    <row r="242" spans="2:12">
      <c r="B242" s="8" t="s">
        <v>153</v>
      </c>
      <c r="C242" s="8" t="s">
        <v>453</v>
      </c>
      <c r="D242" s="15" t="s">
        <v>593</v>
      </c>
      <c r="E242" s="19"/>
      <c r="F242" s="9">
        <v>819.90785338438536</v>
      </c>
      <c r="G242" s="9">
        <v>100</v>
      </c>
      <c r="H242" s="24"/>
      <c r="I242" s="9">
        <v>451.13503545311909</v>
      </c>
      <c r="K242" s="68"/>
      <c r="L242" s="68"/>
    </row>
    <row r="243" spans="2:12">
      <c r="B243" s="6"/>
      <c r="C243" s="6" t="s">
        <v>453</v>
      </c>
      <c r="D243" s="16" t="s">
        <v>97</v>
      </c>
      <c r="E243" s="20" t="s">
        <v>320</v>
      </c>
      <c r="F243" s="7">
        <v>723.78293973092514</v>
      </c>
      <c r="G243" s="7">
        <v>88.276132097444943</v>
      </c>
      <c r="H243" s="3"/>
      <c r="I243" s="7"/>
      <c r="K243" s="68"/>
      <c r="L243" s="68"/>
    </row>
    <row r="244" spans="2:12">
      <c r="B244" s="8" t="s">
        <v>153</v>
      </c>
      <c r="C244" s="8" t="s">
        <v>454</v>
      </c>
      <c r="D244" s="15" t="s">
        <v>594</v>
      </c>
      <c r="E244" s="19"/>
      <c r="F244" s="9">
        <v>10466.355428636327</v>
      </c>
      <c r="G244" s="9">
        <v>100</v>
      </c>
      <c r="H244" s="24"/>
      <c r="I244" s="9">
        <v>5263.5939843835467</v>
      </c>
      <c r="K244" s="68"/>
      <c r="L244" s="68"/>
    </row>
    <row r="245" spans="2:12">
      <c r="B245" s="6"/>
      <c r="C245" s="6" t="s">
        <v>454</v>
      </c>
      <c r="D245" s="16" t="s">
        <v>98</v>
      </c>
      <c r="E245" s="20" t="s">
        <v>321</v>
      </c>
      <c r="F245" s="7">
        <v>9773.5720707071123</v>
      </c>
      <c r="G245" s="7">
        <v>93.380853892714796</v>
      </c>
      <c r="H245" s="3"/>
      <c r="I245" s="7"/>
      <c r="K245" s="68"/>
      <c r="L245" s="68"/>
    </row>
    <row r="246" spans="2:12">
      <c r="B246" s="8" t="s">
        <v>153</v>
      </c>
      <c r="C246" s="8" t="s">
        <v>455</v>
      </c>
      <c r="D246" s="15" t="s">
        <v>595</v>
      </c>
      <c r="E246" s="19"/>
      <c r="F246" s="9">
        <v>1924.0469806407957</v>
      </c>
      <c r="G246" s="9">
        <v>100</v>
      </c>
      <c r="H246" s="24"/>
      <c r="I246" s="9">
        <v>996.70753127573073</v>
      </c>
      <c r="K246" s="68"/>
      <c r="L246" s="68"/>
    </row>
    <row r="247" spans="2:12">
      <c r="B247" s="6"/>
      <c r="C247" s="6" t="s">
        <v>455</v>
      </c>
      <c r="D247" s="16" t="s">
        <v>99</v>
      </c>
      <c r="E247" s="20" t="s">
        <v>322</v>
      </c>
      <c r="F247" s="7">
        <v>1914.424289035755</v>
      </c>
      <c r="G247" s="7">
        <v>99.499872315912157</v>
      </c>
      <c r="H247" s="3"/>
      <c r="I247" s="7"/>
      <c r="K247" s="68"/>
      <c r="L247" s="68"/>
    </row>
    <row r="248" spans="2:12">
      <c r="B248" s="10" t="s">
        <v>155</v>
      </c>
      <c r="C248" s="11" t="s">
        <v>156</v>
      </c>
      <c r="D248" s="11"/>
      <c r="E248" s="11"/>
      <c r="F248" s="12">
        <v>60454.565742447354</v>
      </c>
      <c r="G248" s="23"/>
      <c r="H248" s="3"/>
      <c r="I248" s="67">
        <v>25023.095198482235</v>
      </c>
      <c r="K248" s="68"/>
      <c r="L248" s="68"/>
    </row>
    <row r="249" spans="2:12">
      <c r="B249" s="8" t="s">
        <v>155</v>
      </c>
      <c r="C249" s="8" t="s">
        <v>456</v>
      </c>
      <c r="D249" s="15" t="s">
        <v>596</v>
      </c>
      <c r="E249" s="19"/>
      <c r="F249" s="9">
        <v>3868.8766901135637</v>
      </c>
      <c r="G249" s="9">
        <v>100</v>
      </c>
      <c r="H249" s="24"/>
      <c r="I249" s="9">
        <v>2230.5170657924077</v>
      </c>
      <c r="K249" s="68"/>
      <c r="L249" s="68"/>
    </row>
    <row r="250" spans="2:12">
      <c r="B250" s="6"/>
      <c r="C250" s="6" t="s">
        <v>456</v>
      </c>
      <c r="D250" s="16" t="s">
        <v>100</v>
      </c>
      <c r="E250" s="20" t="s">
        <v>323</v>
      </c>
      <c r="F250" s="7">
        <v>3130.9771901264035</v>
      </c>
      <c r="G250" s="7">
        <v>80.927293395709114</v>
      </c>
      <c r="H250" s="3"/>
      <c r="I250" s="7"/>
      <c r="K250" s="68"/>
      <c r="L250" s="68"/>
    </row>
    <row r="251" spans="2:12">
      <c r="B251" s="8" t="s">
        <v>155</v>
      </c>
      <c r="C251" s="8" t="s">
        <v>457</v>
      </c>
      <c r="D251" s="15" t="s">
        <v>597</v>
      </c>
      <c r="E251" s="19"/>
      <c r="F251" s="9">
        <v>56585.689052333793</v>
      </c>
      <c r="G251" s="9">
        <v>100</v>
      </c>
      <c r="H251" s="24"/>
      <c r="I251" s="9">
        <v>22792.578132689829</v>
      </c>
      <c r="K251" s="68"/>
      <c r="L251" s="68"/>
    </row>
    <row r="252" spans="2:12">
      <c r="B252" s="6"/>
      <c r="C252" s="6" t="s">
        <v>457</v>
      </c>
      <c r="D252" s="16" t="s">
        <v>101</v>
      </c>
      <c r="E252" s="20" t="s">
        <v>324</v>
      </c>
      <c r="F252" s="7">
        <v>55429.997068640325</v>
      </c>
      <c r="G252" s="7">
        <v>97.957624970114594</v>
      </c>
      <c r="H252" s="3"/>
      <c r="I252" s="7"/>
      <c r="K252" s="68"/>
      <c r="L252" s="68"/>
    </row>
    <row r="253" spans="2:12">
      <c r="B253" s="10" t="s">
        <v>157</v>
      </c>
      <c r="C253" s="11" t="s">
        <v>158</v>
      </c>
      <c r="D253" s="11"/>
      <c r="E253" s="11"/>
      <c r="F253" s="12">
        <v>43620.650737517812</v>
      </c>
      <c r="G253" s="23"/>
      <c r="H253" s="3"/>
      <c r="I253" s="67">
        <v>25249.122482444633</v>
      </c>
      <c r="K253" s="68"/>
      <c r="L253" s="68"/>
    </row>
    <row r="254" spans="2:12">
      <c r="B254" s="8" t="s">
        <v>157</v>
      </c>
      <c r="C254" s="8" t="s">
        <v>458</v>
      </c>
      <c r="D254" s="15" t="s">
        <v>598</v>
      </c>
      <c r="E254" s="19"/>
      <c r="F254" s="9">
        <v>2494.0235419771252</v>
      </c>
      <c r="G254" s="9">
        <v>100</v>
      </c>
      <c r="H254" s="24"/>
      <c r="I254" s="9">
        <v>1378.3798688960062</v>
      </c>
      <c r="K254" s="68"/>
      <c r="L254" s="68"/>
    </row>
    <row r="255" spans="2:12">
      <c r="B255" s="4"/>
      <c r="C255" s="4" t="s">
        <v>458</v>
      </c>
      <c r="D255" s="17" t="s">
        <v>83</v>
      </c>
      <c r="E255" s="21" t="s">
        <v>325</v>
      </c>
      <c r="F255" s="5">
        <v>1847.0793093128282</v>
      </c>
      <c r="G255" s="5">
        <v>74.060219489691136</v>
      </c>
      <c r="H255" s="3"/>
      <c r="I255" s="5"/>
      <c r="K255" s="68"/>
      <c r="L255" s="68"/>
    </row>
    <row r="256" spans="2:12">
      <c r="B256" s="6"/>
      <c r="C256" s="6" t="s">
        <v>458</v>
      </c>
      <c r="D256" s="16" t="s">
        <v>117</v>
      </c>
      <c r="E256" s="20" t="s">
        <v>339</v>
      </c>
      <c r="F256" s="7">
        <v>621.42266128897018</v>
      </c>
      <c r="G256" s="7">
        <v>24.916471349598421</v>
      </c>
      <c r="H256" s="3"/>
      <c r="I256" s="7"/>
      <c r="K256" s="68"/>
      <c r="L256" s="68"/>
    </row>
    <row r="257" spans="2:12">
      <c r="B257" s="8" t="s">
        <v>157</v>
      </c>
      <c r="C257" s="8" t="s">
        <v>459</v>
      </c>
      <c r="D257" s="15" t="s">
        <v>599</v>
      </c>
      <c r="E257" s="19"/>
      <c r="F257" s="9">
        <v>2591.2466040677177</v>
      </c>
      <c r="G257" s="9">
        <v>100</v>
      </c>
      <c r="H257" s="24"/>
      <c r="I257" s="9">
        <v>1164.2601999227256</v>
      </c>
      <c r="K257" s="68"/>
      <c r="L257" s="68"/>
    </row>
    <row r="258" spans="2:12">
      <c r="B258" s="4"/>
      <c r="C258" s="4" t="s">
        <v>459</v>
      </c>
      <c r="D258" s="17" t="s">
        <v>117</v>
      </c>
      <c r="E258" s="21" t="s">
        <v>339</v>
      </c>
      <c r="F258" s="5">
        <v>1579.9916493564306</v>
      </c>
      <c r="G258" s="5">
        <v>60.974190834487644</v>
      </c>
      <c r="H258" s="3"/>
      <c r="I258" s="5"/>
      <c r="K258" s="68"/>
      <c r="L258" s="68"/>
    </row>
    <row r="259" spans="2:12">
      <c r="B259" s="6"/>
      <c r="C259" s="6" t="s">
        <v>459</v>
      </c>
      <c r="D259" s="16" t="s">
        <v>102</v>
      </c>
      <c r="E259" s="20" t="s">
        <v>328</v>
      </c>
      <c r="F259" s="7">
        <v>537.89204958482935</v>
      </c>
      <c r="G259" s="7">
        <v>20.758041659965933</v>
      </c>
      <c r="H259" s="3"/>
      <c r="I259" s="7"/>
      <c r="K259" s="68"/>
      <c r="L259" s="68"/>
    </row>
    <row r="260" spans="2:12">
      <c r="B260" s="8" t="s">
        <v>157</v>
      </c>
      <c r="C260" s="8" t="s">
        <v>460</v>
      </c>
      <c r="D260" s="15" t="s">
        <v>600</v>
      </c>
      <c r="E260" s="19"/>
      <c r="F260" s="9">
        <v>33814.970627406823</v>
      </c>
      <c r="G260" s="9">
        <v>100</v>
      </c>
      <c r="H260" s="24"/>
      <c r="I260" s="9">
        <v>19796.823861662619</v>
      </c>
      <c r="K260" s="68"/>
      <c r="L260" s="68"/>
    </row>
    <row r="261" spans="2:12">
      <c r="B261" s="6"/>
      <c r="C261" s="6" t="s">
        <v>460</v>
      </c>
      <c r="D261" s="16" t="s">
        <v>103</v>
      </c>
      <c r="E261" s="20" t="s">
        <v>326</v>
      </c>
      <c r="F261" s="7">
        <v>32124.898314496735</v>
      </c>
      <c r="G261" s="7">
        <v>95.001999760602203</v>
      </c>
      <c r="H261" s="3"/>
      <c r="I261" s="7"/>
      <c r="K261" s="68"/>
      <c r="L261" s="68"/>
    </row>
    <row r="262" spans="2:12">
      <c r="B262" s="8" t="s">
        <v>157</v>
      </c>
      <c r="C262" s="8" t="s">
        <v>461</v>
      </c>
      <c r="D262" s="15" t="s">
        <v>601</v>
      </c>
      <c r="E262" s="19"/>
      <c r="F262" s="9">
        <v>4720.4099640661461</v>
      </c>
      <c r="G262" s="9">
        <v>100</v>
      </c>
      <c r="H262" s="24"/>
      <c r="I262" s="9">
        <v>2909.6585519632818</v>
      </c>
      <c r="K262" s="68"/>
      <c r="L262" s="68"/>
    </row>
    <row r="263" spans="2:12">
      <c r="B263" s="6"/>
      <c r="C263" s="6" t="s">
        <v>461</v>
      </c>
      <c r="D263" s="16" t="s">
        <v>104</v>
      </c>
      <c r="E263" s="20" t="s">
        <v>327</v>
      </c>
      <c r="F263" s="7">
        <v>4025.1251969719847</v>
      </c>
      <c r="G263" s="7">
        <v>85.270669870054135</v>
      </c>
      <c r="H263" s="3"/>
      <c r="I263" s="7"/>
      <c r="K263" s="68"/>
      <c r="L263" s="68"/>
    </row>
    <row r="264" spans="2:12">
      <c r="B264" s="10" t="s">
        <v>159</v>
      </c>
      <c r="C264" s="11" t="s">
        <v>160</v>
      </c>
      <c r="D264" s="11"/>
      <c r="E264" s="11"/>
      <c r="F264" s="12">
        <v>56089.429039117706</v>
      </c>
      <c r="G264" s="23"/>
      <c r="H264" s="3"/>
      <c r="I264" s="67">
        <v>34720.894404947991</v>
      </c>
      <c r="K264" s="68"/>
      <c r="L264" s="68"/>
    </row>
    <row r="265" spans="2:12">
      <c r="B265" s="8" t="s">
        <v>159</v>
      </c>
      <c r="C265" s="8" t="s">
        <v>464</v>
      </c>
      <c r="D265" s="15" t="s">
        <v>602</v>
      </c>
      <c r="E265" s="19"/>
      <c r="F265" s="9">
        <v>41018.094144344228</v>
      </c>
      <c r="G265" s="9">
        <v>100</v>
      </c>
      <c r="H265" s="24"/>
      <c r="I265" s="9">
        <v>28204.844327204384</v>
      </c>
      <c r="K265" s="68"/>
      <c r="L265" s="68"/>
    </row>
    <row r="266" spans="2:12">
      <c r="B266" s="4"/>
      <c r="C266" s="4" t="s">
        <v>464</v>
      </c>
      <c r="D266" s="17" t="s">
        <v>202</v>
      </c>
      <c r="E266" s="21" t="s">
        <v>519</v>
      </c>
      <c r="F266" s="5">
        <v>31497.749688626329</v>
      </c>
      <c r="G266" s="5">
        <v>76.789890768168206</v>
      </c>
      <c r="H266" s="3"/>
      <c r="I266" s="5"/>
      <c r="K266" s="68"/>
      <c r="L266" s="68"/>
    </row>
    <row r="267" spans="2:12">
      <c r="B267" s="6"/>
      <c r="C267" s="6" t="s">
        <v>464</v>
      </c>
      <c r="D267" s="16" t="s">
        <v>106</v>
      </c>
      <c r="E267" s="20" t="s">
        <v>329</v>
      </c>
      <c r="F267" s="7">
        <v>4189.2815804899374</v>
      </c>
      <c r="G267" s="7">
        <v>10.213252633697941</v>
      </c>
      <c r="H267" s="3"/>
      <c r="I267" s="7"/>
      <c r="K267" s="68"/>
      <c r="L267" s="68"/>
    </row>
    <row r="268" spans="2:12">
      <c r="B268" s="8" t="s">
        <v>159</v>
      </c>
      <c r="C268" s="8" t="s">
        <v>465</v>
      </c>
      <c r="D268" s="15" t="s">
        <v>603</v>
      </c>
      <c r="E268" s="19"/>
      <c r="F268" s="9">
        <v>7360.8923529282474</v>
      </c>
      <c r="G268" s="9">
        <v>100</v>
      </c>
      <c r="H268" s="24"/>
      <c r="I268" s="9">
        <v>2123.8119427423717</v>
      </c>
      <c r="K268" s="68"/>
      <c r="L268" s="68"/>
    </row>
    <row r="269" spans="2:12">
      <c r="B269" s="6"/>
      <c r="C269" s="6" t="s">
        <v>465</v>
      </c>
      <c r="D269" s="16" t="s">
        <v>107</v>
      </c>
      <c r="E269" s="20" t="s">
        <v>330</v>
      </c>
      <c r="F269" s="7">
        <v>7330.0300349782474</v>
      </c>
      <c r="G269" s="7">
        <v>99.580725862160961</v>
      </c>
      <c r="H269" s="3"/>
      <c r="I269" s="7"/>
      <c r="K269" s="68"/>
      <c r="L269" s="68"/>
    </row>
    <row r="270" spans="2:12">
      <c r="B270" s="8" t="s">
        <v>159</v>
      </c>
      <c r="C270" s="8" t="s">
        <v>466</v>
      </c>
      <c r="D270" s="15" t="s">
        <v>604</v>
      </c>
      <c r="E270" s="19"/>
      <c r="F270" s="9">
        <v>7710.4425418452338</v>
      </c>
      <c r="G270" s="9">
        <v>100</v>
      </c>
      <c r="H270" s="24"/>
      <c r="I270" s="9">
        <v>4392.2381350012347</v>
      </c>
      <c r="K270" s="68"/>
      <c r="L270" s="68"/>
    </row>
    <row r="271" spans="2:12">
      <c r="B271" s="4"/>
      <c r="C271" s="4" t="s">
        <v>466</v>
      </c>
      <c r="D271" s="17" t="s">
        <v>108</v>
      </c>
      <c r="E271" s="21" t="s">
        <v>331</v>
      </c>
      <c r="F271" s="5">
        <v>4563.2949997657943</v>
      </c>
      <c r="G271" s="5">
        <v>59.183308545526415</v>
      </c>
      <c r="H271" s="3"/>
      <c r="I271" s="5"/>
      <c r="K271" s="68"/>
      <c r="L271" s="68"/>
    </row>
    <row r="272" spans="2:12">
      <c r="B272" s="6"/>
      <c r="C272" s="6" t="s">
        <v>466</v>
      </c>
      <c r="D272" s="16" t="s">
        <v>109</v>
      </c>
      <c r="E272" s="20" t="s">
        <v>332</v>
      </c>
      <c r="F272" s="7">
        <v>1896.1792295785058</v>
      </c>
      <c r="G272" s="7">
        <v>24.592352764290485</v>
      </c>
      <c r="H272" s="3"/>
      <c r="I272" s="7"/>
      <c r="K272" s="68"/>
      <c r="L272" s="68"/>
    </row>
    <row r="273" spans="2:12">
      <c r="B273" s="10" t="s">
        <v>161</v>
      </c>
      <c r="C273" s="11" t="s">
        <v>162</v>
      </c>
      <c r="D273" s="11"/>
      <c r="E273" s="11"/>
      <c r="F273" s="12">
        <v>69815.035825945713</v>
      </c>
      <c r="G273" s="23"/>
      <c r="H273" s="3"/>
      <c r="I273" s="67">
        <v>61224.288553911523</v>
      </c>
      <c r="K273" s="68"/>
      <c r="L273" s="68"/>
    </row>
    <row r="274" spans="2:12">
      <c r="B274" s="8" t="s">
        <v>161</v>
      </c>
      <c r="C274" s="8" t="s">
        <v>605</v>
      </c>
      <c r="D274" s="15" t="s">
        <v>606</v>
      </c>
      <c r="E274" s="19"/>
      <c r="F274" s="9">
        <v>8222.069617964331</v>
      </c>
      <c r="G274" s="9">
        <v>100</v>
      </c>
      <c r="H274" s="24"/>
      <c r="I274" s="9">
        <v>7901.3853960827391</v>
      </c>
      <c r="K274" s="68"/>
      <c r="L274" s="68"/>
    </row>
    <row r="275" spans="2:12">
      <c r="B275" s="6"/>
      <c r="C275" s="6" t="s">
        <v>605</v>
      </c>
      <c r="D275" s="16" t="s">
        <v>110</v>
      </c>
      <c r="E275" s="20" t="s">
        <v>333</v>
      </c>
      <c r="F275" s="7">
        <v>8222.069617964331</v>
      </c>
      <c r="G275" s="7">
        <v>100</v>
      </c>
      <c r="H275" s="3"/>
      <c r="I275" s="7"/>
      <c r="K275" s="68"/>
      <c r="L275" s="68"/>
    </row>
    <row r="276" spans="2:12">
      <c r="B276" s="8" t="s">
        <v>161</v>
      </c>
      <c r="C276" s="8" t="s">
        <v>467</v>
      </c>
      <c r="D276" s="15" t="s">
        <v>606</v>
      </c>
      <c r="E276" s="19"/>
      <c r="F276" s="9">
        <v>41830.471238186845</v>
      </c>
      <c r="G276" s="9">
        <v>100</v>
      </c>
      <c r="H276" s="24"/>
      <c r="I276" s="9">
        <v>38657.098174221799</v>
      </c>
      <c r="K276" s="68"/>
      <c r="L276" s="68"/>
    </row>
    <row r="277" spans="2:12">
      <c r="B277" s="6"/>
      <c r="C277" s="6" t="s">
        <v>467</v>
      </c>
      <c r="D277" s="16" t="s">
        <v>110</v>
      </c>
      <c r="E277" s="20" t="s">
        <v>333</v>
      </c>
      <c r="F277" s="7">
        <v>41830.471238186845</v>
      </c>
      <c r="G277" s="7">
        <v>100</v>
      </c>
      <c r="H277" s="3"/>
      <c r="I277" s="7"/>
      <c r="K277" s="68"/>
      <c r="L277" s="68"/>
    </row>
    <row r="278" spans="2:12">
      <c r="B278" s="8" t="s">
        <v>161</v>
      </c>
      <c r="C278" s="8" t="s">
        <v>468</v>
      </c>
      <c r="D278" s="15" t="s">
        <v>607</v>
      </c>
      <c r="E278" s="19"/>
      <c r="F278" s="9">
        <v>19762.494969794545</v>
      </c>
      <c r="G278" s="9">
        <v>100</v>
      </c>
      <c r="H278" s="24"/>
      <c r="I278" s="9">
        <v>14665.804983606982</v>
      </c>
      <c r="K278" s="68"/>
      <c r="L278" s="68"/>
    </row>
    <row r="279" spans="2:12">
      <c r="B279" s="6"/>
      <c r="C279" s="6" t="s">
        <v>468</v>
      </c>
      <c r="D279" s="16" t="s">
        <v>111</v>
      </c>
      <c r="E279" s="20" t="s">
        <v>334</v>
      </c>
      <c r="F279" s="7">
        <v>19142.09789509156</v>
      </c>
      <c r="G279" s="7">
        <v>96.860735065834476</v>
      </c>
      <c r="H279" s="3"/>
      <c r="I279" s="7"/>
      <c r="K279" s="68"/>
      <c r="L279" s="68"/>
    </row>
    <row r="280" spans="2:12">
      <c r="B280" s="10" t="s">
        <v>163</v>
      </c>
      <c r="C280" s="11" t="s">
        <v>164</v>
      </c>
      <c r="D280" s="11"/>
      <c r="E280" s="11"/>
      <c r="F280" s="12">
        <v>27403.030403076897</v>
      </c>
      <c r="G280" s="23"/>
      <c r="H280" s="3"/>
      <c r="I280" s="67">
        <v>18562.887021797807</v>
      </c>
      <c r="K280" s="68"/>
      <c r="L280" s="68"/>
    </row>
    <row r="281" spans="2:12">
      <c r="B281" s="8" t="s">
        <v>163</v>
      </c>
      <c r="C281" s="8" t="s">
        <v>469</v>
      </c>
      <c r="D281" s="15" t="s">
        <v>608</v>
      </c>
      <c r="E281" s="19"/>
      <c r="F281" s="9">
        <v>6876.3789119247367</v>
      </c>
      <c r="G281" s="9">
        <v>100</v>
      </c>
      <c r="H281" s="24"/>
      <c r="I281" s="9">
        <v>5512.0227746998789</v>
      </c>
      <c r="K281" s="68"/>
      <c r="L281" s="68"/>
    </row>
    <row r="282" spans="2:12">
      <c r="B282" s="4"/>
      <c r="C282" s="4" t="s">
        <v>469</v>
      </c>
      <c r="D282" s="17" t="s">
        <v>113</v>
      </c>
      <c r="E282" s="21" t="s">
        <v>336</v>
      </c>
      <c r="F282" s="5">
        <v>3596.6440275805644</v>
      </c>
      <c r="G282" s="5">
        <v>52.304331591492293</v>
      </c>
      <c r="H282" s="3"/>
      <c r="I282" s="5"/>
      <c r="K282" s="68"/>
      <c r="L282" s="68"/>
    </row>
    <row r="283" spans="2:12">
      <c r="B283" s="6"/>
      <c r="C283" s="6" t="s">
        <v>469</v>
      </c>
      <c r="D283" s="16" t="s">
        <v>112</v>
      </c>
      <c r="E283" s="20" t="s">
        <v>335</v>
      </c>
      <c r="F283" s="7">
        <v>3279.7348843441723</v>
      </c>
      <c r="G283" s="7">
        <v>47.6956684085077</v>
      </c>
      <c r="H283" s="3"/>
      <c r="I283" s="7"/>
      <c r="K283" s="68"/>
      <c r="L283" s="68"/>
    </row>
    <row r="284" spans="2:12">
      <c r="B284" s="8" t="s">
        <v>163</v>
      </c>
      <c r="C284" s="8" t="s">
        <v>474</v>
      </c>
      <c r="D284" s="15" t="s">
        <v>609</v>
      </c>
      <c r="E284" s="19"/>
      <c r="F284" s="9">
        <v>9004.8983898916576</v>
      </c>
      <c r="G284" s="9">
        <v>100</v>
      </c>
      <c r="H284" s="24"/>
      <c r="I284" s="9">
        <v>6374.472951220976</v>
      </c>
      <c r="K284" s="68"/>
      <c r="L284" s="68"/>
    </row>
    <row r="285" spans="2:12">
      <c r="B285" s="6"/>
      <c r="C285" s="6" t="s">
        <v>474</v>
      </c>
      <c r="D285" s="16" t="s">
        <v>114</v>
      </c>
      <c r="E285" s="20" t="s">
        <v>340</v>
      </c>
      <c r="F285" s="7">
        <v>8903.3610659200658</v>
      </c>
      <c r="G285" s="7">
        <v>98.872421213707739</v>
      </c>
      <c r="H285" s="3"/>
      <c r="I285" s="7"/>
      <c r="K285" s="68"/>
      <c r="L285" s="68"/>
    </row>
    <row r="286" spans="2:12">
      <c r="B286" s="8" t="s">
        <v>163</v>
      </c>
      <c r="C286" s="8" t="s">
        <v>470</v>
      </c>
      <c r="D286" s="15" t="s">
        <v>610</v>
      </c>
      <c r="E286" s="19"/>
      <c r="F286" s="9">
        <v>3713.7498233859615</v>
      </c>
      <c r="G286" s="9">
        <v>100</v>
      </c>
      <c r="H286" s="24"/>
      <c r="I286" s="9">
        <v>2149.160239304857</v>
      </c>
      <c r="K286" s="68"/>
      <c r="L286" s="68"/>
    </row>
    <row r="287" spans="2:12">
      <c r="B287" s="6"/>
      <c r="C287" s="6" t="s">
        <v>470</v>
      </c>
      <c r="D287" s="16" t="s">
        <v>115</v>
      </c>
      <c r="E287" s="20" t="s">
        <v>337</v>
      </c>
      <c r="F287" s="7">
        <v>3643.7776561817136</v>
      </c>
      <c r="G287" s="7">
        <v>98.115862119639189</v>
      </c>
      <c r="H287" s="3"/>
      <c r="I287" s="7"/>
      <c r="K287" s="68"/>
      <c r="L287" s="68"/>
    </row>
    <row r="288" spans="2:12">
      <c r="B288" s="8" t="s">
        <v>163</v>
      </c>
      <c r="C288" s="8" t="s">
        <v>471</v>
      </c>
      <c r="D288" s="15" t="s">
        <v>611</v>
      </c>
      <c r="E288" s="19"/>
      <c r="F288" s="9">
        <v>203.55370621340836</v>
      </c>
      <c r="G288" s="9">
        <v>100</v>
      </c>
      <c r="H288" s="24"/>
      <c r="I288" s="9">
        <v>21.370351119072183</v>
      </c>
      <c r="K288" s="68"/>
      <c r="L288" s="68"/>
    </row>
    <row r="289" spans="2:12">
      <c r="B289" s="6"/>
      <c r="C289" s="6" t="s">
        <v>471</v>
      </c>
      <c r="D289" s="16" t="s">
        <v>116</v>
      </c>
      <c r="E289" s="20" t="s">
        <v>338</v>
      </c>
      <c r="F289" s="7">
        <v>203.55370621340836</v>
      </c>
      <c r="G289" s="7">
        <v>100</v>
      </c>
      <c r="H289" s="3"/>
      <c r="I289" s="7"/>
      <c r="K289" s="68"/>
      <c r="L289" s="68"/>
    </row>
    <row r="290" spans="2:12">
      <c r="B290" s="8" t="s">
        <v>163</v>
      </c>
      <c r="C290" s="8" t="s">
        <v>472</v>
      </c>
      <c r="D290" s="15" t="s">
        <v>611</v>
      </c>
      <c r="E290" s="19"/>
      <c r="F290" s="9">
        <v>91.068937142488835</v>
      </c>
      <c r="G290" s="9">
        <v>100</v>
      </c>
      <c r="H290" s="24"/>
      <c r="I290" s="9">
        <v>54.781982302639825</v>
      </c>
      <c r="K290" s="68"/>
      <c r="L290" s="68"/>
    </row>
    <row r="291" spans="2:12">
      <c r="B291" s="6"/>
      <c r="C291" s="6" t="s">
        <v>472</v>
      </c>
      <c r="D291" s="16" t="s">
        <v>116</v>
      </c>
      <c r="E291" s="20" t="s">
        <v>338</v>
      </c>
      <c r="F291" s="7">
        <v>91.068937142488835</v>
      </c>
      <c r="G291" s="7">
        <v>100</v>
      </c>
      <c r="H291" s="3"/>
      <c r="I291" s="7"/>
      <c r="K291" s="68"/>
      <c r="L291" s="68"/>
    </row>
    <row r="292" spans="2:12">
      <c r="B292" s="8" t="s">
        <v>163</v>
      </c>
      <c r="C292" s="8" t="s">
        <v>473</v>
      </c>
      <c r="D292" s="15" t="s">
        <v>612</v>
      </c>
      <c r="E292" s="19"/>
      <c r="F292" s="9">
        <v>6247.333686369062</v>
      </c>
      <c r="G292" s="9">
        <v>100</v>
      </c>
      <c r="H292" s="24"/>
      <c r="I292" s="9">
        <v>3613.9442534415148</v>
      </c>
      <c r="K292" s="68"/>
      <c r="L292" s="68"/>
    </row>
    <row r="293" spans="2:12">
      <c r="B293" s="6"/>
      <c r="C293" s="6" t="s">
        <v>473</v>
      </c>
      <c r="D293" s="16" t="s">
        <v>117</v>
      </c>
      <c r="E293" s="20" t="s">
        <v>339</v>
      </c>
      <c r="F293" s="7">
        <v>6246.3871513163522</v>
      </c>
      <c r="G293" s="7">
        <v>99.984848975575375</v>
      </c>
      <c r="H293" s="3"/>
      <c r="I293" s="7"/>
      <c r="K293" s="68"/>
      <c r="L293" s="68"/>
    </row>
    <row r="294" spans="2:12">
      <c r="B294" s="8" t="s">
        <v>163</v>
      </c>
      <c r="C294" s="8" t="s">
        <v>613</v>
      </c>
      <c r="D294" s="15" t="s">
        <v>340</v>
      </c>
      <c r="E294" s="19"/>
      <c r="F294" s="9">
        <v>1064.5115773006839</v>
      </c>
      <c r="G294" s="9">
        <v>100</v>
      </c>
      <c r="H294" s="24"/>
      <c r="I294" s="9">
        <v>699.30748879891746</v>
      </c>
      <c r="K294" s="68"/>
      <c r="L294" s="68"/>
    </row>
    <row r="295" spans="2:12">
      <c r="B295" s="6"/>
      <c r="C295" s="6" t="s">
        <v>613</v>
      </c>
      <c r="D295" s="16" t="s">
        <v>114</v>
      </c>
      <c r="E295" s="20" t="s">
        <v>340</v>
      </c>
      <c r="F295" s="7">
        <v>1055.0948134591174</v>
      </c>
      <c r="G295" s="7">
        <v>99.115391129381152</v>
      </c>
      <c r="H295" s="3"/>
      <c r="I295" s="7"/>
      <c r="K295" s="68"/>
      <c r="L295" s="68"/>
    </row>
    <row r="296" spans="2:12">
      <c r="B296" s="8" t="s">
        <v>163</v>
      </c>
      <c r="C296" s="8" t="s">
        <v>475</v>
      </c>
      <c r="D296" s="15" t="s">
        <v>614</v>
      </c>
      <c r="E296" s="19"/>
      <c r="F296" s="9">
        <v>201.53537084889675</v>
      </c>
      <c r="G296" s="9">
        <v>100</v>
      </c>
      <c r="H296" s="24"/>
      <c r="I296" s="9">
        <v>137.82698090995041</v>
      </c>
      <c r="K296" s="68"/>
      <c r="L296" s="68"/>
    </row>
    <row r="297" spans="2:12">
      <c r="B297" s="6"/>
      <c r="C297" s="6" t="s">
        <v>475</v>
      </c>
      <c r="D297" s="16" t="s">
        <v>118</v>
      </c>
      <c r="E297" s="20" t="s">
        <v>341</v>
      </c>
      <c r="F297" s="7">
        <v>185.53999529652978</v>
      </c>
      <c r="G297" s="7">
        <v>92.063241561522389</v>
      </c>
      <c r="H297" s="3"/>
      <c r="I297" s="7"/>
      <c r="K297" s="68"/>
      <c r="L297" s="68"/>
    </row>
    <row r="298" spans="2:12">
      <c r="B298" s="10" t="s">
        <v>165</v>
      </c>
      <c r="C298" s="11" t="s">
        <v>166</v>
      </c>
      <c r="D298" s="11"/>
      <c r="E298" s="11"/>
      <c r="F298" s="12">
        <v>34236.584250338943</v>
      </c>
      <c r="G298" s="23"/>
      <c r="H298" s="3"/>
      <c r="I298" s="67">
        <v>26539.551294241213</v>
      </c>
      <c r="K298" s="68"/>
      <c r="L298" s="68"/>
    </row>
    <row r="299" spans="2:12">
      <c r="B299" s="8" t="s">
        <v>165</v>
      </c>
      <c r="C299" s="8" t="s">
        <v>462</v>
      </c>
      <c r="D299" s="15" t="s">
        <v>615</v>
      </c>
      <c r="E299" s="19"/>
      <c r="F299" s="9">
        <v>5691.6942935228471</v>
      </c>
      <c r="G299" s="9">
        <v>100</v>
      </c>
      <c r="H299" s="24"/>
      <c r="I299" s="9">
        <v>3768.543356760711</v>
      </c>
      <c r="K299" s="68"/>
      <c r="L299" s="68"/>
    </row>
    <row r="300" spans="2:12">
      <c r="B300" s="6"/>
      <c r="C300" s="6" t="s">
        <v>462</v>
      </c>
      <c r="D300" s="16" t="s">
        <v>119</v>
      </c>
      <c r="E300" s="20" t="s">
        <v>342</v>
      </c>
      <c r="F300" s="7">
        <v>5110.2219249906593</v>
      </c>
      <c r="G300" s="7">
        <v>89.783843991868935</v>
      </c>
      <c r="H300" s="3"/>
      <c r="I300" s="7"/>
      <c r="K300" s="68"/>
      <c r="L300" s="68"/>
    </row>
    <row r="301" spans="2:12">
      <c r="B301" s="8" t="s">
        <v>165</v>
      </c>
      <c r="C301" s="8" t="s">
        <v>476</v>
      </c>
      <c r="D301" s="15" t="s">
        <v>616</v>
      </c>
      <c r="E301" s="19"/>
      <c r="F301" s="9">
        <v>8524.9689448457757</v>
      </c>
      <c r="G301" s="9">
        <v>100</v>
      </c>
      <c r="H301" s="24"/>
      <c r="I301" s="9">
        <v>7545.463755822615</v>
      </c>
      <c r="K301" s="68"/>
      <c r="L301" s="68"/>
    </row>
    <row r="302" spans="2:12">
      <c r="B302" s="6"/>
      <c r="C302" s="6" t="s">
        <v>476</v>
      </c>
      <c r="D302" s="16" t="s">
        <v>120</v>
      </c>
      <c r="E302" s="20" t="s">
        <v>343</v>
      </c>
      <c r="F302" s="7">
        <v>8311.2225425609922</v>
      </c>
      <c r="G302" s="7">
        <v>97.492701689969024</v>
      </c>
      <c r="H302" s="3"/>
      <c r="I302" s="7"/>
      <c r="K302" s="68"/>
      <c r="L302" s="68"/>
    </row>
    <row r="303" spans="2:12">
      <c r="B303" s="8" t="s">
        <v>165</v>
      </c>
      <c r="C303" s="8" t="s">
        <v>477</v>
      </c>
      <c r="D303" s="15" t="s">
        <v>617</v>
      </c>
      <c r="E303" s="19"/>
      <c r="F303" s="9">
        <v>1099.3600556254019</v>
      </c>
      <c r="G303" s="9">
        <v>100</v>
      </c>
      <c r="H303" s="24"/>
      <c r="I303" s="9">
        <v>595.20963781652972</v>
      </c>
      <c r="K303" s="68"/>
      <c r="L303" s="68"/>
    </row>
    <row r="304" spans="2:12">
      <c r="B304" s="6"/>
      <c r="C304" s="6" t="s">
        <v>477</v>
      </c>
      <c r="D304" s="16" t="s">
        <v>121</v>
      </c>
      <c r="E304" s="20" t="s">
        <v>520</v>
      </c>
      <c r="F304" s="7">
        <v>1072.2790613068071</v>
      </c>
      <c r="G304" s="7">
        <v>97.536658333180114</v>
      </c>
      <c r="H304" s="3"/>
      <c r="I304" s="7"/>
      <c r="K304" s="68"/>
      <c r="L304" s="68"/>
    </row>
    <row r="305" spans="2:12">
      <c r="B305" s="8" t="s">
        <v>165</v>
      </c>
      <c r="C305" s="8" t="s">
        <v>478</v>
      </c>
      <c r="D305" s="15" t="s">
        <v>618</v>
      </c>
      <c r="E305" s="19"/>
      <c r="F305" s="9">
        <v>5374.2878492127002</v>
      </c>
      <c r="G305" s="9">
        <v>100</v>
      </c>
      <c r="H305" s="24"/>
      <c r="I305" s="9">
        <v>4357.2273865184061</v>
      </c>
      <c r="K305" s="68"/>
      <c r="L305" s="68"/>
    </row>
    <row r="306" spans="2:12">
      <c r="B306" s="6"/>
      <c r="C306" s="6" t="s">
        <v>478</v>
      </c>
      <c r="D306" s="16" t="s">
        <v>122</v>
      </c>
      <c r="E306" s="20" t="s">
        <v>344</v>
      </c>
      <c r="F306" s="7">
        <v>5293.147864621692</v>
      </c>
      <c r="G306" s="7">
        <v>98.490218855640663</v>
      </c>
      <c r="H306" s="3"/>
      <c r="I306" s="7"/>
      <c r="K306" s="68"/>
      <c r="L306" s="68"/>
    </row>
    <row r="307" spans="2:12">
      <c r="B307" s="8" t="s">
        <v>165</v>
      </c>
      <c r="C307" s="8" t="s">
        <v>479</v>
      </c>
      <c r="D307" s="15" t="s">
        <v>619</v>
      </c>
      <c r="E307" s="19"/>
      <c r="F307" s="9">
        <v>1878.9710277409986</v>
      </c>
      <c r="G307" s="9">
        <v>100</v>
      </c>
      <c r="H307" s="24"/>
      <c r="I307" s="9">
        <v>1345.8692087930106</v>
      </c>
      <c r="K307" s="68"/>
      <c r="L307" s="68"/>
    </row>
    <row r="308" spans="2:12">
      <c r="B308" s="6"/>
      <c r="C308" s="6" t="s">
        <v>479</v>
      </c>
      <c r="D308" s="16" t="s">
        <v>123</v>
      </c>
      <c r="E308" s="20" t="s">
        <v>345</v>
      </c>
      <c r="F308" s="7">
        <v>1858.2700540547557</v>
      </c>
      <c r="G308" s="7">
        <v>98.898281379509584</v>
      </c>
      <c r="H308" s="3"/>
      <c r="I308" s="7"/>
      <c r="K308" s="68"/>
      <c r="L308" s="68"/>
    </row>
    <row r="309" spans="2:12">
      <c r="B309" s="8" t="s">
        <v>165</v>
      </c>
      <c r="C309" s="8" t="s">
        <v>480</v>
      </c>
      <c r="D309" s="15" t="s">
        <v>620</v>
      </c>
      <c r="E309" s="19"/>
      <c r="F309" s="9">
        <v>8613.8087922706327</v>
      </c>
      <c r="G309" s="9">
        <v>100</v>
      </c>
      <c r="H309" s="24"/>
      <c r="I309" s="9">
        <v>6657.1520765982614</v>
      </c>
      <c r="K309" s="68"/>
      <c r="L309" s="68"/>
    </row>
    <row r="310" spans="2:12">
      <c r="B310" s="6"/>
      <c r="C310" s="6" t="s">
        <v>480</v>
      </c>
      <c r="D310" s="16" t="s">
        <v>124</v>
      </c>
      <c r="E310" s="20" t="s">
        <v>346</v>
      </c>
      <c r="F310" s="7">
        <v>8471.9647611587352</v>
      </c>
      <c r="G310" s="7">
        <v>98.353294871843715</v>
      </c>
      <c r="H310" s="3"/>
      <c r="I310" s="7"/>
      <c r="K310" s="68"/>
      <c r="L310" s="68"/>
    </row>
    <row r="311" spans="2:12">
      <c r="B311" s="8" t="s">
        <v>165</v>
      </c>
      <c r="C311" s="8" t="s">
        <v>481</v>
      </c>
      <c r="D311" s="15" t="s">
        <v>621</v>
      </c>
      <c r="E311" s="19"/>
      <c r="F311" s="9">
        <v>3053.4932871205874</v>
      </c>
      <c r="G311" s="9">
        <v>100</v>
      </c>
      <c r="H311" s="24"/>
      <c r="I311" s="9">
        <v>2270.085871931682</v>
      </c>
      <c r="K311" s="68"/>
      <c r="L311" s="68"/>
    </row>
    <row r="312" spans="2:12">
      <c r="B312" s="6"/>
      <c r="C312" s="6" t="s">
        <v>481</v>
      </c>
      <c r="D312" s="16" t="s">
        <v>105</v>
      </c>
      <c r="E312" s="20" t="s">
        <v>347</v>
      </c>
      <c r="F312" s="7">
        <v>3028.2538787381914</v>
      </c>
      <c r="G312" s="7">
        <v>99.173425122994246</v>
      </c>
      <c r="H312" s="3"/>
      <c r="I312" s="7"/>
      <c r="K312" s="68"/>
      <c r="L312" s="68"/>
    </row>
    <row r="313" spans="2:12">
      <c r="B313" s="10" t="s">
        <v>167</v>
      </c>
      <c r="C313" s="11" t="s">
        <v>168</v>
      </c>
      <c r="D313" s="11"/>
      <c r="E313" s="11"/>
      <c r="F313" s="12">
        <v>52274.253312871951</v>
      </c>
      <c r="G313" s="23"/>
      <c r="H313" s="3"/>
      <c r="I313" s="67">
        <v>32652.906999458377</v>
      </c>
      <c r="K313" s="68"/>
      <c r="L313" s="68"/>
    </row>
    <row r="314" spans="2:12">
      <c r="B314" s="8" t="s">
        <v>167</v>
      </c>
      <c r="C314" s="8" t="s">
        <v>482</v>
      </c>
      <c r="D314" s="15" t="s">
        <v>634</v>
      </c>
      <c r="E314" s="19"/>
      <c r="F314" s="9">
        <v>50803.029737431556</v>
      </c>
      <c r="G314" s="9">
        <v>100</v>
      </c>
      <c r="H314" s="24"/>
      <c r="I314" s="9">
        <v>31841.957040148085</v>
      </c>
      <c r="K314" s="68"/>
      <c r="L314" s="68"/>
    </row>
    <row r="315" spans="2:12">
      <c r="B315" s="4"/>
      <c r="C315" s="4" t="s">
        <v>482</v>
      </c>
      <c r="D315" s="17" t="s">
        <v>125</v>
      </c>
      <c r="E315" s="21" t="s">
        <v>348</v>
      </c>
      <c r="F315" s="5">
        <v>18782.726202837741</v>
      </c>
      <c r="G315" s="5">
        <v>36.971665469389656</v>
      </c>
      <c r="H315" s="3"/>
      <c r="I315" s="5"/>
      <c r="K315" s="68"/>
      <c r="L315" s="68"/>
    </row>
    <row r="316" spans="2:12">
      <c r="B316" s="4"/>
      <c r="C316" s="4" t="s">
        <v>482</v>
      </c>
      <c r="D316" s="17" t="s">
        <v>127</v>
      </c>
      <c r="E316" s="21" t="s">
        <v>350</v>
      </c>
      <c r="F316" s="5">
        <v>17780.857277531402</v>
      </c>
      <c r="G316" s="5">
        <v>34.999600160520558</v>
      </c>
      <c r="H316" s="3"/>
      <c r="I316" s="5"/>
      <c r="K316" s="68"/>
      <c r="L316" s="68"/>
    </row>
    <row r="317" spans="2:12">
      <c r="B317" s="6"/>
      <c r="C317" s="6" t="s">
        <v>482</v>
      </c>
      <c r="D317" s="16" t="s">
        <v>126</v>
      </c>
      <c r="E317" s="20" t="s">
        <v>349</v>
      </c>
      <c r="F317" s="7">
        <v>7709.6996049694208</v>
      </c>
      <c r="G317" s="7">
        <v>15.175668941037451</v>
      </c>
      <c r="H317" s="3"/>
      <c r="I317" s="7"/>
      <c r="K317" s="68"/>
      <c r="L317" s="68"/>
    </row>
    <row r="318" spans="2:12">
      <c r="B318" s="8" t="s">
        <v>167</v>
      </c>
      <c r="C318" s="8" t="s">
        <v>483</v>
      </c>
      <c r="D318" s="15" t="s">
        <v>635</v>
      </c>
      <c r="E318" s="19"/>
      <c r="F318" s="9">
        <v>1471.2235754403951</v>
      </c>
      <c r="G318" s="9">
        <v>100</v>
      </c>
      <c r="H318" s="24"/>
      <c r="I318" s="9">
        <v>810.94995931029075</v>
      </c>
      <c r="K318" s="68"/>
      <c r="L318" s="68"/>
    </row>
    <row r="319" spans="2:12">
      <c r="B319" s="6"/>
      <c r="C319" s="6" t="s">
        <v>483</v>
      </c>
      <c r="D319" s="16" t="s">
        <v>128</v>
      </c>
      <c r="E319" s="20" t="s">
        <v>351</v>
      </c>
      <c r="F319" s="7">
        <v>1454.457266520395</v>
      </c>
      <c r="G319" s="7">
        <v>98.860383343504992</v>
      </c>
      <c r="H319" s="3"/>
      <c r="I319" s="7"/>
      <c r="K319" s="68"/>
      <c r="L319" s="68"/>
    </row>
    <row r="320" spans="2:12">
      <c r="B320" s="10" t="s">
        <v>169</v>
      </c>
      <c r="C320" s="11" t="s">
        <v>170</v>
      </c>
      <c r="D320" s="11"/>
      <c r="E320" s="11"/>
      <c r="F320" s="12">
        <v>39035.65011299857</v>
      </c>
      <c r="G320" s="23"/>
      <c r="H320" s="3"/>
      <c r="I320" s="67">
        <v>34262.806013015579</v>
      </c>
      <c r="K320" s="68"/>
      <c r="L320" s="68"/>
    </row>
    <row r="321" spans="2:12">
      <c r="B321" s="8" t="s">
        <v>169</v>
      </c>
      <c r="C321" s="8" t="s">
        <v>485</v>
      </c>
      <c r="D321" s="15" t="s">
        <v>170</v>
      </c>
      <c r="E321" s="19"/>
      <c r="F321" s="9">
        <v>15355.881568814782</v>
      </c>
      <c r="G321" s="9">
        <v>100</v>
      </c>
      <c r="H321" s="24"/>
      <c r="I321" s="9">
        <v>12779.790791739131</v>
      </c>
      <c r="K321" s="68"/>
      <c r="L321" s="68"/>
    </row>
    <row r="322" spans="2:12">
      <c r="B322" s="6"/>
      <c r="C322" s="6" t="s">
        <v>485</v>
      </c>
      <c r="D322" s="16" t="s">
        <v>129</v>
      </c>
      <c r="E322" s="20" t="s">
        <v>352</v>
      </c>
      <c r="F322" s="7">
        <v>14404.392601150215</v>
      </c>
      <c r="G322" s="7">
        <v>93.803748984383404</v>
      </c>
      <c r="H322" s="3"/>
      <c r="I322" s="7"/>
      <c r="K322" s="68"/>
      <c r="L322" s="68"/>
    </row>
    <row r="323" spans="2:12">
      <c r="B323" s="8" t="s">
        <v>169</v>
      </c>
      <c r="C323" s="8" t="s">
        <v>484</v>
      </c>
      <c r="D323" s="15" t="s">
        <v>170</v>
      </c>
      <c r="E323" s="19"/>
      <c r="F323" s="9">
        <v>23679.768544183786</v>
      </c>
      <c r="G323" s="9">
        <v>100</v>
      </c>
      <c r="H323" s="24"/>
      <c r="I323" s="9">
        <v>21483.015221276444</v>
      </c>
      <c r="K323" s="68"/>
      <c r="L323" s="68"/>
    </row>
    <row r="324" spans="2:12">
      <c r="B324" s="6"/>
      <c r="C324" s="6" t="s">
        <v>484</v>
      </c>
      <c r="D324" s="16" t="s">
        <v>129</v>
      </c>
      <c r="E324" s="20" t="s">
        <v>352</v>
      </c>
      <c r="F324" s="7">
        <v>23555.217131923378</v>
      </c>
      <c r="G324" s="7">
        <v>99.47401761116032</v>
      </c>
      <c r="H324" s="3"/>
      <c r="I324" s="7"/>
      <c r="K324" s="68"/>
      <c r="L324" s="68"/>
    </row>
    <row r="325" spans="2:12">
      <c r="B325" s="10" t="s">
        <v>171</v>
      </c>
      <c r="C325" s="11" t="s">
        <v>172</v>
      </c>
      <c r="D325" s="11"/>
      <c r="E325" s="11"/>
      <c r="F325" s="12">
        <v>33612.145543356688</v>
      </c>
      <c r="G325" s="23"/>
      <c r="H325" s="3"/>
      <c r="I325" s="67">
        <v>22507.835478236273</v>
      </c>
      <c r="K325" s="68"/>
      <c r="L325" s="68"/>
    </row>
    <row r="326" spans="2:12">
      <c r="B326" s="8" t="s">
        <v>171</v>
      </c>
      <c r="C326" s="8" t="s">
        <v>487</v>
      </c>
      <c r="D326" s="15" t="s">
        <v>622</v>
      </c>
      <c r="E326" s="19"/>
      <c r="F326" s="9">
        <v>5058.9356448719327</v>
      </c>
      <c r="G326" s="9">
        <v>100</v>
      </c>
      <c r="H326" s="24"/>
      <c r="I326" s="9">
        <v>3069.7146180511886</v>
      </c>
      <c r="K326" s="68"/>
      <c r="L326" s="68"/>
    </row>
    <row r="327" spans="2:12">
      <c r="B327" s="6"/>
      <c r="C327" s="6" t="s">
        <v>487</v>
      </c>
      <c r="D327" s="16" t="s">
        <v>203</v>
      </c>
      <c r="E327" s="20" t="s">
        <v>353</v>
      </c>
      <c r="F327" s="7">
        <v>4761.438736424403</v>
      </c>
      <c r="G327" s="7">
        <v>94.119377487059126</v>
      </c>
      <c r="H327" s="3"/>
      <c r="I327" s="7"/>
      <c r="K327" s="68"/>
      <c r="L327" s="68"/>
    </row>
    <row r="328" spans="2:12">
      <c r="B328" s="8" t="s">
        <v>171</v>
      </c>
      <c r="C328" s="8" t="s">
        <v>486</v>
      </c>
      <c r="D328" s="15" t="s">
        <v>622</v>
      </c>
      <c r="E328" s="19"/>
      <c r="F328" s="9">
        <v>10968.818186781793</v>
      </c>
      <c r="G328" s="9">
        <v>100</v>
      </c>
      <c r="H328" s="24"/>
      <c r="I328" s="9">
        <v>8507.6645795005588</v>
      </c>
      <c r="K328" s="68"/>
      <c r="L328" s="68"/>
    </row>
    <row r="329" spans="2:12">
      <c r="B329" s="6"/>
      <c r="C329" s="6" t="s">
        <v>486</v>
      </c>
      <c r="D329" s="16" t="s">
        <v>203</v>
      </c>
      <c r="E329" s="20" t="s">
        <v>353</v>
      </c>
      <c r="F329" s="7">
        <v>10844.303146768183</v>
      </c>
      <c r="G329" s="7">
        <v>98.864827204778919</v>
      </c>
      <c r="H329" s="3"/>
      <c r="I329" s="7"/>
      <c r="K329" s="68"/>
      <c r="L329" s="68"/>
    </row>
    <row r="330" spans="2:12">
      <c r="B330" s="8" t="s">
        <v>171</v>
      </c>
      <c r="C330" s="8" t="s">
        <v>444</v>
      </c>
      <c r="D330" s="15" t="s">
        <v>623</v>
      </c>
      <c r="E330" s="19"/>
      <c r="F330" s="9">
        <v>9514.8360496685546</v>
      </c>
      <c r="G330" s="9">
        <v>100</v>
      </c>
      <c r="H330" s="24"/>
      <c r="I330" s="9">
        <v>6876.5168403962634</v>
      </c>
      <c r="K330" s="68"/>
      <c r="L330" s="68"/>
    </row>
    <row r="331" spans="2:12">
      <c r="B331" s="6"/>
      <c r="C331" s="6" t="s">
        <v>444</v>
      </c>
      <c r="D331" s="16" t="s">
        <v>130</v>
      </c>
      <c r="E331" s="20" t="s">
        <v>354</v>
      </c>
      <c r="F331" s="7">
        <v>9226.9965723786499</v>
      </c>
      <c r="G331" s="7">
        <v>96.974835133392219</v>
      </c>
      <c r="H331" s="3"/>
      <c r="I331" s="7"/>
      <c r="K331" s="68"/>
      <c r="L331" s="68"/>
    </row>
    <row r="332" spans="2:12">
      <c r="B332" s="8" t="s">
        <v>171</v>
      </c>
      <c r="C332" s="8" t="s">
        <v>636</v>
      </c>
      <c r="D332" s="15" t="s">
        <v>623</v>
      </c>
      <c r="E332" s="19"/>
      <c r="F332" s="9">
        <v>2123.0017550206712</v>
      </c>
      <c r="G332" s="9">
        <v>100</v>
      </c>
      <c r="H332" s="24"/>
      <c r="I332" s="9">
        <v>660.16430394692748</v>
      </c>
      <c r="K332" s="68"/>
      <c r="L332" s="68"/>
    </row>
    <row r="333" spans="2:12">
      <c r="B333" s="6"/>
      <c r="C333" s="6" t="s">
        <v>636</v>
      </c>
      <c r="D333" s="16" t="s">
        <v>130</v>
      </c>
      <c r="E333" s="20" t="s">
        <v>354</v>
      </c>
      <c r="F333" s="7">
        <v>2119.1312989487446</v>
      </c>
      <c r="G333" s="7">
        <v>99.817689454906315</v>
      </c>
      <c r="H333" s="3"/>
      <c r="I333" s="7"/>
      <c r="K333" s="68"/>
      <c r="L333" s="68"/>
    </row>
    <row r="334" spans="2:12">
      <c r="B334" s="8" t="s">
        <v>171</v>
      </c>
      <c r="C334" s="8" t="s">
        <v>488</v>
      </c>
      <c r="D334" s="15" t="s">
        <v>624</v>
      </c>
      <c r="E334" s="19"/>
      <c r="F334" s="9">
        <v>4606.1470305394578</v>
      </c>
      <c r="G334" s="9">
        <v>100</v>
      </c>
      <c r="H334" s="24"/>
      <c r="I334" s="9">
        <v>2616.0270335716314</v>
      </c>
      <c r="K334" s="68"/>
      <c r="L334" s="68"/>
    </row>
    <row r="335" spans="2:12">
      <c r="B335" s="6"/>
      <c r="C335" s="6" t="s">
        <v>488</v>
      </c>
      <c r="D335" s="16" t="s">
        <v>131</v>
      </c>
      <c r="E335" s="20" t="s">
        <v>355</v>
      </c>
      <c r="F335" s="7">
        <v>4577.058107243377</v>
      </c>
      <c r="G335" s="7">
        <v>99.368476014699127</v>
      </c>
      <c r="H335" s="3"/>
      <c r="I335" s="7"/>
      <c r="K335" s="68"/>
      <c r="L335" s="68"/>
    </row>
    <row r="336" spans="2:12">
      <c r="B336" s="8" t="s">
        <v>171</v>
      </c>
      <c r="C336" s="8" t="s">
        <v>637</v>
      </c>
      <c r="D336" s="15" t="s">
        <v>624</v>
      </c>
      <c r="E336" s="19"/>
      <c r="F336" s="9">
        <v>117.44088757472878</v>
      </c>
      <c r="G336" s="9">
        <v>100</v>
      </c>
      <c r="H336" s="24"/>
      <c r="I336" s="9">
        <v>51.948358751196309</v>
      </c>
      <c r="K336" s="68"/>
      <c r="L336" s="68"/>
    </row>
    <row r="337" spans="2:12">
      <c r="B337" s="6"/>
      <c r="C337" s="6" t="s">
        <v>637</v>
      </c>
      <c r="D337" s="16" t="s">
        <v>131</v>
      </c>
      <c r="E337" s="20" t="s">
        <v>355</v>
      </c>
      <c r="F337" s="7">
        <v>117.44088757472878</v>
      </c>
      <c r="G337" s="7">
        <v>100</v>
      </c>
      <c r="H337" s="3"/>
      <c r="I337" s="7"/>
      <c r="K337" s="68"/>
      <c r="L337" s="68"/>
    </row>
    <row r="338" spans="2:12">
      <c r="B338" s="8" t="s">
        <v>171</v>
      </c>
      <c r="C338" s="8" t="s">
        <v>625</v>
      </c>
      <c r="D338" s="15" t="s">
        <v>626</v>
      </c>
      <c r="E338" s="19"/>
      <c r="F338" s="9">
        <v>160.98069913108102</v>
      </c>
      <c r="G338" s="9">
        <v>100</v>
      </c>
      <c r="H338" s="24"/>
      <c r="I338" s="9">
        <v>98.134198270996549</v>
      </c>
      <c r="K338" s="68"/>
      <c r="L338" s="68"/>
    </row>
    <row r="339" spans="2:12">
      <c r="B339" s="6"/>
      <c r="C339" s="6" t="s">
        <v>625</v>
      </c>
      <c r="D339" s="16" t="s">
        <v>132</v>
      </c>
      <c r="E339" s="20" t="s">
        <v>521</v>
      </c>
      <c r="F339" s="7">
        <v>160.98069913108102</v>
      </c>
      <c r="G339" s="7">
        <v>100</v>
      </c>
      <c r="H339" s="3"/>
      <c r="I339" s="7"/>
      <c r="K339" s="68"/>
      <c r="L339" s="68"/>
    </row>
    <row r="340" spans="2:12">
      <c r="B340" s="8" t="s">
        <v>171</v>
      </c>
      <c r="C340" s="8" t="s">
        <v>489</v>
      </c>
      <c r="D340" s="15" t="s">
        <v>626</v>
      </c>
      <c r="E340" s="19"/>
      <c r="F340" s="9">
        <v>1061.9852897684696</v>
      </c>
      <c r="G340" s="9">
        <v>100</v>
      </c>
      <c r="H340" s="24"/>
      <c r="I340" s="9">
        <v>627.66554574751103</v>
      </c>
      <c r="K340" s="68"/>
      <c r="L340" s="68"/>
    </row>
    <row r="341" spans="2:12">
      <c r="B341" s="6"/>
      <c r="C341" s="6" t="s">
        <v>489</v>
      </c>
      <c r="D341" s="16" t="s">
        <v>132</v>
      </c>
      <c r="E341" s="20" t="s">
        <v>521</v>
      </c>
      <c r="F341" s="7">
        <v>1050.7785914363069</v>
      </c>
      <c r="G341" s="7">
        <v>98.944740719091712</v>
      </c>
      <c r="H341" s="3"/>
      <c r="I341" s="7"/>
      <c r="K341" s="68"/>
      <c r="L341" s="68"/>
    </row>
    <row r="342" spans="2:12">
      <c r="B342" s="10" t="s">
        <v>173</v>
      </c>
      <c r="C342" s="11" t="s">
        <v>174</v>
      </c>
      <c r="D342" s="11"/>
      <c r="E342" s="11"/>
      <c r="F342" s="12">
        <v>3937.2680845116388</v>
      </c>
      <c r="G342" s="23"/>
      <c r="H342" s="3"/>
      <c r="I342" s="67">
        <v>2260.1672362894374</v>
      </c>
      <c r="K342" s="68"/>
      <c r="L342" s="68"/>
    </row>
    <row r="343" spans="2:12">
      <c r="B343" s="8" t="s">
        <v>173</v>
      </c>
      <c r="C343" s="8" t="s">
        <v>463</v>
      </c>
      <c r="D343" s="15" t="s">
        <v>627</v>
      </c>
      <c r="E343" s="19"/>
      <c r="F343" s="9">
        <v>1280.1389612152802</v>
      </c>
      <c r="G343" s="9">
        <v>100</v>
      </c>
      <c r="H343" s="24"/>
      <c r="I343" s="9">
        <v>865.48244417473541</v>
      </c>
      <c r="K343" s="68"/>
      <c r="L343" s="68"/>
    </row>
    <row r="344" spans="2:12">
      <c r="B344" s="6"/>
      <c r="C344" s="6" t="s">
        <v>463</v>
      </c>
      <c r="D344" s="16" t="s">
        <v>102</v>
      </c>
      <c r="E344" s="20" t="s">
        <v>328</v>
      </c>
      <c r="F344" s="7">
        <v>1187.6382705494598</v>
      </c>
      <c r="G344" s="7">
        <v>92.774168002979422</v>
      </c>
      <c r="H344" s="3"/>
      <c r="I344" s="7"/>
      <c r="K344" s="68"/>
      <c r="L344" s="68"/>
    </row>
    <row r="345" spans="2:12">
      <c r="B345" s="8" t="s">
        <v>173</v>
      </c>
      <c r="C345" s="8" t="s">
        <v>490</v>
      </c>
      <c r="D345" s="15" t="s">
        <v>627</v>
      </c>
      <c r="E345" s="19"/>
      <c r="F345" s="9">
        <v>89.85182570836055</v>
      </c>
      <c r="G345" s="9">
        <v>100</v>
      </c>
      <c r="H345" s="24"/>
      <c r="I345" s="9">
        <v>38.646266728623146</v>
      </c>
      <c r="K345" s="68"/>
      <c r="L345" s="68"/>
    </row>
    <row r="346" spans="2:12">
      <c r="B346" s="6"/>
      <c r="C346" s="6" t="s">
        <v>490</v>
      </c>
      <c r="D346" s="16" t="s">
        <v>133</v>
      </c>
      <c r="E346" s="20" t="s">
        <v>356</v>
      </c>
      <c r="F346" s="7">
        <v>89.85182570836055</v>
      </c>
      <c r="G346" s="7">
        <v>100</v>
      </c>
      <c r="H346" s="3"/>
      <c r="I346" s="7"/>
      <c r="K346" s="68"/>
      <c r="L346" s="68"/>
    </row>
    <row r="347" spans="2:12">
      <c r="B347" s="8" t="s">
        <v>173</v>
      </c>
      <c r="C347" s="8" t="s">
        <v>491</v>
      </c>
      <c r="D347" s="15" t="s">
        <v>628</v>
      </c>
      <c r="E347" s="19"/>
      <c r="F347" s="9">
        <v>2298.3904031782199</v>
      </c>
      <c r="G347" s="9">
        <v>100</v>
      </c>
      <c r="H347" s="24"/>
      <c r="I347" s="9">
        <v>1218.3039830634737</v>
      </c>
      <c r="K347" s="68"/>
      <c r="L347" s="68"/>
    </row>
    <row r="348" spans="2:12">
      <c r="B348" s="4"/>
      <c r="C348" s="4" t="s">
        <v>491</v>
      </c>
      <c r="D348" s="17" t="s">
        <v>134</v>
      </c>
      <c r="E348" s="21" t="s">
        <v>357</v>
      </c>
      <c r="F348" s="5">
        <v>1772.2805904723311</v>
      </c>
      <c r="G348" s="5">
        <v>77.109641078452867</v>
      </c>
      <c r="H348" s="3"/>
      <c r="I348" s="5"/>
      <c r="K348" s="68"/>
      <c r="L348" s="68"/>
    </row>
    <row r="349" spans="2:12">
      <c r="B349" s="6"/>
      <c r="C349" s="6" t="s">
        <v>491</v>
      </c>
      <c r="D349" s="16" t="s">
        <v>101</v>
      </c>
      <c r="E349" s="20" t="s">
        <v>324</v>
      </c>
      <c r="F349" s="7">
        <v>347.10827969029339</v>
      </c>
      <c r="G349" s="7">
        <v>15.102233250291647</v>
      </c>
      <c r="I349" s="7"/>
      <c r="K349" s="68"/>
      <c r="L349" s="68"/>
    </row>
    <row r="350" spans="2:12">
      <c r="B350" s="8" t="s">
        <v>173</v>
      </c>
      <c r="C350" s="8" t="s">
        <v>638</v>
      </c>
      <c r="D350" s="15" t="s">
        <v>628</v>
      </c>
      <c r="E350" s="19"/>
      <c r="F350" s="9">
        <v>268.88689440977805</v>
      </c>
      <c r="G350" s="9">
        <v>100</v>
      </c>
      <c r="H350" s="25"/>
      <c r="I350" s="9">
        <v>137.73454232260511</v>
      </c>
      <c r="K350" s="68"/>
      <c r="L350" s="68"/>
    </row>
    <row r="351" spans="2:12">
      <c r="B351" s="6"/>
      <c r="C351" s="6" t="s">
        <v>638</v>
      </c>
      <c r="D351" s="16" t="s">
        <v>134</v>
      </c>
      <c r="E351" s="20" t="s">
        <v>357</v>
      </c>
      <c r="F351" s="7">
        <v>266.64558672977807</v>
      </c>
      <c r="G351" s="7">
        <v>99.166449638640898</v>
      </c>
      <c r="I351" s="7"/>
      <c r="K351" s="68"/>
      <c r="L351" s="68"/>
    </row>
    <row r="352" spans="2:12">
      <c r="B352" s="10" t="s">
        <v>175</v>
      </c>
      <c r="C352" s="11" t="s">
        <v>176</v>
      </c>
      <c r="D352" s="11"/>
      <c r="E352" s="11"/>
      <c r="F352" s="12">
        <v>18231.090579971922</v>
      </c>
      <c r="G352" s="23"/>
      <c r="I352" s="67">
        <v>14113.406208548768</v>
      </c>
      <c r="K352" s="68"/>
      <c r="L352" s="68"/>
    </row>
    <row r="353" spans="2:12">
      <c r="B353" s="8" t="s">
        <v>175</v>
      </c>
      <c r="C353" s="8" t="s">
        <v>493</v>
      </c>
      <c r="D353" s="15" t="s">
        <v>629</v>
      </c>
      <c r="E353" s="19"/>
      <c r="F353" s="9">
        <v>509.72733726362071</v>
      </c>
      <c r="G353" s="9">
        <v>100</v>
      </c>
      <c r="H353" s="25"/>
      <c r="I353" s="9">
        <v>340.00003168438866</v>
      </c>
      <c r="K353" s="68"/>
      <c r="L353" s="68"/>
    </row>
    <row r="354" spans="2:12">
      <c r="B354" s="6"/>
      <c r="C354" s="6" t="s">
        <v>493</v>
      </c>
      <c r="D354" s="16" t="s">
        <v>135</v>
      </c>
      <c r="E354" s="20" t="s">
        <v>360</v>
      </c>
      <c r="F354" s="7">
        <v>491.0362722582496</v>
      </c>
      <c r="G354" s="7">
        <v>96.333124861281576</v>
      </c>
      <c r="I354" s="7"/>
      <c r="K354" s="68"/>
      <c r="L354" s="68"/>
    </row>
    <row r="355" spans="2:12">
      <c r="B355" s="8" t="s">
        <v>175</v>
      </c>
      <c r="C355" s="8" t="s">
        <v>494</v>
      </c>
      <c r="D355" s="15" t="s">
        <v>639</v>
      </c>
      <c r="E355" s="19"/>
      <c r="F355" s="9">
        <v>3448.2937495423962</v>
      </c>
      <c r="G355" s="9">
        <v>100</v>
      </c>
      <c r="H355" s="25"/>
      <c r="I355" s="9">
        <v>1732.185244944427</v>
      </c>
      <c r="K355" s="68"/>
      <c r="L355" s="68"/>
    </row>
    <row r="356" spans="2:12">
      <c r="B356" s="6"/>
      <c r="C356" s="6" t="s">
        <v>494</v>
      </c>
      <c r="D356" s="16" t="s">
        <v>136</v>
      </c>
      <c r="E356" s="20" t="s">
        <v>361</v>
      </c>
      <c r="F356" s="7">
        <v>3258.3842172966174</v>
      </c>
      <c r="G356" s="7">
        <v>94.492652133508614</v>
      </c>
      <c r="I356" s="7"/>
      <c r="K356" s="68"/>
      <c r="L356" s="68"/>
    </row>
    <row r="357" spans="2:12">
      <c r="B357" s="8" t="s">
        <v>175</v>
      </c>
      <c r="C357" s="8" t="s">
        <v>492</v>
      </c>
      <c r="D357" s="15" t="s">
        <v>630</v>
      </c>
      <c r="E357" s="19"/>
      <c r="F357" s="9">
        <v>1501.3623826108242</v>
      </c>
      <c r="G357" s="9">
        <v>100</v>
      </c>
      <c r="H357" s="25"/>
      <c r="I357" s="9">
        <v>1045.8544402844657</v>
      </c>
      <c r="K357" s="68"/>
      <c r="L357" s="68"/>
    </row>
    <row r="358" spans="2:12">
      <c r="B358" s="4"/>
      <c r="C358" s="4" t="s">
        <v>492</v>
      </c>
      <c r="D358" s="17" t="s">
        <v>138</v>
      </c>
      <c r="E358" s="21" t="s">
        <v>359</v>
      </c>
      <c r="F358" s="5">
        <v>1001.6258624991458</v>
      </c>
      <c r="G358" s="5">
        <v>66.714463749740986</v>
      </c>
      <c r="I358" s="5"/>
      <c r="K358" s="68"/>
      <c r="L358" s="68"/>
    </row>
    <row r="359" spans="2:12">
      <c r="B359" s="6"/>
      <c r="C359" s="6" t="s">
        <v>492</v>
      </c>
      <c r="D359" s="16" t="s">
        <v>137</v>
      </c>
      <c r="E359" s="20" t="s">
        <v>358</v>
      </c>
      <c r="F359" s="7">
        <v>461.24726050572895</v>
      </c>
      <c r="G359" s="7">
        <v>30.721914032748959</v>
      </c>
      <c r="I359" s="7"/>
      <c r="K359" s="68"/>
      <c r="L359" s="68"/>
    </row>
    <row r="360" spans="2:12">
      <c r="B360" s="8" t="s">
        <v>175</v>
      </c>
      <c r="C360" s="8" t="s">
        <v>495</v>
      </c>
      <c r="D360" s="15" t="s">
        <v>631</v>
      </c>
      <c r="E360" s="19"/>
      <c r="F360" s="9">
        <v>12771.707110555082</v>
      </c>
      <c r="G360" s="9">
        <v>100</v>
      </c>
      <c r="H360" s="25"/>
      <c r="I360" s="9">
        <v>10995.366491635486</v>
      </c>
      <c r="K360" s="68"/>
      <c r="L360" s="68"/>
    </row>
    <row r="361" spans="2:12">
      <c r="B361" s="6"/>
      <c r="C361" s="6" t="s">
        <v>495</v>
      </c>
      <c r="D361" s="16" t="s">
        <v>139</v>
      </c>
      <c r="E361" s="20" t="s">
        <v>362</v>
      </c>
      <c r="F361" s="7">
        <v>12364.940773738061</v>
      </c>
      <c r="G361" s="7">
        <v>96.815098143921162</v>
      </c>
      <c r="I361" s="7"/>
      <c r="K361" s="68"/>
      <c r="L361" s="68"/>
    </row>
    <row r="362" spans="2:12">
      <c r="B362" s="10" t="s">
        <v>177</v>
      </c>
      <c r="C362" s="11" t="s">
        <v>178</v>
      </c>
      <c r="D362" s="11"/>
      <c r="E362" s="11"/>
      <c r="F362" s="12">
        <v>10948.03671320118</v>
      </c>
      <c r="G362" s="23"/>
      <c r="I362" s="67">
        <v>10948.03671320118</v>
      </c>
      <c r="K362" s="68"/>
      <c r="L362" s="68"/>
    </row>
    <row r="363" spans="2:12">
      <c r="B363" s="8" t="s">
        <v>177</v>
      </c>
      <c r="C363" s="8" t="s">
        <v>496</v>
      </c>
      <c r="D363" s="15" t="s">
        <v>633</v>
      </c>
      <c r="E363" s="19"/>
      <c r="F363" s="9">
        <v>10948.03671320118</v>
      </c>
      <c r="G363" s="9">
        <v>100</v>
      </c>
      <c r="H363" s="25"/>
      <c r="I363" s="9">
        <v>10948.03671320118</v>
      </c>
      <c r="K363" s="68"/>
      <c r="L363" s="68"/>
    </row>
    <row r="364" spans="2:12">
      <c r="B364" s="13"/>
      <c r="C364" s="13" t="s">
        <v>496</v>
      </c>
      <c r="D364" s="18" t="s">
        <v>140</v>
      </c>
      <c r="E364" s="22" t="s">
        <v>363</v>
      </c>
      <c r="F364" s="14">
        <v>10948.03671320118</v>
      </c>
      <c r="G364" s="14">
        <v>100</v>
      </c>
      <c r="I364" s="14"/>
    </row>
  </sheetData>
  <autoFilter ref="B8:I364" xr:uid="{726AE904-1F19-4A01-843C-D63E9835E78E}"/>
  <conditionalFormatting sqref="F9:G9">
    <cfRule type="cellIs" dxfId="37" priority="57" operator="equal">
      <formula>0</formula>
    </cfRule>
  </conditionalFormatting>
  <conditionalFormatting sqref="F66:G66">
    <cfRule type="cellIs" dxfId="36" priority="56" operator="equal">
      <formula>0</formula>
    </cfRule>
  </conditionalFormatting>
  <conditionalFormatting sqref="F80:G80">
    <cfRule type="cellIs" dxfId="35" priority="55" operator="equal">
      <formula>0</formula>
    </cfRule>
  </conditionalFormatting>
  <conditionalFormatting sqref="F210:G210">
    <cfRule type="cellIs" dxfId="34" priority="54" operator="equal">
      <formula>0</formula>
    </cfRule>
  </conditionalFormatting>
  <conditionalFormatting sqref="F220:G220">
    <cfRule type="cellIs" dxfId="33" priority="53" operator="equal">
      <formula>0</formula>
    </cfRule>
  </conditionalFormatting>
  <conditionalFormatting sqref="F233:G233">
    <cfRule type="cellIs" dxfId="32" priority="52" operator="equal">
      <formula>0</formula>
    </cfRule>
  </conditionalFormatting>
  <conditionalFormatting sqref="F238:G238">
    <cfRule type="cellIs" dxfId="31" priority="51" operator="equal">
      <formula>0</formula>
    </cfRule>
  </conditionalFormatting>
  <conditionalFormatting sqref="F248:G248">
    <cfRule type="cellIs" dxfId="30" priority="50" operator="equal">
      <formula>0</formula>
    </cfRule>
  </conditionalFormatting>
  <conditionalFormatting sqref="F253:G253">
    <cfRule type="cellIs" dxfId="29" priority="49" operator="equal">
      <formula>0</formula>
    </cfRule>
  </conditionalFormatting>
  <conditionalFormatting sqref="F264:G264">
    <cfRule type="cellIs" dxfId="28" priority="48" operator="equal">
      <formula>0</formula>
    </cfRule>
  </conditionalFormatting>
  <conditionalFormatting sqref="F273:G273">
    <cfRule type="cellIs" dxfId="27" priority="47" operator="equal">
      <formula>0</formula>
    </cfRule>
  </conditionalFormatting>
  <conditionalFormatting sqref="F280:G280">
    <cfRule type="cellIs" dxfId="26" priority="46" operator="equal">
      <formula>0</formula>
    </cfRule>
  </conditionalFormatting>
  <conditionalFormatting sqref="F298:G298">
    <cfRule type="cellIs" dxfId="25" priority="45" operator="equal">
      <formula>0</formula>
    </cfRule>
  </conditionalFormatting>
  <conditionalFormatting sqref="F313:G313">
    <cfRule type="cellIs" dxfId="24" priority="44" operator="equal">
      <formula>0</formula>
    </cfRule>
  </conditionalFormatting>
  <conditionalFormatting sqref="F320:G320">
    <cfRule type="cellIs" dxfId="23" priority="43" operator="equal">
      <formula>0</formula>
    </cfRule>
  </conditionalFormatting>
  <conditionalFormatting sqref="F325:G325">
    <cfRule type="cellIs" dxfId="22" priority="42" operator="equal">
      <formula>0</formula>
    </cfRule>
  </conditionalFormatting>
  <conditionalFormatting sqref="F342:G342">
    <cfRule type="cellIs" dxfId="21" priority="41" operator="equal">
      <formula>0</formula>
    </cfRule>
  </conditionalFormatting>
  <conditionalFormatting sqref="F352:G352">
    <cfRule type="cellIs" dxfId="20" priority="40" operator="equal">
      <formula>0</formula>
    </cfRule>
  </conditionalFormatting>
  <conditionalFormatting sqref="F362:G362">
    <cfRule type="cellIs" dxfId="19" priority="39" operator="equal">
      <formula>0</formula>
    </cfRule>
  </conditionalFormatting>
  <conditionalFormatting sqref="I9">
    <cfRule type="cellIs" dxfId="18" priority="19" operator="equal">
      <formula>0</formula>
    </cfRule>
  </conditionalFormatting>
  <conditionalFormatting sqref="I66">
    <cfRule type="cellIs" dxfId="17" priority="18" operator="equal">
      <formula>0</formula>
    </cfRule>
  </conditionalFormatting>
  <conditionalFormatting sqref="I80">
    <cfRule type="cellIs" dxfId="16" priority="17" operator="equal">
      <formula>0</formula>
    </cfRule>
  </conditionalFormatting>
  <conditionalFormatting sqref="I210">
    <cfRule type="cellIs" dxfId="15" priority="16" operator="equal">
      <formula>0</formula>
    </cfRule>
  </conditionalFormatting>
  <conditionalFormatting sqref="I220">
    <cfRule type="cellIs" dxfId="14" priority="15" operator="equal">
      <formula>0</formula>
    </cfRule>
  </conditionalFormatting>
  <conditionalFormatting sqref="I233">
    <cfRule type="cellIs" dxfId="13" priority="14" operator="equal">
      <formula>0</formula>
    </cfRule>
  </conditionalFormatting>
  <conditionalFormatting sqref="I238">
    <cfRule type="cellIs" dxfId="12" priority="13" operator="equal">
      <formula>0</formula>
    </cfRule>
  </conditionalFormatting>
  <conditionalFormatting sqref="I248">
    <cfRule type="cellIs" dxfId="11" priority="12" operator="equal">
      <formula>0</formula>
    </cfRule>
  </conditionalFormatting>
  <conditionalFormatting sqref="I253">
    <cfRule type="cellIs" dxfId="10" priority="11" operator="equal">
      <formula>0</formula>
    </cfRule>
  </conditionalFormatting>
  <conditionalFormatting sqref="I264">
    <cfRule type="cellIs" dxfId="9" priority="10" operator="equal">
      <formula>0</formula>
    </cfRule>
  </conditionalFormatting>
  <conditionalFormatting sqref="I273">
    <cfRule type="cellIs" dxfId="8" priority="9" operator="equal">
      <formula>0</formula>
    </cfRule>
  </conditionalFormatting>
  <conditionalFormatting sqref="I280">
    <cfRule type="cellIs" dxfId="7" priority="8" operator="equal">
      <formula>0</formula>
    </cfRule>
  </conditionalFormatting>
  <conditionalFormatting sqref="I298">
    <cfRule type="cellIs" dxfId="6" priority="7" operator="equal">
      <formula>0</formula>
    </cfRule>
  </conditionalFormatting>
  <conditionalFormatting sqref="I313">
    <cfRule type="cellIs" dxfId="5" priority="6" operator="equal">
      <formula>0</formula>
    </cfRule>
  </conditionalFormatting>
  <conditionalFormatting sqref="I320">
    <cfRule type="cellIs" dxfId="4" priority="5" operator="equal">
      <formula>0</formula>
    </cfRule>
  </conditionalFormatting>
  <conditionalFormatting sqref="I325">
    <cfRule type="cellIs" dxfId="3" priority="4" operator="equal">
      <formula>0</formula>
    </cfRule>
  </conditionalFormatting>
  <conditionalFormatting sqref="I342">
    <cfRule type="cellIs" dxfId="2" priority="3" operator="equal">
      <formula>0</formula>
    </cfRule>
  </conditionalFormatting>
  <conditionalFormatting sqref="I352">
    <cfRule type="cellIs" dxfId="1" priority="2" operator="equal">
      <formula>0</formula>
    </cfRule>
  </conditionalFormatting>
  <conditionalFormatting sqref="I362">
    <cfRule type="cellIs" dxfId="0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0F2F-F754-4189-9F63-25593260C34E}">
  <sheetPr>
    <tabColor rgb="FFFFC000"/>
  </sheetPr>
  <dimension ref="B1:S241"/>
  <sheetViews>
    <sheetView showGridLines="0" zoomScaleNormal="100" workbookViewId="0">
      <pane xSplit="2" ySplit="8" topLeftCell="E14" activePane="bottomRight" state="frozen"/>
      <selection activeCell="A10" sqref="A10"/>
      <selection pane="topRight" activeCell="A10" sqref="A10"/>
      <selection pane="bottomLeft" activeCell="A10" sqref="A10"/>
      <selection pane="bottomRight" activeCell="L29" sqref="L29:M29"/>
    </sheetView>
  </sheetViews>
  <sheetFormatPr defaultColWidth="10.90625" defaultRowHeight="14.5" outlineLevelRow="1"/>
  <cols>
    <col min="1" max="1" width="2.54296875" customWidth="1"/>
    <col min="4" max="4" width="61.26953125" customWidth="1"/>
    <col min="5" max="5" width="14.7265625" bestFit="1" customWidth="1"/>
    <col min="6" max="6" width="15.1796875" bestFit="1" customWidth="1"/>
    <col min="7" max="7" width="14.81640625" customWidth="1"/>
    <col min="8" max="8" width="16.54296875" customWidth="1"/>
    <col min="9" max="9" width="14.7265625" bestFit="1" customWidth="1"/>
    <col min="10" max="10" width="15.1796875" bestFit="1" customWidth="1"/>
    <col min="11" max="11" width="14.81640625" customWidth="1"/>
    <col min="13" max="13" width="18.54296875" bestFit="1" customWidth="1"/>
    <col min="14" max="14" width="20.7265625" bestFit="1" customWidth="1"/>
  </cols>
  <sheetData>
    <row r="1" spans="2:19">
      <c r="B1" s="30" t="s">
        <v>758</v>
      </c>
    </row>
    <row r="2" spans="2:19">
      <c r="B2" s="30" t="s">
        <v>759</v>
      </c>
    </row>
    <row r="3" spans="2:19">
      <c r="B3" s="30" t="s">
        <v>760</v>
      </c>
    </row>
    <row r="4" spans="2:19">
      <c r="B4" s="30" t="s">
        <v>763</v>
      </c>
    </row>
    <row r="5" spans="2:19">
      <c r="B5" s="30" t="s">
        <v>765</v>
      </c>
    </row>
    <row r="6" spans="2:19" s="31" customFormat="1">
      <c r="B6" s="30" t="s">
        <v>762</v>
      </c>
      <c r="I6" s="60"/>
      <c r="J6" s="60"/>
      <c r="K6" s="60"/>
    </row>
    <row r="7" spans="2:19">
      <c r="E7" s="60"/>
      <c r="F7" s="60"/>
      <c r="G7" s="60"/>
      <c r="I7" s="60"/>
      <c r="J7" s="60"/>
      <c r="K7" s="60"/>
    </row>
    <row r="8" spans="2:19" ht="28">
      <c r="B8" s="32" t="s">
        <v>179</v>
      </c>
      <c r="C8" s="33" t="s">
        <v>204</v>
      </c>
      <c r="D8" s="34" t="s">
        <v>644</v>
      </c>
      <c r="E8" s="35" t="s">
        <v>645</v>
      </c>
      <c r="F8" s="36" t="s">
        <v>646</v>
      </c>
      <c r="G8" s="37" t="s">
        <v>647</v>
      </c>
      <c r="H8" s="38"/>
      <c r="I8" s="35" t="s">
        <v>648</v>
      </c>
      <c r="J8" s="36" t="s">
        <v>649</v>
      </c>
      <c r="K8" s="37" t="s">
        <v>650</v>
      </c>
    </row>
    <row r="9" spans="2:19">
      <c r="B9" s="39" t="s">
        <v>141</v>
      </c>
      <c r="C9" s="40" t="s">
        <v>143</v>
      </c>
      <c r="D9" s="41"/>
      <c r="E9" s="42">
        <v>133664.78380476753</v>
      </c>
      <c r="F9" s="43">
        <v>10730.229719154713</v>
      </c>
      <c r="G9" s="44">
        <v>144395.01352392224</v>
      </c>
      <c r="H9" s="59"/>
      <c r="I9" s="42">
        <v>183961.92332071054</v>
      </c>
      <c r="J9" s="43">
        <v>28838.363765483111</v>
      </c>
      <c r="K9" s="44">
        <v>212800.28708619357</v>
      </c>
      <c r="L9" s="54"/>
      <c r="M9" s="55"/>
      <c r="N9" s="55"/>
      <c r="O9" s="55"/>
      <c r="Q9" s="55"/>
      <c r="R9" s="55"/>
      <c r="S9" s="55"/>
    </row>
    <row r="10" spans="2:19" outlineLevel="1">
      <c r="B10" s="45" t="s">
        <v>141</v>
      </c>
      <c r="C10" s="46" t="s">
        <v>0</v>
      </c>
      <c r="D10" s="47" t="s">
        <v>205</v>
      </c>
      <c r="E10" s="48">
        <v>6.5327970114249156</v>
      </c>
      <c r="F10" s="49">
        <v>1959.7945008541001</v>
      </c>
      <c r="G10" s="50">
        <v>1966.327297865525</v>
      </c>
      <c r="H10" s="58"/>
      <c r="I10" s="48">
        <v>2046.6970176901675</v>
      </c>
      <c r="J10" s="49">
        <v>1.9082919890999999</v>
      </c>
      <c r="K10" s="50">
        <v>2048.6053096792675</v>
      </c>
      <c r="M10" s="55"/>
      <c r="N10" s="55"/>
      <c r="O10" s="55"/>
      <c r="Q10" s="55"/>
      <c r="R10" s="55"/>
      <c r="S10" s="55"/>
    </row>
    <row r="11" spans="2:19" outlineLevel="1">
      <c r="B11" s="51" t="s">
        <v>141</v>
      </c>
      <c r="C11" s="52" t="s">
        <v>180</v>
      </c>
      <c r="D11" s="53" t="s">
        <v>206</v>
      </c>
      <c r="E11" s="48">
        <v>9871.8922056231986</v>
      </c>
      <c r="F11" s="49">
        <v>4494.0957599225012</v>
      </c>
      <c r="G11" s="50">
        <v>14365.987965545701</v>
      </c>
      <c r="H11" s="58"/>
      <c r="I11" s="48">
        <v>18605.479003951077</v>
      </c>
      <c r="J11" s="49">
        <v>83.13927133224</v>
      </c>
      <c r="K11" s="50">
        <v>18688.618275283316</v>
      </c>
      <c r="M11" s="55"/>
      <c r="N11" s="55"/>
      <c r="O11" s="55"/>
      <c r="Q11" s="55"/>
      <c r="R11" s="55"/>
      <c r="S11" s="55"/>
    </row>
    <row r="12" spans="2:19" outlineLevel="1">
      <c r="B12" s="51" t="s">
        <v>141</v>
      </c>
      <c r="C12" s="52" t="s">
        <v>651</v>
      </c>
      <c r="D12" s="53" t="s">
        <v>652</v>
      </c>
      <c r="E12" s="48">
        <v>196.40668565685783</v>
      </c>
      <c r="F12" s="49">
        <v>20.153781218800003</v>
      </c>
      <c r="G12" s="50">
        <v>216.56046687565782</v>
      </c>
      <c r="H12" s="58"/>
      <c r="I12" s="48">
        <v>265.43114613854215</v>
      </c>
      <c r="J12" s="49">
        <v>1.3935050636199993</v>
      </c>
      <c r="K12" s="50">
        <v>266.82465120216216</v>
      </c>
      <c r="M12" s="55"/>
      <c r="N12" s="55"/>
      <c r="O12" s="55"/>
      <c r="Q12" s="55"/>
      <c r="R12" s="55"/>
      <c r="S12" s="55"/>
    </row>
    <row r="13" spans="2:19" outlineLevel="1">
      <c r="B13" s="51" t="s">
        <v>141</v>
      </c>
      <c r="C13" s="52" t="s">
        <v>1</v>
      </c>
      <c r="D13" s="53" t="s">
        <v>207</v>
      </c>
      <c r="E13" s="48">
        <v>917.62653195852431</v>
      </c>
      <c r="F13" s="49">
        <v>396.59395009089991</v>
      </c>
      <c r="G13" s="50">
        <v>1314.2204820494242</v>
      </c>
      <c r="H13" s="58"/>
      <c r="I13" s="48">
        <v>1069.5572762740023</v>
      </c>
      <c r="J13" s="49">
        <v>423.18163418520999</v>
      </c>
      <c r="K13" s="50">
        <v>1492.7389104592123</v>
      </c>
      <c r="M13" s="55"/>
      <c r="N13" s="55"/>
      <c r="O13" s="55"/>
      <c r="Q13" s="55"/>
      <c r="R13" s="55"/>
      <c r="S13" s="55"/>
    </row>
    <row r="14" spans="2:19" outlineLevel="1">
      <c r="B14" s="51" t="s">
        <v>141</v>
      </c>
      <c r="C14" s="52" t="s">
        <v>181</v>
      </c>
      <c r="D14" s="53" t="s">
        <v>208</v>
      </c>
      <c r="E14" s="48">
        <v>3460.3531008362734</v>
      </c>
      <c r="F14" s="49">
        <v>348.53879685564317</v>
      </c>
      <c r="G14" s="50">
        <v>3808.8918976919167</v>
      </c>
      <c r="H14" s="58"/>
      <c r="I14" s="48">
        <v>5823.7218374543627</v>
      </c>
      <c r="J14" s="49">
        <v>11.86305892935</v>
      </c>
      <c r="K14" s="50">
        <v>5835.5848963837125</v>
      </c>
      <c r="M14" s="55"/>
      <c r="N14" s="55"/>
      <c r="O14" s="55"/>
      <c r="Q14" s="55"/>
      <c r="R14" s="55"/>
      <c r="S14" s="55"/>
    </row>
    <row r="15" spans="2:19" outlineLevel="1">
      <c r="B15" s="51" t="s">
        <v>141</v>
      </c>
      <c r="C15" s="52" t="s">
        <v>653</v>
      </c>
      <c r="D15" s="53" t="s">
        <v>654</v>
      </c>
      <c r="E15" s="48">
        <v>3.0002924977055607</v>
      </c>
      <c r="F15" s="49">
        <v>24.737121715299999</v>
      </c>
      <c r="G15" s="50">
        <v>27.737414213005561</v>
      </c>
      <c r="H15" s="58"/>
      <c r="I15" s="48">
        <v>56.182337637926139</v>
      </c>
      <c r="J15" s="49">
        <v>0.66094367104000007</v>
      </c>
      <c r="K15" s="50">
        <v>56.843281308966141</v>
      </c>
      <c r="M15" s="55"/>
      <c r="N15" s="55"/>
      <c r="O15" s="55"/>
      <c r="Q15" s="55"/>
      <c r="R15" s="55"/>
      <c r="S15" s="55"/>
    </row>
    <row r="16" spans="2:19" outlineLevel="1">
      <c r="B16" s="51" t="s">
        <v>141</v>
      </c>
      <c r="C16" s="52" t="s">
        <v>2</v>
      </c>
      <c r="D16" s="53" t="s">
        <v>209</v>
      </c>
      <c r="E16" s="48">
        <v>129.67863836747762</v>
      </c>
      <c r="F16" s="49">
        <v>430.22463956359996</v>
      </c>
      <c r="G16" s="50">
        <v>559.90327793107758</v>
      </c>
      <c r="H16" s="58"/>
      <c r="I16" s="48">
        <v>618.28480202125809</v>
      </c>
      <c r="J16" s="49">
        <v>0</v>
      </c>
      <c r="K16" s="50">
        <v>618.28480202125809</v>
      </c>
      <c r="M16" s="55"/>
      <c r="N16" s="55"/>
      <c r="O16" s="55"/>
      <c r="Q16" s="55"/>
      <c r="R16" s="55"/>
      <c r="S16" s="55"/>
    </row>
    <row r="17" spans="2:19" outlineLevel="1">
      <c r="B17" s="51" t="s">
        <v>141</v>
      </c>
      <c r="C17" s="52" t="s">
        <v>3</v>
      </c>
      <c r="D17" s="53" t="s">
        <v>210</v>
      </c>
      <c r="E17" s="48">
        <v>7688.8268400024799</v>
      </c>
      <c r="F17" s="49">
        <v>4.80095921823</v>
      </c>
      <c r="G17" s="50">
        <v>7693.6277992207097</v>
      </c>
      <c r="H17" s="58"/>
      <c r="I17" s="48">
        <v>25356.194142867946</v>
      </c>
      <c r="J17" s="49">
        <v>1263.6537762879516</v>
      </c>
      <c r="K17" s="50">
        <v>26619.847919155898</v>
      </c>
      <c r="M17" s="55"/>
      <c r="N17" s="55"/>
      <c r="O17" s="55"/>
      <c r="Q17" s="55"/>
      <c r="R17" s="55"/>
      <c r="S17" s="55"/>
    </row>
    <row r="18" spans="2:19" outlineLevel="1">
      <c r="B18" s="51" t="s">
        <v>141</v>
      </c>
      <c r="C18" s="52" t="s">
        <v>182</v>
      </c>
      <c r="D18" s="53" t="s">
        <v>211</v>
      </c>
      <c r="E18" s="48">
        <v>2255.1451449448637</v>
      </c>
      <c r="F18" s="49">
        <v>1.34797635648</v>
      </c>
      <c r="G18" s="50">
        <v>2256.4931213013438</v>
      </c>
      <c r="H18" s="58"/>
      <c r="I18" s="48">
        <v>691.23191080959305</v>
      </c>
      <c r="J18" s="49">
        <v>1944.8684651032731</v>
      </c>
      <c r="K18" s="50">
        <v>2636.1003759128662</v>
      </c>
      <c r="M18" s="55"/>
      <c r="N18" s="55"/>
      <c r="O18" s="55"/>
      <c r="Q18" s="55"/>
      <c r="R18" s="55"/>
      <c r="S18" s="55"/>
    </row>
    <row r="19" spans="2:19" outlineLevel="1">
      <c r="B19" s="51" t="s">
        <v>141</v>
      </c>
      <c r="C19" s="52" t="s">
        <v>655</v>
      </c>
      <c r="D19" s="53" t="s">
        <v>656</v>
      </c>
      <c r="E19" s="48">
        <v>878.01223437026329</v>
      </c>
      <c r="F19" s="49">
        <v>5.8286708792820718E-16</v>
      </c>
      <c r="G19" s="50">
        <v>878.01223437026329</v>
      </c>
      <c r="H19" s="58"/>
      <c r="I19" s="48">
        <v>360.25290204051748</v>
      </c>
      <c r="J19" s="49">
        <v>692.85685016426009</v>
      </c>
      <c r="K19" s="50">
        <v>1053.1097522047776</v>
      </c>
      <c r="M19" s="55"/>
      <c r="N19" s="55"/>
      <c r="O19" s="55"/>
      <c r="Q19" s="55"/>
      <c r="R19" s="55"/>
      <c r="S19" s="55"/>
    </row>
    <row r="20" spans="2:19" outlineLevel="1">
      <c r="B20" s="51" t="s">
        <v>141</v>
      </c>
      <c r="C20" s="52" t="s">
        <v>657</v>
      </c>
      <c r="D20" s="53" t="s">
        <v>658</v>
      </c>
      <c r="E20" s="48">
        <v>526.93867544252089</v>
      </c>
      <c r="F20" s="49">
        <v>0</v>
      </c>
      <c r="G20" s="50">
        <v>526.93867544252089</v>
      </c>
      <c r="H20" s="58"/>
      <c r="I20" s="48">
        <v>180.54853398221906</v>
      </c>
      <c r="J20" s="49">
        <v>497.7220200050798</v>
      </c>
      <c r="K20" s="50">
        <v>678.27055398729885</v>
      </c>
      <c r="M20" s="55"/>
      <c r="N20" s="55"/>
      <c r="O20" s="55"/>
      <c r="Q20" s="55"/>
      <c r="R20" s="55"/>
      <c r="S20" s="55"/>
    </row>
    <row r="21" spans="2:19" outlineLevel="1">
      <c r="B21" s="51" t="s">
        <v>141</v>
      </c>
      <c r="C21" s="52" t="s">
        <v>183</v>
      </c>
      <c r="D21" s="53" t="s">
        <v>212</v>
      </c>
      <c r="E21" s="48">
        <v>3780.1550471973906</v>
      </c>
      <c r="F21" s="49">
        <v>203.24441963628999</v>
      </c>
      <c r="G21" s="50">
        <v>3983.3994668336804</v>
      </c>
      <c r="H21" s="58"/>
      <c r="I21" s="48">
        <v>10019.496908145407</v>
      </c>
      <c r="J21" s="49">
        <v>689.48134337861302</v>
      </c>
      <c r="K21" s="50">
        <v>10708.97825152402</v>
      </c>
      <c r="M21" s="55"/>
      <c r="N21" s="55"/>
      <c r="O21" s="55"/>
      <c r="Q21" s="55"/>
      <c r="R21" s="55"/>
      <c r="S21" s="55"/>
    </row>
    <row r="22" spans="2:19" outlineLevel="1">
      <c r="B22" s="51" t="s">
        <v>141</v>
      </c>
      <c r="C22" s="52" t="s">
        <v>184</v>
      </c>
      <c r="D22" s="53" t="s">
        <v>213</v>
      </c>
      <c r="E22" s="48">
        <v>4372.2052310387298</v>
      </c>
      <c r="F22" s="49">
        <v>79.295402928770002</v>
      </c>
      <c r="G22" s="50">
        <v>4451.5006339675001</v>
      </c>
      <c r="H22" s="58"/>
      <c r="I22" s="48">
        <v>15156.546318625476</v>
      </c>
      <c r="J22" s="49">
        <v>184.80624992766042</v>
      </c>
      <c r="K22" s="50">
        <v>15341.352568553137</v>
      </c>
      <c r="M22" s="55"/>
      <c r="N22" s="55"/>
      <c r="O22" s="55"/>
      <c r="Q22" s="55"/>
      <c r="R22" s="55"/>
      <c r="S22" s="55"/>
    </row>
    <row r="23" spans="2:19" outlineLevel="1">
      <c r="B23" s="51" t="s">
        <v>141</v>
      </c>
      <c r="C23" s="52" t="s">
        <v>4</v>
      </c>
      <c r="D23" s="53" t="s">
        <v>753</v>
      </c>
      <c r="E23" s="48">
        <v>6878.6591767894442</v>
      </c>
      <c r="F23" s="49">
        <v>0</v>
      </c>
      <c r="G23" s="50">
        <v>6878.6591767894442</v>
      </c>
      <c r="H23" s="58"/>
      <c r="I23" s="48">
        <v>7417.4513769213454</v>
      </c>
      <c r="J23" s="49">
        <v>2.0428263366099997</v>
      </c>
      <c r="K23" s="50">
        <v>7419.4942032579556</v>
      </c>
      <c r="M23" s="55"/>
      <c r="N23" s="55"/>
      <c r="O23" s="55"/>
      <c r="Q23" s="55"/>
      <c r="R23" s="55"/>
      <c r="S23" s="55"/>
    </row>
    <row r="24" spans="2:19" outlineLevel="1">
      <c r="B24" s="51" t="s">
        <v>141</v>
      </c>
      <c r="C24" s="52" t="s">
        <v>5</v>
      </c>
      <c r="D24" s="53" t="s">
        <v>215</v>
      </c>
      <c r="E24" s="48">
        <v>407.7273936642099</v>
      </c>
      <c r="F24" s="49">
        <v>0</v>
      </c>
      <c r="G24" s="50">
        <v>407.7273936642099</v>
      </c>
      <c r="H24" s="58"/>
      <c r="I24" s="48">
        <v>285.49044867822124</v>
      </c>
      <c r="J24" s="49">
        <v>125.7659692819</v>
      </c>
      <c r="K24" s="50">
        <v>411.25641796012127</v>
      </c>
      <c r="M24" s="55"/>
      <c r="N24" s="55"/>
      <c r="O24" s="55"/>
      <c r="Q24" s="55"/>
      <c r="R24" s="55"/>
      <c r="S24" s="55"/>
    </row>
    <row r="25" spans="2:19" outlineLevel="1">
      <c r="B25" s="51" t="s">
        <v>141</v>
      </c>
      <c r="C25" s="52" t="s">
        <v>6</v>
      </c>
      <c r="D25" s="53" t="s">
        <v>216</v>
      </c>
      <c r="E25" s="48">
        <v>1370.7204215734625</v>
      </c>
      <c r="F25" s="49">
        <v>860.08790991387343</v>
      </c>
      <c r="G25" s="50">
        <v>2230.8083314873361</v>
      </c>
      <c r="H25" s="58"/>
      <c r="I25" s="48">
        <v>2273.152531710753</v>
      </c>
      <c r="J25" s="49">
        <v>414.85659216520997</v>
      </c>
      <c r="K25" s="50">
        <v>2688.0091238759628</v>
      </c>
      <c r="M25" s="55"/>
      <c r="N25" s="55"/>
      <c r="O25" s="55"/>
      <c r="Q25" s="55"/>
      <c r="R25" s="55"/>
      <c r="S25" s="55"/>
    </row>
    <row r="26" spans="2:19" outlineLevel="1">
      <c r="B26" s="51" t="s">
        <v>141</v>
      </c>
      <c r="C26" s="52" t="s">
        <v>8</v>
      </c>
      <c r="D26" s="53" t="s">
        <v>217</v>
      </c>
      <c r="E26" s="48">
        <v>11203.859788707865</v>
      </c>
      <c r="F26" s="49">
        <v>17.081495888399999</v>
      </c>
      <c r="G26" s="50">
        <v>11220.941284596265</v>
      </c>
      <c r="H26" s="58"/>
      <c r="I26" s="48">
        <v>6596.2180320505649</v>
      </c>
      <c r="J26" s="49">
        <v>8991.8794181228204</v>
      </c>
      <c r="K26" s="50">
        <v>15588.097450173385</v>
      </c>
      <c r="M26" s="55"/>
      <c r="N26" s="55"/>
      <c r="O26" s="55"/>
      <c r="Q26" s="55"/>
      <c r="R26" s="55"/>
      <c r="S26" s="55"/>
    </row>
    <row r="27" spans="2:19" outlineLevel="1">
      <c r="B27" s="51" t="s">
        <v>141</v>
      </c>
      <c r="C27" s="52" t="s">
        <v>9</v>
      </c>
      <c r="D27" s="53" t="s">
        <v>218</v>
      </c>
      <c r="E27" s="48">
        <v>3728.9999299793999</v>
      </c>
      <c r="F27" s="49">
        <v>19.533411358749998</v>
      </c>
      <c r="G27" s="50">
        <v>3748.53334133815</v>
      </c>
      <c r="H27" s="58"/>
      <c r="I27" s="48">
        <v>8567.4675514621904</v>
      </c>
      <c r="J27" s="49">
        <v>549.87775436928996</v>
      </c>
      <c r="K27" s="50">
        <v>9117.3453058314808</v>
      </c>
      <c r="M27" s="55"/>
      <c r="N27" s="55"/>
      <c r="O27" s="55"/>
      <c r="Q27" s="55"/>
      <c r="R27" s="55"/>
      <c r="S27" s="55"/>
    </row>
    <row r="28" spans="2:19" outlineLevel="1">
      <c r="B28" s="51" t="s">
        <v>141</v>
      </c>
      <c r="C28" s="52" t="s">
        <v>659</v>
      </c>
      <c r="D28" s="53" t="s">
        <v>660</v>
      </c>
      <c r="E28" s="48">
        <v>834.3530868516018</v>
      </c>
      <c r="F28" s="49">
        <v>30.763772301500001</v>
      </c>
      <c r="G28" s="50">
        <v>865.11685915310181</v>
      </c>
      <c r="H28" s="58"/>
      <c r="I28" s="48">
        <v>1411.1506993886396</v>
      </c>
      <c r="J28" s="49">
        <v>166.28974623609</v>
      </c>
      <c r="K28" s="50">
        <v>1577.4404456247296</v>
      </c>
      <c r="M28" s="55"/>
      <c r="N28" s="55"/>
      <c r="O28" s="55"/>
      <c r="Q28" s="55"/>
      <c r="R28" s="55"/>
      <c r="S28" s="55"/>
    </row>
    <row r="29" spans="2:19" outlineLevel="1">
      <c r="B29" s="51" t="s">
        <v>141</v>
      </c>
      <c r="C29" s="52" t="s">
        <v>7</v>
      </c>
      <c r="D29" s="53" t="s">
        <v>219</v>
      </c>
      <c r="E29" s="48">
        <v>4103.8053590339296</v>
      </c>
      <c r="F29" s="49">
        <v>855.25050080685014</v>
      </c>
      <c r="G29" s="50">
        <v>4959.0558598407797</v>
      </c>
      <c r="H29" s="58"/>
      <c r="I29" s="48">
        <v>10361.274750214285</v>
      </c>
      <c r="J29" s="49">
        <v>140.42295702359999</v>
      </c>
      <c r="K29" s="50">
        <v>10501.697707237885</v>
      </c>
      <c r="L29" s="75">
        <f>I29/$K29</f>
        <v>0.98662854702751357</v>
      </c>
      <c r="M29" s="75">
        <f>J29/$K29</f>
        <v>1.3371452972486434E-2</v>
      </c>
      <c r="N29" s="55"/>
      <c r="O29" s="55"/>
      <c r="Q29" s="55"/>
      <c r="R29" s="55"/>
      <c r="S29" s="55"/>
    </row>
    <row r="30" spans="2:19" outlineLevel="1">
      <c r="B30" s="51" t="s">
        <v>141</v>
      </c>
      <c r="C30" s="52" t="s">
        <v>10</v>
      </c>
      <c r="D30" s="53" t="s">
        <v>220</v>
      </c>
      <c r="E30" s="48">
        <v>4860.5751504144746</v>
      </c>
      <c r="F30" s="49">
        <v>23.124636318419999</v>
      </c>
      <c r="G30" s="50">
        <v>4883.6997867328946</v>
      </c>
      <c r="H30" s="58"/>
      <c r="I30" s="48">
        <v>4915.9793045515862</v>
      </c>
      <c r="J30" s="49">
        <v>0.29024743806999997</v>
      </c>
      <c r="K30" s="50">
        <v>4916.2695519896561</v>
      </c>
      <c r="M30" s="55"/>
      <c r="N30" s="55"/>
      <c r="O30" s="55"/>
      <c r="Q30" s="55"/>
      <c r="R30" s="55"/>
      <c r="S30" s="55"/>
    </row>
    <row r="31" spans="2:19" outlineLevel="1">
      <c r="B31" s="51" t="s">
        <v>141</v>
      </c>
      <c r="C31" s="52" t="s">
        <v>11</v>
      </c>
      <c r="D31" s="53" t="s">
        <v>221</v>
      </c>
      <c r="E31" s="48">
        <v>13938.228808901571</v>
      </c>
      <c r="F31" s="49">
        <v>0.10995320459999999</v>
      </c>
      <c r="G31" s="50">
        <v>13938.33876210617</v>
      </c>
      <c r="H31" s="58"/>
      <c r="I31" s="48">
        <v>6816.0732743399594</v>
      </c>
      <c r="J31" s="49">
        <v>7402.4093579241007</v>
      </c>
      <c r="K31" s="50">
        <v>14218.48263226406</v>
      </c>
      <c r="M31" s="55"/>
      <c r="N31" s="55"/>
      <c r="O31" s="55"/>
      <c r="Q31" s="55"/>
      <c r="R31" s="55"/>
      <c r="S31" s="55"/>
    </row>
    <row r="32" spans="2:19" outlineLevel="1">
      <c r="B32" s="51" t="s">
        <v>141</v>
      </c>
      <c r="C32" s="52" t="s">
        <v>12</v>
      </c>
      <c r="D32" s="53" t="s">
        <v>222</v>
      </c>
      <c r="E32" s="48">
        <v>3873.7081462538335</v>
      </c>
      <c r="F32" s="49">
        <v>12.25326215272</v>
      </c>
      <c r="G32" s="50">
        <v>3885.9614084065533</v>
      </c>
      <c r="H32" s="58"/>
      <c r="I32" s="48">
        <v>1186.8209746667085</v>
      </c>
      <c r="J32" s="49">
        <v>2795.8142010319898</v>
      </c>
      <c r="K32" s="50">
        <v>3982.6351756986983</v>
      </c>
      <c r="M32" s="55"/>
      <c r="N32" s="55"/>
      <c r="O32" s="55"/>
      <c r="Q32" s="55"/>
      <c r="R32" s="55"/>
      <c r="S32" s="55"/>
    </row>
    <row r="33" spans="2:19" outlineLevel="1">
      <c r="B33" s="51" t="s">
        <v>141</v>
      </c>
      <c r="C33" s="52" t="s">
        <v>13</v>
      </c>
      <c r="D33" s="53" t="s">
        <v>223</v>
      </c>
      <c r="E33" s="48">
        <v>2157.255227768544</v>
      </c>
      <c r="F33" s="49">
        <v>4.0513355433499996</v>
      </c>
      <c r="G33" s="50">
        <v>2161.306563311894</v>
      </c>
      <c r="H33" s="58"/>
      <c r="I33" s="48">
        <v>825.67965144558798</v>
      </c>
      <c r="J33" s="49">
        <v>1365.6008100173101</v>
      </c>
      <c r="K33" s="50">
        <v>2191.2804614628981</v>
      </c>
      <c r="M33" s="55"/>
      <c r="N33" s="55"/>
      <c r="O33" s="55"/>
      <c r="Q33" s="55"/>
      <c r="R33" s="55"/>
      <c r="S33" s="55"/>
    </row>
    <row r="34" spans="2:19" outlineLevel="1">
      <c r="B34" s="51" t="s">
        <v>141</v>
      </c>
      <c r="C34" s="52" t="s">
        <v>661</v>
      </c>
      <c r="D34" s="53" t="s">
        <v>662</v>
      </c>
      <c r="E34" s="48">
        <v>965.11445298553099</v>
      </c>
      <c r="F34" s="49">
        <v>93.018724956370008</v>
      </c>
      <c r="G34" s="50">
        <v>1058.1331779419011</v>
      </c>
      <c r="H34" s="58"/>
      <c r="I34" s="48">
        <v>763.0269894536068</v>
      </c>
      <c r="J34" s="49">
        <v>431.07910240813999</v>
      </c>
      <c r="K34" s="50">
        <v>1194.1060918617468</v>
      </c>
      <c r="M34" s="55"/>
      <c r="N34" s="55"/>
      <c r="O34" s="55"/>
      <c r="Q34" s="55"/>
      <c r="R34" s="55"/>
      <c r="S34" s="55"/>
    </row>
    <row r="35" spans="2:19" outlineLevel="1">
      <c r="B35" s="51" t="s">
        <v>141</v>
      </c>
      <c r="C35" s="52" t="s">
        <v>663</v>
      </c>
      <c r="D35" s="53" t="s">
        <v>664</v>
      </c>
      <c r="E35" s="48">
        <v>61.824072648333328</v>
      </c>
      <c r="F35" s="49">
        <v>0</v>
      </c>
      <c r="G35" s="50">
        <v>61.824072648333328</v>
      </c>
      <c r="H35" s="58"/>
      <c r="I35" s="48">
        <v>86.186162990742886</v>
      </c>
      <c r="J35" s="49">
        <v>3.0882711169999997E-2</v>
      </c>
      <c r="K35" s="50">
        <v>86.21704570191288</v>
      </c>
      <c r="M35" s="55"/>
      <c r="N35" s="55"/>
      <c r="O35" s="55"/>
      <c r="Q35" s="55"/>
      <c r="R35" s="55"/>
      <c r="S35" s="55"/>
    </row>
    <row r="36" spans="2:19" outlineLevel="1">
      <c r="B36" s="51" t="s">
        <v>141</v>
      </c>
      <c r="C36" s="52" t="s">
        <v>665</v>
      </c>
      <c r="D36" s="53" t="s">
        <v>666</v>
      </c>
      <c r="E36" s="48">
        <v>86.507345486765502</v>
      </c>
      <c r="F36" s="49">
        <v>21.705089943539999</v>
      </c>
      <c r="G36" s="50">
        <v>108.2124354303055</v>
      </c>
      <c r="H36" s="58"/>
      <c r="I36" s="48">
        <v>122.24129529610336</v>
      </c>
      <c r="J36" s="49">
        <v>6.2127548719500005</v>
      </c>
      <c r="K36" s="50">
        <v>128.45405016805336</v>
      </c>
      <c r="M36" s="55"/>
      <c r="N36" s="55"/>
      <c r="O36" s="55"/>
      <c r="Q36" s="55"/>
      <c r="R36" s="55"/>
      <c r="S36" s="55"/>
    </row>
    <row r="37" spans="2:19" outlineLevel="1">
      <c r="B37" s="51" t="s">
        <v>141</v>
      </c>
      <c r="C37" s="52" t="s">
        <v>185</v>
      </c>
      <c r="D37" s="53" t="s">
        <v>224</v>
      </c>
      <c r="E37" s="48">
        <v>434.03134947543998</v>
      </c>
      <c r="F37" s="49">
        <v>132.00404525655998</v>
      </c>
      <c r="G37" s="50">
        <v>566.03539473199999</v>
      </c>
      <c r="H37" s="58"/>
      <c r="I37" s="48">
        <v>776.68543358472698</v>
      </c>
      <c r="J37" s="49">
        <v>84.478050592980011</v>
      </c>
      <c r="K37" s="50">
        <v>861.16348417770701</v>
      </c>
      <c r="M37" s="55"/>
      <c r="N37" s="55"/>
      <c r="O37" s="55"/>
      <c r="Q37" s="55"/>
      <c r="R37" s="55"/>
      <c r="S37" s="55"/>
    </row>
    <row r="38" spans="2:19" outlineLevel="1">
      <c r="B38" s="51" t="s">
        <v>141</v>
      </c>
      <c r="C38" s="52" t="s">
        <v>16</v>
      </c>
      <c r="D38" s="53" t="s">
        <v>225</v>
      </c>
      <c r="E38" s="48">
        <v>6992.0262741518236</v>
      </c>
      <c r="F38" s="49">
        <v>3.1569824668999997</v>
      </c>
      <c r="G38" s="50">
        <v>6995.183256618724</v>
      </c>
      <c r="H38" s="58"/>
      <c r="I38" s="48">
        <v>7444.3944302516375</v>
      </c>
      <c r="J38" s="49">
        <v>77.67164855604176</v>
      </c>
      <c r="K38" s="50">
        <v>7522.0660788076793</v>
      </c>
      <c r="M38" s="55"/>
      <c r="N38" s="55"/>
      <c r="O38" s="55"/>
      <c r="Q38" s="55"/>
      <c r="R38" s="55"/>
      <c r="S38" s="55"/>
    </row>
    <row r="39" spans="2:19" outlineLevel="1">
      <c r="B39" s="51" t="s">
        <v>141</v>
      </c>
      <c r="C39" s="52" t="s">
        <v>18</v>
      </c>
      <c r="D39" s="53" t="s">
        <v>226</v>
      </c>
      <c r="E39" s="48">
        <v>2163.7160860468557</v>
      </c>
      <c r="F39" s="49">
        <v>6.2176407664999997</v>
      </c>
      <c r="G39" s="50">
        <v>2169.9337268133559</v>
      </c>
      <c r="H39" s="58"/>
      <c r="I39" s="48">
        <v>2288.6964011193963</v>
      </c>
      <c r="J39" s="49">
        <v>0</v>
      </c>
      <c r="K39" s="50">
        <v>2288.6964011193963</v>
      </c>
      <c r="M39" s="55"/>
      <c r="N39" s="55"/>
      <c r="O39" s="55"/>
      <c r="Q39" s="55"/>
      <c r="R39" s="55"/>
      <c r="S39" s="55"/>
    </row>
    <row r="40" spans="2:19" outlineLevel="1">
      <c r="B40" s="51" t="s">
        <v>141</v>
      </c>
      <c r="C40" s="52" t="s">
        <v>19</v>
      </c>
      <c r="D40" s="53" t="s">
        <v>227</v>
      </c>
      <c r="E40" s="48">
        <v>12126.611739460637</v>
      </c>
      <c r="F40" s="49">
        <v>165.2445704607</v>
      </c>
      <c r="G40" s="50">
        <v>12291.856309921337</v>
      </c>
      <c r="H40" s="58"/>
      <c r="I40" s="48">
        <v>13303.736962688981</v>
      </c>
      <c r="J40" s="49">
        <v>24.967472261699999</v>
      </c>
      <c r="K40" s="50">
        <v>13328.704434950681</v>
      </c>
      <c r="M40" s="55"/>
      <c r="N40" s="55"/>
      <c r="O40" s="55"/>
      <c r="Q40" s="55"/>
      <c r="R40" s="55"/>
      <c r="S40" s="55"/>
    </row>
    <row r="41" spans="2:19" outlineLevel="1">
      <c r="B41" s="51" t="s">
        <v>141</v>
      </c>
      <c r="C41" s="52" t="s">
        <v>17</v>
      </c>
      <c r="D41" s="53" t="s">
        <v>228</v>
      </c>
      <c r="E41" s="48">
        <v>324.48151242441025</v>
      </c>
      <c r="F41" s="49">
        <v>36.836289261600001</v>
      </c>
      <c r="G41" s="50">
        <v>361.31780168601028</v>
      </c>
      <c r="H41" s="58"/>
      <c r="I41" s="48">
        <v>386.97047342166496</v>
      </c>
      <c r="J41" s="49">
        <v>1.2636353558</v>
      </c>
      <c r="K41" s="50">
        <v>388.23410877746494</v>
      </c>
      <c r="M41" s="55"/>
      <c r="N41" s="55"/>
      <c r="O41" s="55"/>
      <c r="Q41" s="55"/>
      <c r="R41" s="55"/>
      <c r="S41" s="55"/>
    </row>
    <row r="42" spans="2:19" outlineLevel="1">
      <c r="B42" s="51" t="s">
        <v>141</v>
      </c>
      <c r="C42" s="52" t="s">
        <v>186</v>
      </c>
      <c r="D42" s="53" t="s">
        <v>229</v>
      </c>
      <c r="E42" s="48">
        <v>2923.5240526183229</v>
      </c>
      <c r="F42" s="49">
        <v>0</v>
      </c>
      <c r="G42" s="50">
        <v>2923.5240526183229</v>
      </c>
      <c r="H42" s="58"/>
      <c r="I42" s="48">
        <v>3235.4958914936642</v>
      </c>
      <c r="J42" s="49">
        <v>0</v>
      </c>
      <c r="K42" s="50">
        <v>3235.4958914936642</v>
      </c>
      <c r="M42" s="55"/>
      <c r="N42" s="55"/>
      <c r="O42" s="55"/>
      <c r="Q42" s="55"/>
      <c r="R42" s="55"/>
      <c r="S42" s="55"/>
    </row>
    <row r="43" spans="2:19" outlineLevel="1">
      <c r="B43" s="51" t="s">
        <v>141</v>
      </c>
      <c r="C43" s="52" t="s">
        <v>187</v>
      </c>
      <c r="D43" s="53" t="s">
        <v>230</v>
      </c>
      <c r="E43" s="48">
        <v>5156.4154660501645</v>
      </c>
      <c r="F43" s="49">
        <v>406.56494717248097</v>
      </c>
      <c r="G43" s="50">
        <v>5562.9804132226454</v>
      </c>
      <c r="H43" s="58"/>
      <c r="I43" s="48">
        <v>8062.9015049323471</v>
      </c>
      <c r="J43" s="49">
        <v>27.700816637300001</v>
      </c>
      <c r="K43" s="50">
        <v>8090.6023215696468</v>
      </c>
      <c r="M43" s="55"/>
      <c r="N43" s="55"/>
      <c r="O43" s="55"/>
      <c r="Q43" s="55"/>
      <c r="R43" s="55"/>
      <c r="S43" s="55"/>
    </row>
    <row r="44" spans="2:19" outlineLevel="1">
      <c r="B44" s="51" t="s">
        <v>141</v>
      </c>
      <c r="C44" s="52" t="s">
        <v>188</v>
      </c>
      <c r="D44" s="53" t="s">
        <v>231</v>
      </c>
      <c r="E44" s="48">
        <v>69.733837021605012</v>
      </c>
      <c r="F44" s="49">
        <v>4.7887241000000007E-3</v>
      </c>
      <c r="G44" s="50">
        <v>69.738625745705008</v>
      </c>
      <c r="H44" s="58"/>
      <c r="I44" s="48">
        <v>76.210464354123332</v>
      </c>
      <c r="J44" s="49">
        <v>26.262639671690003</v>
      </c>
      <c r="K44" s="50">
        <v>102.47310402581334</v>
      </c>
      <c r="M44" s="55"/>
      <c r="N44" s="55"/>
      <c r="O44" s="55"/>
      <c r="Q44" s="55"/>
      <c r="R44" s="55"/>
      <c r="S44" s="55"/>
    </row>
    <row r="45" spans="2:19" outlineLevel="1">
      <c r="B45" s="51" t="s">
        <v>141</v>
      </c>
      <c r="C45" s="52" t="s">
        <v>667</v>
      </c>
      <c r="D45" s="53" t="s">
        <v>668</v>
      </c>
      <c r="E45" s="48">
        <v>73.673907152820519</v>
      </c>
      <c r="F45" s="49">
        <v>5.1247878140000003</v>
      </c>
      <c r="G45" s="50">
        <v>78.79869496682052</v>
      </c>
      <c r="H45" s="58"/>
      <c r="I45" s="48">
        <v>81.884613328640995</v>
      </c>
      <c r="J45" s="49">
        <v>0.33932318919999999</v>
      </c>
      <c r="K45" s="50">
        <v>82.223936517840997</v>
      </c>
      <c r="M45" s="55"/>
      <c r="N45" s="55"/>
      <c r="O45" s="55"/>
      <c r="Q45" s="55"/>
      <c r="R45" s="55"/>
      <c r="S45" s="55"/>
    </row>
    <row r="46" spans="2:19" outlineLevel="1">
      <c r="B46" s="51" t="s">
        <v>141</v>
      </c>
      <c r="C46" s="52" t="s">
        <v>21</v>
      </c>
      <c r="D46" s="53" t="s">
        <v>232</v>
      </c>
      <c r="E46" s="48">
        <v>1815.1117180538843</v>
      </c>
      <c r="F46" s="49">
        <v>0.36364454325000001</v>
      </c>
      <c r="G46" s="50">
        <v>1815.4753625971343</v>
      </c>
      <c r="H46" s="58"/>
      <c r="I46" s="48">
        <v>1988.6016883834632</v>
      </c>
      <c r="J46" s="49">
        <v>72.592189549620002</v>
      </c>
      <c r="K46" s="50">
        <v>2061.1938779330831</v>
      </c>
      <c r="M46" s="55"/>
      <c r="N46" s="55"/>
      <c r="O46" s="55"/>
      <c r="Q46" s="55"/>
      <c r="R46" s="55"/>
      <c r="S46" s="55"/>
    </row>
    <row r="47" spans="2:19" outlineLevel="1">
      <c r="B47" s="51" t="s">
        <v>141</v>
      </c>
      <c r="C47" s="52" t="s">
        <v>22</v>
      </c>
      <c r="D47" s="53" t="s">
        <v>233</v>
      </c>
      <c r="E47" s="48">
        <v>5858.0493188344999</v>
      </c>
      <c r="F47" s="49">
        <v>0</v>
      </c>
      <c r="G47" s="50">
        <v>5858.0493188344999</v>
      </c>
      <c r="H47" s="58"/>
      <c r="I47" s="48">
        <v>6026.790365630216</v>
      </c>
      <c r="J47" s="49">
        <v>0</v>
      </c>
      <c r="K47" s="50">
        <v>6026.790365630216</v>
      </c>
      <c r="M47" s="55"/>
      <c r="N47" s="55"/>
      <c r="O47" s="55"/>
      <c r="Q47" s="55"/>
      <c r="R47" s="55"/>
      <c r="S47" s="55"/>
    </row>
    <row r="48" spans="2:19" outlineLevel="1">
      <c r="B48" s="51" t="s">
        <v>141</v>
      </c>
      <c r="C48" s="52" t="s">
        <v>14</v>
      </c>
      <c r="D48" s="53" t="s">
        <v>234</v>
      </c>
      <c r="E48" s="48">
        <v>303.9393742315599</v>
      </c>
      <c r="F48" s="49">
        <v>37.787142063979999</v>
      </c>
      <c r="G48" s="50">
        <v>341.72651629553991</v>
      </c>
      <c r="H48" s="58"/>
      <c r="I48" s="48">
        <v>123.96917997243361</v>
      </c>
      <c r="J48" s="49">
        <v>256.03894214289005</v>
      </c>
      <c r="K48" s="50">
        <v>380.00812211532366</v>
      </c>
      <c r="M48" s="55"/>
      <c r="N48" s="55"/>
      <c r="O48" s="55"/>
      <c r="Q48" s="55"/>
      <c r="R48" s="55"/>
      <c r="S48" s="55"/>
    </row>
    <row r="49" spans="2:19" outlineLevel="1">
      <c r="B49" s="51" t="s">
        <v>141</v>
      </c>
      <c r="C49" s="52" t="s">
        <v>23</v>
      </c>
      <c r="D49" s="53" t="s">
        <v>235</v>
      </c>
      <c r="E49" s="48">
        <v>1666.0318050465303</v>
      </c>
      <c r="F49" s="49">
        <v>12.23274360055</v>
      </c>
      <c r="G49" s="50">
        <v>1678.2645486470803</v>
      </c>
      <c r="H49" s="58"/>
      <c r="I49" s="48">
        <v>2569.7260455291507</v>
      </c>
      <c r="J49" s="49">
        <v>69.547258736299995</v>
      </c>
      <c r="K49" s="50">
        <v>2639.2733042654509</v>
      </c>
      <c r="M49" s="55"/>
      <c r="N49" s="55"/>
      <c r="O49" s="55"/>
      <c r="Q49" s="55"/>
      <c r="R49" s="55"/>
      <c r="S49" s="55"/>
    </row>
    <row r="50" spans="2:19" outlineLevel="1">
      <c r="B50" s="51" t="s">
        <v>141</v>
      </c>
      <c r="C50" s="52" t="s">
        <v>189</v>
      </c>
      <c r="D50" s="53" t="s">
        <v>236</v>
      </c>
      <c r="E50" s="48">
        <v>1068.8207662546988</v>
      </c>
      <c r="F50" s="49">
        <v>17.316044795900002</v>
      </c>
      <c r="G50" s="50">
        <v>1086.1368110505989</v>
      </c>
      <c r="H50" s="58"/>
      <c r="I50" s="48">
        <v>1563.5740437544791</v>
      </c>
      <c r="J50" s="49">
        <v>9.3900214893000005</v>
      </c>
      <c r="K50" s="50">
        <v>1572.964065243779</v>
      </c>
      <c r="M50" s="55"/>
      <c r="N50" s="55"/>
      <c r="O50" s="55"/>
      <c r="Q50" s="55"/>
      <c r="R50" s="55"/>
      <c r="S50" s="55"/>
    </row>
    <row r="51" spans="2:19" outlineLevel="1">
      <c r="B51" s="51" t="s">
        <v>141</v>
      </c>
      <c r="C51" s="52" t="s">
        <v>669</v>
      </c>
      <c r="D51" s="53" t="s">
        <v>670</v>
      </c>
      <c r="E51" s="48">
        <v>19.897884809049494</v>
      </c>
      <c r="F51" s="49">
        <v>7.5686914792000008</v>
      </c>
      <c r="G51" s="50">
        <v>27.466576288249495</v>
      </c>
      <c r="H51" s="58"/>
      <c r="I51" s="48">
        <v>35.452383221003728</v>
      </c>
      <c r="J51" s="49">
        <v>3.7373246300000003E-3</v>
      </c>
      <c r="K51" s="50">
        <v>35.456120545633731</v>
      </c>
      <c r="M51" s="55"/>
      <c r="N51" s="55"/>
      <c r="O51" s="55"/>
      <c r="Q51" s="55"/>
      <c r="R51" s="55"/>
      <c r="S51" s="55"/>
    </row>
    <row r="52" spans="2:19" outlineLevel="1">
      <c r="B52" s="51" t="s">
        <v>141</v>
      </c>
      <c r="C52" s="52" t="s">
        <v>20</v>
      </c>
      <c r="D52" s="53" t="s">
        <v>237</v>
      </c>
      <c r="E52" s="48">
        <v>4110.6069271285924</v>
      </c>
      <c r="F52" s="49">
        <v>0</v>
      </c>
      <c r="G52" s="50">
        <v>4110.6069271285924</v>
      </c>
      <c r="H52" s="58"/>
      <c r="I52" s="48">
        <v>4118.9962582357493</v>
      </c>
      <c r="J52" s="49">
        <v>0</v>
      </c>
      <c r="K52" s="50">
        <v>4118.9962582357493</v>
      </c>
      <c r="M52" s="55"/>
      <c r="N52" s="55"/>
      <c r="O52" s="55"/>
      <c r="Q52" s="55"/>
      <c r="R52" s="55"/>
      <c r="S52" s="55"/>
    </row>
    <row r="53" spans="2:19">
      <c r="B53" s="39" t="s">
        <v>144</v>
      </c>
      <c r="C53" s="40" t="s">
        <v>145</v>
      </c>
      <c r="D53" s="41"/>
      <c r="E53" s="42">
        <v>5485.0709087074383</v>
      </c>
      <c r="F53" s="43">
        <v>2122.4011729789904</v>
      </c>
      <c r="G53" s="44">
        <v>7607.4720816864274</v>
      </c>
      <c r="H53" s="59"/>
      <c r="I53" s="42">
        <v>7658.1956547936843</v>
      </c>
      <c r="J53" s="43">
        <v>773.89383878056992</v>
      </c>
      <c r="K53" s="44">
        <v>8432.0894935742544</v>
      </c>
      <c r="L53" s="54"/>
      <c r="M53" s="55"/>
      <c r="N53" s="55"/>
      <c r="O53" s="55"/>
      <c r="Q53" s="55"/>
      <c r="R53" s="55"/>
      <c r="S53" s="55"/>
    </row>
    <row r="54" spans="2:19" outlineLevel="1">
      <c r="B54" s="51" t="s">
        <v>144</v>
      </c>
      <c r="C54" s="52" t="s">
        <v>24</v>
      </c>
      <c r="D54" s="53" t="s">
        <v>238</v>
      </c>
      <c r="E54" s="48">
        <v>886.39914362972036</v>
      </c>
      <c r="F54" s="49">
        <v>0</v>
      </c>
      <c r="G54" s="50">
        <v>886.39914362972036</v>
      </c>
      <c r="H54" s="58"/>
      <c r="I54" s="48">
        <v>619.61872408498039</v>
      </c>
      <c r="J54" s="49">
        <v>305.33607050474001</v>
      </c>
      <c r="K54" s="50">
        <v>924.95479458972034</v>
      </c>
      <c r="M54" s="55"/>
      <c r="N54" s="55"/>
      <c r="O54" s="55"/>
      <c r="Q54" s="55"/>
      <c r="R54" s="55"/>
      <c r="S54" s="55"/>
    </row>
    <row r="55" spans="2:19" outlineLevel="1">
      <c r="B55" s="51" t="s">
        <v>144</v>
      </c>
      <c r="C55" s="52" t="s">
        <v>25</v>
      </c>
      <c r="D55" s="53" t="s">
        <v>239</v>
      </c>
      <c r="E55" s="48">
        <v>260.00880420686212</v>
      </c>
      <c r="F55" s="49">
        <v>2.0331870808999999</v>
      </c>
      <c r="G55" s="50">
        <v>262.04199128776213</v>
      </c>
      <c r="H55" s="58"/>
      <c r="I55" s="48">
        <v>33.803081696033701</v>
      </c>
      <c r="J55" s="49">
        <v>228.24819096459998</v>
      </c>
      <c r="K55" s="50">
        <v>262.05127266063369</v>
      </c>
      <c r="M55" s="55"/>
      <c r="N55" s="55"/>
      <c r="O55" s="55"/>
      <c r="Q55" s="55"/>
      <c r="R55" s="55"/>
      <c r="S55" s="55"/>
    </row>
    <row r="56" spans="2:19" outlineLevel="1">
      <c r="B56" s="51" t="s">
        <v>144</v>
      </c>
      <c r="C56" s="52" t="s">
        <v>26</v>
      </c>
      <c r="D56" s="53" t="s">
        <v>240</v>
      </c>
      <c r="E56" s="48">
        <v>3860.8598070341018</v>
      </c>
      <c r="F56" s="49">
        <v>105.63415701922</v>
      </c>
      <c r="G56" s="50">
        <v>3966.4939640533216</v>
      </c>
      <c r="H56" s="58"/>
      <c r="I56" s="48">
        <v>4419.2082005759585</v>
      </c>
      <c r="J56" s="49">
        <v>80.60496563593</v>
      </c>
      <c r="K56" s="50">
        <v>4499.8131662118885</v>
      </c>
      <c r="M56" s="55"/>
      <c r="N56" s="55"/>
      <c r="O56" s="55"/>
      <c r="Q56" s="55"/>
      <c r="R56" s="55"/>
      <c r="S56" s="55"/>
    </row>
    <row r="57" spans="2:19" outlineLevel="1">
      <c r="B57" s="51" t="s">
        <v>144</v>
      </c>
      <c r="C57" s="52" t="s">
        <v>671</v>
      </c>
      <c r="D57" s="53" t="s">
        <v>672</v>
      </c>
      <c r="E57" s="48">
        <v>0</v>
      </c>
      <c r="F57" s="49">
        <v>1812.5495125521002</v>
      </c>
      <c r="G57" s="50">
        <v>1812.5495125521002</v>
      </c>
      <c r="H57" s="58"/>
      <c r="I57" s="48">
        <v>1916.5300938246819</v>
      </c>
      <c r="J57" s="49">
        <v>0.22366098479999999</v>
      </c>
      <c r="K57" s="50">
        <v>1916.753754809482</v>
      </c>
      <c r="M57" s="55"/>
      <c r="N57" s="55"/>
      <c r="O57" s="55"/>
      <c r="Q57" s="55"/>
      <c r="R57" s="55"/>
      <c r="S57" s="55"/>
    </row>
    <row r="58" spans="2:19" outlineLevel="1">
      <c r="B58" s="51" t="s">
        <v>144</v>
      </c>
      <c r="C58" s="52" t="s">
        <v>28</v>
      </c>
      <c r="D58" s="53" t="s">
        <v>241</v>
      </c>
      <c r="E58" s="48">
        <v>261.786872011995</v>
      </c>
      <c r="F58" s="49">
        <v>87.518041824709996</v>
      </c>
      <c r="G58" s="50">
        <v>349.304913836705</v>
      </c>
      <c r="H58" s="58"/>
      <c r="I58" s="48">
        <v>400.26483613546986</v>
      </c>
      <c r="J58" s="49">
        <v>39.61381636774</v>
      </c>
      <c r="K58" s="50">
        <v>439.87865250320988</v>
      </c>
      <c r="M58" s="55"/>
      <c r="N58" s="55"/>
      <c r="O58" s="55"/>
      <c r="Q58" s="55"/>
      <c r="R58" s="55"/>
      <c r="S58" s="55"/>
    </row>
    <row r="59" spans="2:19" outlineLevel="1">
      <c r="B59" s="51" t="s">
        <v>144</v>
      </c>
      <c r="C59" s="52" t="s">
        <v>27</v>
      </c>
      <c r="D59" s="53" t="s">
        <v>242</v>
      </c>
      <c r="E59" s="48">
        <v>193.43682514772055</v>
      </c>
      <c r="F59" s="49">
        <v>114.66627450206001</v>
      </c>
      <c r="G59" s="50">
        <v>308.10309964978057</v>
      </c>
      <c r="H59" s="58"/>
      <c r="I59" s="48">
        <v>246.19126179952224</v>
      </c>
      <c r="J59" s="49">
        <v>119.86713432276001</v>
      </c>
      <c r="K59" s="50">
        <v>366.05839612228226</v>
      </c>
      <c r="M59" s="55"/>
      <c r="N59" s="55"/>
      <c r="O59" s="55"/>
      <c r="Q59" s="55"/>
      <c r="R59" s="55"/>
      <c r="S59" s="55"/>
    </row>
    <row r="60" spans="2:19" outlineLevel="1">
      <c r="B60" s="51" t="s">
        <v>144</v>
      </c>
      <c r="C60" s="52" t="s">
        <v>29</v>
      </c>
      <c r="D60" s="53" t="s">
        <v>243</v>
      </c>
      <c r="E60" s="48">
        <v>22.579456677037818</v>
      </c>
      <c r="F60" s="49">
        <v>0</v>
      </c>
      <c r="G60" s="50">
        <v>22.579456677037818</v>
      </c>
      <c r="H60" s="58"/>
      <c r="I60" s="48">
        <v>22.579456677037818</v>
      </c>
      <c r="J60" s="49">
        <v>0</v>
      </c>
      <c r="K60" s="50">
        <v>22.579456677037818</v>
      </c>
      <c r="M60" s="55"/>
      <c r="N60" s="55"/>
      <c r="O60" s="55"/>
      <c r="Q60" s="55"/>
      <c r="R60" s="55"/>
      <c r="S60" s="55"/>
    </row>
    <row r="61" spans="2:19">
      <c r="B61" s="39" t="s">
        <v>142</v>
      </c>
      <c r="C61" s="40" t="s">
        <v>146</v>
      </c>
      <c r="D61" s="41"/>
      <c r="E61" s="42">
        <v>306735.39190766739</v>
      </c>
      <c r="F61" s="43">
        <v>217226.22558627007</v>
      </c>
      <c r="G61" s="44">
        <v>523961.61749393772</v>
      </c>
      <c r="H61" s="59"/>
      <c r="I61" s="42">
        <v>637406.20481690462</v>
      </c>
      <c r="J61" s="43">
        <v>76278.557452059147</v>
      </c>
      <c r="K61" s="44">
        <v>713684.7622689635</v>
      </c>
      <c r="L61" s="54"/>
      <c r="M61" s="55"/>
      <c r="N61" s="55"/>
      <c r="O61" s="55"/>
      <c r="Q61" s="55"/>
      <c r="R61" s="55"/>
      <c r="S61" s="55"/>
    </row>
    <row r="62" spans="2:19" outlineLevel="1">
      <c r="B62" s="51" t="s">
        <v>142</v>
      </c>
      <c r="C62" s="52" t="s">
        <v>30</v>
      </c>
      <c r="D62" s="53" t="s">
        <v>244</v>
      </c>
      <c r="E62" s="48">
        <v>10819.13036542535</v>
      </c>
      <c r="F62" s="49">
        <v>1153.0566267245999</v>
      </c>
      <c r="G62" s="50">
        <v>11972.186992149949</v>
      </c>
      <c r="H62" s="58"/>
      <c r="I62" s="48">
        <v>19185.730049882695</v>
      </c>
      <c r="J62" s="49">
        <v>53.525182847000011</v>
      </c>
      <c r="K62" s="50">
        <v>19239.255232729694</v>
      </c>
      <c r="M62" s="55"/>
      <c r="N62" s="55"/>
      <c r="O62" s="55"/>
      <c r="Q62" s="55"/>
      <c r="R62" s="55"/>
      <c r="S62" s="55"/>
    </row>
    <row r="63" spans="2:19" outlineLevel="1">
      <c r="B63" s="51" t="s">
        <v>142</v>
      </c>
      <c r="C63" s="52" t="s">
        <v>31</v>
      </c>
      <c r="D63" s="53" t="s">
        <v>245</v>
      </c>
      <c r="E63" s="48">
        <v>2142.8374261515678</v>
      </c>
      <c r="F63" s="49">
        <v>661.90271396122284</v>
      </c>
      <c r="G63" s="50">
        <v>2804.7401401127909</v>
      </c>
      <c r="H63" s="58"/>
      <c r="I63" s="48">
        <v>3412.6325782019708</v>
      </c>
      <c r="J63" s="49">
        <v>0.47870313869999992</v>
      </c>
      <c r="K63" s="50">
        <v>3413.1112813406708</v>
      </c>
      <c r="M63" s="55"/>
      <c r="N63" s="55"/>
      <c r="O63" s="55"/>
      <c r="Q63" s="55"/>
      <c r="R63" s="55"/>
      <c r="S63" s="55"/>
    </row>
    <row r="64" spans="2:19" outlineLevel="1">
      <c r="B64" s="51" t="s">
        <v>142</v>
      </c>
      <c r="C64" s="52" t="s">
        <v>32</v>
      </c>
      <c r="D64" s="53" t="s">
        <v>246</v>
      </c>
      <c r="E64" s="48">
        <v>14776.508817615611</v>
      </c>
      <c r="F64" s="49">
        <v>1466.3919238495</v>
      </c>
      <c r="G64" s="50">
        <v>16242.900741465111</v>
      </c>
      <c r="H64" s="58"/>
      <c r="I64" s="48">
        <v>21440.168041501704</v>
      </c>
      <c r="J64" s="49">
        <v>29.1968527336</v>
      </c>
      <c r="K64" s="50">
        <v>21469.364894235303</v>
      </c>
      <c r="M64" s="55"/>
      <c r="N64" s="55"/>
      <c r="O64" s="55"/>
      <c r="Q64" s="55"/>
      <c r="R64" s="55"/>
      <c r="S64" s="55"/>
    </row>
    <row r="65" spans="2:19" outlineLevel="1">
      <c r="B65" s="51" t="s">
        <v>142</v>
      </c>
      <c r="C65" s="52" t="s">
        <v>33</v>
      </c>
      <c r="D65" s="53" t="s">
        <v>247</v>
      </c>
      <c r="E65" s="48">
        <v>4754.4163584295484</v>
      </c>
      <c r="F65" s="49">
        <v>762.15695222850013</v>
      </c>
      <c r="G65" s="50">
        <v>5516.5733106580483</v>
      </c>
      <c r="H65" s="58"/>
      <c r="I65" s="48">
        <v>7311.0247984133157</v>
      </c>
      <c r="J65" s="49">
        <v>622.27758210729996</v>
      </c>
      <c r="K65" s="50">
        <v>7933.3023805206158</v>
      </c>
      <c r="M65" s="55"/>
      <c r="N65" s="55"/>
      <c r="O65" s="55"/>
      <c r="Q65" s="55"/>
      <c r="R65" s="55"/>
      <c r="S65" s="55"/>
    </row>
    <row r="66" spans="2:19" outlineLevel="1">
      <c r="B66" s="51" t="s">
        <v>142</v>
      </c>
      <c r="C66" s="52" t="s">
        <v>673</v>
      </c>
      <c r="D66" s="53" t="s">
        <v>674</v>
      </c>
      <c r="E66" s="48">
        <v>342.69931672111386</v>
      </c>
      <c r="F66" s="49">
        <v>2.2858656551399998</v>
      </c>
      <c r="G66" s="50">
        <v>344.98518237625387</v>
      </c>
      <c r="H66" s="58"/>
      <c r="I66" s="48">
        <v>351.3019986328888</v>
      </c>
      <c r="J66" s="49">
        <v>20.825294020410002</v>
      </c>
      <c r="K66" s="50">
        <v>372.12729265329881</v>
      </c>
      <c r="M66" s="55"/>
      <c r="N66" s="55"/>
      <c r="O66" s="55"/>
      <c r="Q66" s="55"/>
      <c r="R66" s="55"/>
      <c r="S66" s="55"/>
    </row>
    <row r="67" spans="2:19" outlineLevel="1">
      <c r="B67" s="51" t="s">
        <v>142</v>
      </c>
      <c r="C67" s="52" t="s">
        <v>34</v>
      </c>
      <c r="D67" s="53" t="s">
        <v>248</v>
      </c>
      <c r="E67" s="48">
        <v>496.99620792911037</v>
      </c>
      <c r="F67" s="49">
        <v>584.05274383149992</v>
      </c>
      <c r="G67" s="50">
        <v>1081.0489517606102</v>
      </c>
      <c r="H67" s="58"/>
      <c r="I67" s="48">
        <v>786.49744738110996</v>
      </c>
      <c r="J67" s="49">
        <v>581.78490086611771</v>
      </c>
      <c r="K67" s="50">
        <v>1368.2823482472277</v>
      </c>
      <c r="M67" s="55"/>
      <c r="N67" s="55"/>
      <c r="O67" s="55"/>
      <c r="Q67" s="55"/>
      <c r="R67" s="55"/>
      <c r="S67" s="55"/>
    </row>
    <row r="68" spans="2:19" outlineLevel="1">
      <c r="B68" s="51" t="s">
        <v>142</v>
      </c>
      <c r="C68" s="52" t="s">
        <v>190</v>
      </c>
      <c r="D68" s="53" t="s">
        <v>675</v>
      </c>
      <c r="E68" s="48">
        <v>535.86857365048127</v>
      </c>
      <c r="F68" s="49">
        <v>584.86985027679998</v>
      </c>
      <c r="G68" s="50">
        <v>1120.7384239272812</v>
      </c>
      <c r="H68" s="58"/>
      <c r="I68" s="48">
        <v>775.11409573706965</v>
      </c>
      <c r="J68" s="49">
        <v>530.20102833411897</v>
      </c>
      <c r="K68" s="50">
        <v>1305.3151240711886</v>
      </c>
      <c r="M68" s="55"/>
      <c r="N68" s="55"/>
      <c r="O68" s="55"/>
      <c r="Q68" s="55"/>
      <c r="R68" s="55"/>
      <c r="S68" s="55"/>
    </row>
    <row r="69" spans="2:19" outlineLevel="1">
      <c r="B69" s="51" t="s">
        <v>142</v>
      </c>
      <c r="C69" s="52" t="s">
        <v>35</v>
      </c>
      <c r="D69" s="53" t="s">
        <v>249</v>
      </c>
      <c r="E69" s="48">
        <v>1647.5866348811542</v>
      </c>
      <c r="F69" s="49">
        <v>1389.8392857924916</v>
      </c>
      <c r="G69" s="50">
        <v>3037.425920673646</v>
      </c>
      <c r="H69" s="58"/>
      <c r="I69" s="48">
        <v>2957.8426930732467</v>
      </c>
      <c r="J69" s="49">
        <v>994.64937929432995</v>
      </c>
      <c r="K69" s="50">
        <v>3952.4920723675768</v>
      </c>
      <c r="M69" s="55"/>
      <c r="N69" s="55"/>
      <c r="O69" s="55"/>
      <c r="Q69" s="55"/>
      <c r="R69" s="55"/>
      <c r="S69" s="55"/>
    </row>
    <row r="70" spans="2:19" outlineLevel="1">
      <c r="B70" s="51" t="s">
        <v>142</v>
      </c>
      <c r="C70" s="52" t="s">
        <v>676</v>
      </c>
      <c r="D70" s="53" t="s">
        <v>677</v>
      </c>
      <c r="E70" s="48">
        <v>387.97637608661506</v>
      </c>
      <c r="F70" s="49">
        <v>142.77629522859999</v>
      </c>
      <c r="G70" s="50">
        <v>530.75267131521503</v>
      </c>
      <c r="H70" s="58"/>
      <c r="I70" s="48">
        <v>652.22586933930415</v>
      </c>
      <c r="J70" s="49">
        <v>83.87817598494</v>
      </c>
      <c r="K70" s="50">
        <v>736.10404532424411</v>
      </c>
      <c r="M70" s="55"/>
      <c r="N70" s="55"/>
      <c r="O70" s="55"/>
      <c r="Q70" s="55"/>
      <c r="R70" s="55"/>
      <c r="S70" s="55"/>
    </row>
    <row r="71" spans="2:19" outlineLevel="1">
      <c r="B71" s="51" t="s">
        <v>142</v>
      </c>
      <c r="C71" s="52" t="s">
        <v>191</v>
      </c>
      <c r="D71" s="53" t="s">
        <v>250</v>
      </c>
      <c r="E71" s="48">
        <v>2423.3392734926756</v>
      </c>
      <c r="F71" s="49">
        <v>189.13434676745555</v>
      </c>
      <c r="G71" s="50">
        <v>2612.4736202601312</v>
      </c>
      <c r="H71" s="58"/>
      <c r="I71" s="48">
        <v>3438.41253877073</v>
      </c>
      <c r="J71" s="49">
        <v>526.13610785080004</v>
      </c>
      <c r="K71" s="50">
        <v>3964.5486466215302</v>
      </c>
      <c r="M71" s="55"/>
      <c r="N71" s="55"/>
      <c r="O71" s="55"/>
      <c r="Q71" s="55"/>
      <c r="R71" s="55"/>
      <c r="S71" s="55"/>
    </row>
    <row r="72" spans="2:19" outlineLevel="1">
      <c r="B72" s="51" t="s">
        <v>142</v>
      </c>
      <c r="C72" s="52" t="s">
        <v>192</v>
      </c>
      <c r="D72" s="53" t="s">
        <v>678</v>
      </c>
      <c r="E72" s="48">
        <v>1378.9497282842369</v>
      </c>
      <c r="F72" s="49">
        <v>850.71976448079999</v>
      </c>
      <c r="G72" s="50">
        <v>2229.6694927650369</v>
      </c>
      <c r="H72" s="58"/>
      <c r="I72" s="48">
        <v>1701.0161942817365</v>
      </c>
      <c r="J72" s="49">
        <v>1065.00885702554</v>
      </c>
      <c r="K72" s="50">
        <v>2766.0250513072765</v>
      </c>
      <c r="M72" s="55"/>
      <c r="N72" s="55"/>
      <c r="O72" s="55"/>
      <c r="Q72" s="55"/>
      <c r="R72" s="55"/>
      <c r="S72" s="55"/>
    </row>
    <row r="73" spans="2:19" outlineLevel="1">
      <c r="B73" s="51" t="s">
        <v>142</v>
      </c>
      <c r="C73" s="52" t="s">
        <v>193</v>
      </c>
      <c r="D73" s="53" t="s">
        <v>251</v>
      </c>
      <c r="E73" s="48">
        <v>12591.92299828692</v>
      </c>
      <c r="F73" s="49">
        <v>1727.8736228752437</v>
      </c>
      <c r="G73" s="50">
        <v>14319.796621162164</v>
      </c>
      <c r="H73" s="58"/>
      <c r="I73" s="48">
        <v>9744.6090017202096</v>
      </c>
      <c r="J73" s="49">
        <v>7459.8790308377302</v>
      </c>
      <c r="K73" s="50">
        <v>17204.48803255794</v>
      </c>
      <c r="M73" s="55"/>
      <c r="N73" s="55"/>
      <c r="O73" s="55"/>
      <c r="Q73" s="55"/>
      <c r="R73" s="55"/>
      <c r="S73" s="55"/>
    </row>
    <row r="74" spans="2:19" outlineLevel="1">
      <c r="B74" s="51" t="s">
        <v>142</v>
      </c>
      <c r="C74" s="52" t="s">
        <v>679</v>
      </c>
      <c r="D74" s="53" t="s">
        <v>680</v>
      </c>
      <c r="E74" s="48">
        <v>855.38551186285713</v>
      </c>
      <c r="F74" s="49">
        <v>487.31556084604</v>
      </c>
      <c r="G74" s="50">
        <v>1342.7010727088971</v>
      </c>
      <c r="H74" s="58"/>
      <c r="I74" s="48">
        <v>1212.705759600803</v>
      </c>
      <c r="J74" s="49">
        <v>626.66612869404014</v>
      </c>
      <c r="K74" s="50">
        <v>1839.3718882948431</v>
      </c>
      <c r="M74" s="55"/>
      <c r="N74" s="55"/>
      <c r="O74" s="55"/>
      <c r="Q74" s="55"/>
      <c r="R74" s="55"/>
      <c r="S74" s="55"/>
    </row>
    <row r="75" spans="2:19" outlineLevel="1">
      <c r="B75" s="51" t="s">
        <v>142</v>
      </c>
      <c r="C75" s="52" t="s">
        <v>681</v>
      </c>
      <c r="D75" s="53" t="s">
        <v>682</v>
      </c>
      <c r="E75" s="48">
        <v>1812.91650368002</v>
      </c>
      <c r="F75" s="49">
        <v>2592.4585534613502</v>
      </c>
      <c r="G75" s="50">
        <v>4405.3750571413702</v>
      </c>
      <c r="H75" s="58"/>
      <c r="I75" s="48">
        <v>4939.6940887927358</v>
      </c>
      <c r="J75" s="49">
        <v>253.07698059357998</v>
      </c>
      <c r="K75" s="50">
        <v>5192.7710693863155</v>
      </c>
      <c r="M75" s="55"/>
      <c r="N75" s="55"/>
      <c r="O75" s="55"/>
      <c r="Q75" s="55"/>
      <c r="R75" s="55"/>
      <c r="S75" s="55"/>
    </row>
    <row r="76" spans="2:19" outlineLevel="1">
      <c r="B76" s="51" t="s">
        <v>142</v>
      </c>
      <c r="C76" s="52" t="s">
        <v>36</v>
      </c>
      <c r="D76" s="53" t="s">
        <v>252</v>
      </c>
      <c r="E76" s="48">
        <v>1815.5238904066593</v>
      </c>
      <c r="F76" s="49">
        <v>557.90293783205811</v>
      </c>
      <c r="G76" s="50">
        <v>2373.4268282387175</v>
      </c>
      <c r="H76" s="58"/>
      <c r="I76" s="48">
        <v>3529.142882973636</v>
      </c>
      <c r="J76" s="49">
        <v>10.575758186700002</v>
      </c>
      <c r="K76" s="50">
        <v>3539.7186411603361</v>
      </c>
      <c r="M76" s="55"/>
      <c r="N76" s="55"/>
      <c r="O76" s="55"/>
      <c r="Q76" s="55"/>
      <c r="R76" s="55"/>
      <c r="S76" s="55"/>
    </row>
    <row r="77" spans="2:19" outlineLevel="1">
      <c r="B77" s="51" t="s">
        <v>142</v>
      </c>
      <c r="C77" s="52" t="s">
        <v>683</v>
      </c>
      <c r="D77" s="53" t="s">
        <v>684</v>
      </c>
      <c r="E77" s="48">
        <v>0</v>
      </c>
      <c r="F77" s="49">
        <v>558.70980249421871</v>
      </c>
      <c r="G77" s="50">
        <v>558.70980249421871</v>
      </c>
      <c r="H77" s="58"/>
      <c r="I77" s="48">
        <v>1049.3374063382294</v>
      </c>
      <c r="J77" s="49">
        <v>10.19165337530001</v>
      </c>
      <c r="K77" s="50">
        <v>1059.5290597135295</v>
      </c>
      <c r="M77" s="55"/>
      <c r="N77" s="55"/>
      <c r="O77" s="55"/>
      <c r="Q77" s="55"/>
      <c r="R77" s="55"/>
      <c r="S77" s="55"/>
    </row>
    <row r="78" spans="2:19" outlineLevel="1">
      <c r="B78" s="51" t="s">
        <v>142</v>
      </c>
      <c r="C78" s="52" t="s">
        <v>194</v>
      </c>
      <c r="D78" s="53" t="s">
        <v>253</v>
      </c>
      <c r="E78" s="48">
        <v>4019.7913469456621</v>
      </c>
      <c r="F78" s="49">
        <v>1678.4053240584315</v>
      </c>
      <c r="G78" s="50">
        <v>5698.1966710040933</v>
      </c>
      <c r="H78" s="58"/>
      <c r="I78" s="48">
        <v>8881.7770242197566</v>
      </c>
      <c r="J78" s="49">
        <v>458.70508950635997</v>
      </c>
      <c r="K78" s="50">
        <v>9340.4821137261169</v>
      </c>
      <c r="M78" s="55"/>
      <c r="N78" s="55"/>
      <c r="O78" s="55"/>
      <c r="Q78" s="55"/>
      <c r="R78" s="55"/>
      <c r="S78" s="55"/>
    </row>
    <row r="79" spans="2:19" outlineLevel="1">
      <c r="B79" s="51" t="s">
        <v>142</v>
      </c>
      <c r="C79" s="52" t="s">
        <v>37</v>
      </c>
      <c r="D79" s="53" t="s">
        <v>254</v>
      </c>
      <c r="E79" s="48">
        <v>3554.1725279777665</v>
      </c>
      <c r="F79" s="49">
        <v>312.53287814921009</v>
      </c>
      <c r="G79" s="50">
        <v>3866.7054061269764</v>
      </c>
      <c r="H79" s="58"/>
      <c r="I79" s="48">
        <v>4398.3886264230086</v>
      </c>
      <c r="J79" s="49">
        <v>32.761748742729999</v>
      </c>
      <c r="K79" s="50">
        <v>4431.1503751657383</v>
      </c>
      <c r="M79" s="55"/>
      <c r="N79" s="55"/>
      <c r="O79" s="55"/>
      <c r="Q79" s="55"/>
      <c r="R79" s="55"/>
      <c r="S79" s="55"/>
    </row>
    <row r="80" spans="2:19" outlineLevel="1">
      <c r="B80" s="51" t="s">
        <v>142</v>
      </c>
      <c r="C80" s="52" t="s">
        <v>38</v>
      </c>
      <c r="D80" s="53" t="s">
        <v>255</v>
      </c>
      <c r="E80" s="48">
        <v>1085.1922089046941</v>
      </c>
      <c r="F80" s="49">
        <v>143.46613071868404</v>
      </c>
      <c r="G80" s="50">
        <v>1228.6583396233782</v>
      </c>
      <c r="H80" s="58"/>
      <c r="I80" s="48">
        <v>1999.6186725753482</v>
      </c>
      <c r="J80" s="49">
        <v>4.1787588682000001</v>
      </c>
      <c r="K80" s="50">
        <v>2003.7974314435482</v>
      </c>
      <c r="M80" s="55"/>
      <c r="N80" s="55"/>
      <c r="O80" s="55"/>
      <c r="Q80" s="55"/>
      <c r="R80" s="55"/>
      <c r="S80" s="55"/>
    </row>
    <row r="81" spans="2:19" outlineLevel="1">
      <c r="B81" s="51" t="s">
        <v>142</v>
      </c>
      <c r="C81" s="52" t="s">
        <v>39</v>
      </c>
      <c r="D81" s="53" t="s">
        <v>256</v>
      </c>
      <c r="E81" s="48">
        <v>2476.615400752617</v>
      </c>
      <c r="F81" s="49">
        <v>1109.4859618743508</v>
      </c>
      <c r="G81" s="50">
        <v>3586.1013626269678</v>
      </c>
      <c r="H81" s="58"/>
      <c r="I81" s="48">
        <v>4920.6146906940385</v>
      </c>
      <c r="J81" s="49">
        <v>685.68242547917021</v>
      </c>
      <c r="K81" s="50">
        <v>5606.2971161732085</v>
      </c>
      <c r="M81" s="55"/>
      <c r="N81" s="55"/>
      <c r="O81" s="55"/>
      <c r="Q81" s="55"/>
      <c r="R81" s="55"/>
      <c r="S81" s="55"/>
    </row>
    <row r="82" spans="2:19" outlineLevel="1">
      <c r="B82" s="51" t="s">
        <v>142</v>
      </c>
      <c r="C82" s="52" t="s">
        <v>685</v>
      </c>
      <c r="D82" s="53" t="s">
        <v>754</v>
      </c>
      <c r="E82" s="48">
        <v>66.082832161082635</v>
      </c>
      <c r="F82" s="49">
        <v>495.81162962499002</v>
      </c>
      <c r="G82" s="50">
        <v>561.89446178607261</v>
      </c>
      <c r="H82" s="58"/>
      <c r="I82" s="48">
        <v>519.67940220293497</v>
      </c>
      <c r="J82" s="49">
        <v>51.556595851430011</v>
      </c>
      <c r="K82" s="50">
        <v>571.23599805436493</v>
      </c>
      <c r="M82" s="55"/>
      <c r="N82" s="55"/>
      <c r="O82" s="55"/>
      <c r="Q82" s="55"/>
      <c r="R82" s="55"/>
      <c r="S82" s="55"/>
    </row>
    <row r="83" spans="2:19" outlineLevel="1">
      <c r="B83" s="51" t="s">
        <v>142</v>
      </c>
      <c r="C83" s="52" t="s">
        <v>40</v>
      </c>
      <c r="D83" s="53" t="s">
        <v>257</v>
      </c>
      <c r="E83" s="48">
        <v>10902.946074816435</v>
      </c>
      <c r="F83" s="49">
        <v>407.03850244383068</v>
      </c>
      <c r="G83" s="50">
        <v>11309.984577260266</v>
      </c>
      <c r="H83" s="58"/>
      <c r="I83" s="48">
        <v>11972.086795453037</v>
      </c>
      <c r="J83" s="49">
        <v>917.33073607271217</v>
      </c>
      <c r="K83" s="50">
        <v>12889.417531525749</v>
      </c>
      <c r="M83" s="55"/>
      <c r="N83" s="55"/>
      <c r="O83" s="55"/>
      <c r="Q83" s="55"/>
      <c r="R83" s="55"/>
      <c r="S83" s="55"/>
    </row>
    <row r="84" spans="2:19" outlineLevel="1">
      <c r="B84" s="51" t="s">
        <v>142</v>
      </c>
      <c r="C84" s="52" t="s">
        <v>195</v>
      </c>
      <c r="D84" s="53" t="s">
        <v>258</v>
      </c>
      <c r="E84" s="48">
        <v>2920.9291664309285</v>
      </c>
      <c r="F84" s="49">
        <v>514.81110941546171</v>
      </c>
      <c r="G84" s="50">
        <v>3435.7402758463904</v>
      </c>
      <c r="H84" s="58"/>
      <c r="I84" s="48">
        <v>3573.7248677100065</v>
      </c>
      <c r="J84" s="49">
        <v>669.02607720178332</v>
      </c>
      <c r="K84" s="50">
        <v>4242.7509449117897</v>
      </c>
      <c r="M84" s="55"/>
      <c r="N84" s="55"/>
      <c r="O84" s="55"/>
      <c r="Q84" s="55"/>
      <c r="R84" s="55"/>
      <c r="S84" s="55"/>
    </row>
    <row r="85" spans="2:19" outlineLevel="1">
      <c r="B85" s="51" t="s">
        <v>142</v>
      </c>
      <c r="C85" s="52" t="s">
        <v>41</v>
      </c>
      <c r="D85" s="53" t="s">
        <v>259</v>
      </c>
      <c r="E85" s="48">
        <v>11596.061795543999</v>
      </c>
      <c r="F85" s="49">
        <v>0</v>
      </c>
      <c r="G85" s="50">
        <v>11596.061795543999</v>
      </c>
      <c r="H85" s="58"/>
      <c r="I85" s="48">
        <v>11759.088624068723</v>
      </c>
      <c r="J85" s="49">
        <v>0</v>
      </c>
      <c r="K85" s="50">
        <v>11759.088624068723</v>
      </c>
      <c r="M85" s="55"/>
      <c r="N85" s="55"/>
      <c r="O85" s="55"/>
      <c r="Q85" s="55"/>
      <c r="R85" s="55"/>
      <c r="S85" s="55"/>
    </row>
    <row r="86" spans="2:19" outlineLevel="1">
      <c r="B86" s="51" t="s">
        <v>142</v>
      </c>
      <c r="C86" s="52" t="s">
        <v>196</v>
      </c>
      <c r="D86" s="53" t="s">
        <v>260</v>
      </c>
      <c r="E86" s="48">
        <v>12280.494592792595</v>
      </c>
      <c r="F86" s="49">
        <v>8.4397452704227121</v>
      </c>
      <c r="G86" s="50">
        <v>12288.934338063018</v>
      </c>
      <c r="H86" s="58"/>
      <c r="I86" s="48">
        <v>12121.484355668725</v>
      </c>
      <c r="J86" s="49">
        <v>4664.3387938815304</v>
      </c>
      <c r="K86" s="50">
        <v>16785.823149550255</v>
      </c>
      <c r="M86" s="55"/>
      <c r="N86" s="55"/>
      <c r="O86" s="55"/>
      <c r="Q86" s="55"/>
      <c r="R86" s="55"/>
      <c r="S86" s="55"/>
    </row>
    <row r="87" spans="2:19" outlineLevel="1">
      <c r="B87" s="51" t="s">
        <v>142</v>
      </c>
      <c r="C87" s="52" t="s">
        <v>686</v>
      </c>
      <c r="D87" s="53" t="s">
        <v>687</v>
      </c>
      <c r="E87" s="48">
        <v>1494.361887743001</v>
      </c>
      <c r="F87" s="49">
        <v>3.7794714369600002</v>
      </c>
      <c r="G87" s="50">
        <v>1498.141359179961</v>
      </c>
      <c r="H87" s="58"/>
      <c r="I87" s="48">
        <v>934.10345790909219</v>
      </c>
      <c r="J87" s="49">
        <v>587.07785240989006</v>
      </c>
      <c r="K87" s="50">
        <v>1521.1813103189822</v>
      </c>
      <c r="M87" s="55"/>
      <c r="N87" s="55"/>
      <c r="O87" s="55"/>
      <c r="Q87" s="55"/>
      <c r="R87" s="55"/>
      <c r="S87" s="55"/>
    </row>
    <row r="88" spans="2:19" outlineLevel="1">
      <c r="B88" s="51" t="s">
        <v>142</v>
      </c>
      <c r="C88" s="52" t="s">
        <v>42</v>
      </c>
      <c r="D88" s="53" t="s">
        <v>261</v>
      </c>
      <c r="E88" s="48">
        <v>2056.9972923677001</v>
      </c>
      <c r="F88" s="49">
        <v>1282.9470103102412</v>
      </c>
      <c r="G88" s="50">
        <v>3339.9443026779413</v>
      </c>
      <c r="H88" s="58"/>
      <c r="I88" s="48">
        <v>3914.1227700742202</v>
      </c>
      <c r="J88" s="49">
        <v>922.75716968346012</v>
      </c>
      <c r="K88" s="50">
        <v>4836.8799397576804</v>
      </c>
      <c r="M88" s="55"/>
      <c r="N88" s="55"/>
      <c r="O88" s="55"/>
      <c r="Q88" s="55"/>
      <c r="R88" s="55"/>
      <c r="S88" s="55"/>
    </row>
    <row r="89" spans="2:19" outlineLevel="1">
      <c r="B89" s="51" t="s">
        <v>142</v>
      </c>
      <c r="C89" s="52" t="s">
        <v>43</v>
      </c>
      <c r="D89" s="53" t="s">
        <v>262</v>
      </c>
      <c r="E89" s="48">
        <v>1163.3132093259583</v>
      </c>
      <c r="F89" s="49">
        <v>203.01565516271828</v>
      </c>
      <c r="G89" s="50">
        <v>1366.3288644886766</v>
      </c>
      <c r="H89" s="58"/>
      <c r="I89" s="48">
        <v>1712.3274557765285</v>
      </c>
      <c r="J89" s="49">
        <v>321.46366736272671</v>
      </c>
      <c r="K89" s="50">
        <v>2033.7911231392552</v>
      </c>
      <c r="M89" s="55"/>
      <c r="N89" s="55"/>
      <c r="O89" s="55"/>
      <c r="Q89" s="55"/>
      <c r="R89" s="55"/>
      <c r="S89" s="55"/>
    </row>
    <row r="90" spans="2:19" outlineLevel="1">
      <c r="B90" s="51" t="s">
        <v>142</v>
      </c>
      <c r="C90" s="52" t="s">
        <v>197</v>
      </c>
      <c r="D90" s="53" t="s">
        <v>263</v>
      </c>
      <c r="E90" s="48">
        <v>9823.2206034116953</v>
      </c>
      <c r="F90" s="49">
        <v>7727.2857200328435</v>
      </c>
      <c r="G90" s="50">
        <v>17550.506323444541</v>
      </c>
      <c r="H90" s="58"/>
      <c r="I90" s="48">
        <v>23311.419782224559</v>
      </c>
      <c r="J90" s="49">
        <v>2686.3327882922486</v>
      </c>
      <c r="K90" s="50">
        <v>25997.752570516808</v>
      </c>
      <c r="M90" s="55"/>
      <c r="N90" s="55"/>
      <c r="O90" s="55"/>
      <c r="Q90" s="55"/>
      <c r="R90" s="55"/>
      <c r="S90" s="55"/>
    </row>
    <row r="91" spans="2:19" outlineLevel="1">
      <c r="B91" s="51" t="s">
        <v>142</v>
      </c>
      <c r="C91" s="52" t="s">
        <v>44</v>
      </c>
      <c r="D91" s="53" t="s">
        <v>264</v>
      </c>
      <c r="E91" s="48">
        <v>12435.378452089817</v>
      </c>
      <c r="F91" s="49">
        <v>1145.8304830965001</v>
      </c>
      <c r="G91" s="50">
        <v>13581.208935186318</v>
      </c>
      <c r="H91" s="58"/>
      <c r="I91" s="48">
        <v>13572.237550016958</v>
      </c>
      <c r="J91" s="49">
        <v>1133.8928809735999</v>
      </c>
      <c r="K91" s="50">
        <v>14706.130430990559</v>
      </c>
      <c r="M91" s="55"/>
      <c r="N91" s="55"/>
      <c r="O91" s="55"/>
      <c r="Q91" s="55"/>
      <c r="R91" s="55"/>
      <c r="S91" s="55"/>
    </row>
    <row r="92" spans="2:19" outlineLevel="1">
      <c r="B92" s="51" t="s">
        <v>142</v>
      </c>
      <c r="C92" s="52" t="s">
        <v>45</v>
      </c>
      <c r="D92" s="53" t="s">
        <v>265</v>
      </c>
      <c r="E92" s="48">
        <v>1215.9141553322884</v>
      </c>
      <c r="F92" s="49">
        <v>201.46507560513857</v>
      </c>
      <c r="G92" s="50">
        <v>1417.3792309374269</v>
      </c>
      <c r="H92" s="58"/>
      <c r="I92" s="48">
        <v>1985.3370672800875</v>
      </c>
      <c r="J92" s="49">
        <v>425.87022160799995</v>
      </c>
      <c r="K92" s="50">
        <v>2411.2072888880875</v>
      </c>
      <c r="M92" s="55"/>
      <c r="N92" s="55"/>
      <c r="O92" s="55"/>
      <c r="Q92" s="55"/>
      <c r="R92" s="55"/>
      <c r="S92" s="55"/>
    </row>
    <row r="93" spans="2:19" outlineLevel="1">
      <c r="B93" s="51" t="s">
        <v>142</v>
      </c>
      <c r="C93" s="52" t="s">
        <v>46</v>
      </c>
      <c r="D93" s="53" t="s">
        <v>266</v>
      </c>
      <c r="E93" s="48">
        <v>35.10522907617964</v>
      </c>
      <c r="F93" s="49">
        <v>168.5910919499</v>
      </c>
      <c r="G93" s="50">
        <v>203.69632102607966</v>
      </c>
      <c r="H93" s="58"/>
      <c r="I93" s="48">
        <v>516.89396989742988</v>
      </c>
      <c r="J93" s="49">
        <v>5.3115932706000013</v>
      </c>
      <c r="K93" s="50">
        <v>522.20556316802993</v>
      </c>
      <c r="M93" s="55"/>
      <c r="N93" s="55"/>
      <c r="O93" s="55"/>
      <c r="Q93" s="55"/>
      <c r="R93" s="55"/>
      <c r="S93" s="55"/>
    </row>
    <row r="94" spans="2:19" outlineLevel="1">
      <c r="B94" s="51" t="s">
        <v>142</v>
      </c>
      <c r="C94" s="52" t="s">
        <v>47</v>
      </c>
      <c r="D94" s="53" t="s">
        <v>267</v>
      </c>
      <c r="E94" s="48">
        <v>2998.2345878029055</v>
      </c>
      <c r="F94" s="49">
        <v>596.45176982798159</v>
      </c>
      <c r="G94" s="50">
        <v>3594.686357630887</v>
      </c>
      <c r="H94" s="58"/>
      <c r="I94" s="48">
        <v>7198.5719288360906</v>
      </c>
      <c r="J94" s="49">
        <v>128.85875988470002</v>
      </c>
      <c r="K94" s="50">
        <v>7327.4306887207904</v>
      </c>
      <c r="M94" s="55"/>
      <c r="N94" s="55"/>
      <c r="O94" s="55"/>
      <c r="Q94" s="55"/>
      <c r="R94" s="55"/>
      <c r="S94" s="55"/>
    </row>
    <row r="95" spans="2:19" outlineLevel="1">
      <c r="B95" s="51" t="s">
        <v>142</v>
      </c>
      <c r="C95" s="52" t="s">
        <v>688</v>
      </c>
      <c r="D95" s="53" t="s">
        <v>689</v>
      </c>
      <c r="E95" s="48">
        <v>0</v>
      </c>
      <c r="F95" s="49">
        <v>507.14569121</v>
      </c>
      <c r="G95" s="50">
        <v>507.14569121</v>
      </c>
      <c r="H95" s="58"/>
      <c r="I95" s="48">
        <v>493.458940117</v>
      </c>
      <c r="J95" s="49">
        <v>13.686751093</v>
      </c>
      <c r="K95" s="50">
        <v>507.14569121</v>
      </c>
      <c r="M95" s="55"/>
      <c r="N95" s="55"/>
      <c r="O95" s="55"/>
      <c r="Q95" s="55"/>
      <c r="R95" s="55"/>
      <c r="S95" s="55"/>
    </row>
    <row r="96" spans="2:19" outlineLevel="1">
      <c r="B96" s="51" t="s">
        <v>142</v>
      </c>
      <c r="C96" s="52" t="s">
        <v>48</v>
      </c>
      <c r="D96" s="53" t="s">
        <v>268</v>
      </c>
      <c r="E96" s="48">
        <v>14274.659945380497</v>
      </c>
      <c r="F96" s="49">
        <v>1480.0047804673254</v>
      </c>
      <c r="G96" s="50">
        <v>15754.664725847822</v>
      </c>
      <c r="H96" s="58"/>
      <c r="I96" s="48">
        <v>24832.493998582955</v>
      </c>
      <c r="J96" s="49">
        <v>1461.8581873267599</v>
      </c>
      <c r="K96" s="50">
        <v>26294.352185909716</v>
      </c>
      <c r="M96" s="55"/>
      <c r="N96" s="55"/>
      <c r="O96" s="55"/>
      <c r="Q96" s="55"/>
      <c r="R96" s="55"/>
      <c r="S96" s="55"/>
    </row>
    <row r="97" spans="2:19" outlineLevel="1">
      <c r="B97" s="51" t="s">
        <v>142</v>
      </c>
      <c r="C97" s="52" t="s">
        <v>690</v>
      </c>
      <c r="D97" s="53" t="s">
        <v>691</v>
      </c>
      <c r="E97" s="48">
        <v>2524.8112965400132</v>
      </c>
      <c r="F97" s="49">
        <v>37.101363621157951</v>
      </c>
      <c r="G97" s="50">
        <v>2561.9126601611711</v>
      </c>
      <c r="H97" s="58"/>
      <c r="I97" s="48">
        <v>3488.3334680259318</v>
      </c>
      <c r="J97" s="49">
        <v>64.306803075049999</v>
      </c>
      <c r="K97" s="50">
        <v>3552.6402711009819</v>
      </c>
      <c r="M97" s="55"/>
      <c r="N97" s="55"/>
      <c r="O97" s="55"/>
      <c r="Q97" s="55"/>
      <c r="R97" s="55"/>
      <c r="S97" s="55"/>
    </row>
    <row r="98" spans="2:19" outlineLevel="1">
      <c r="B98" s="51" t="s">
        <v>142</v>
      </c>
      <c r="C98" s="52" t="s">
        <v>49</v>
      </c>
      <c r="D98" s="53" t="s">
        <v>269</v>
      </c>
      <c r="E98" s="48">
        <v>543.99873855699116</v>
      </c>
      <c r="F98" s="49">
        <v>286.04908418653929</v>
      </c>
      <c r="G98" s="50">
        <v>830.04782274353045</v>
      </c>
      <c r="H98" s="58"/>
      <c r="I98" s="48">
        <v>2042.9237410573705</v>
      </c>
      <c r="J98" s="49">
        <v>440.59270691430004</v>
      </c>
      <c r="K98" s="50">
        <v>2483.5164479716705</v>
      </c>
      <c r="M98" s="55"/>
      <c r="N98" s="55"/>
      <c r="O98" s="55"/>
      <c r="Q98" s="55"/>
      <c r="R98" s="55"/>
      <c r="S98" s="55"/>
    </row>
    <row r="99" spans="2:19" outlineLevel="1">
      <c r="B99" s="51" t="s">
        <v>142</v>
      </c>
      <c r="C99" s="52" t="s">
        <v>50</v>
      </c>
      <c r="D99" s="53" t="s">
        <v>270</v>
      </c>
      <c r="E99" s="48">
        <v>3526.8700455465137</v>
      </c>
      <c r="F99" s="49">
        <v>1184.3281170794603</v>
      </c>
      <c r="G99" s="50">
        <v>4711.198162625974</v>
      </c>
      <c r="H99" s="58"/>
      <c r="I99" s="48">
        <v>4100.8608362030373</v>
      </c>
      <c r="J99" s="49">
        <v>909.11260278236</v>
      </c>
      <c r="K99" s="50">
        <v>5009.9734389853975</v>
      </c>
      <c r="M99" s="55"/>
      <c r="N99" s="55"/>
      <c r="O99" s="55"/>
      <c r="Q99" s="55"/>
      <c r="R99" s="55"/>
      <c r="S99" s="55"/>
    </row>
    <row r="100" spans="2:19" outlineLevel="1">
      <c r="B100" s="51" t="s">
        <v>142</v>
      </c>
      <c r="C100" s="52" t="s">
        <v>52</v>
      </c>
      <c r="D100" s="53" t="s">
        <v>271</v>
      </c>
      <c r="E100" s="48">
        <v>4175.1492386314812</v>
      </c>
      <c r="F100" s="49">
        <v>1956.701180454299</v>
      </c>
      <c r="G100" s="50">
        <v>6131.8504190857802</v>
      </c>
      <c r="H100" s="58"/>
      <c r="I100" s="48">
        <v>7042.6895636663003</v>
      </c>
      <c r="J100" s="49">
        <v>1730.0226244999601</v>
      </c>
      <c r="K100" s="50">
        <v>8772.7121881662606</v>
      </c>
      <c r="M100" s="55"/>
      <c r="N100" s="55"/>
      <c r="O100" s="55"/>
      <c r="Q100" s="55"/>
      <c r="R100" s="55"/>
      <c r="S100" s="55"/>
    </row>
    <row r="101" spans="2:19" outlineLevel="1">
      <c r="B101" s="51" t="s">
        <v>142</v>
      </c>
      <c r="C101" s="52" t="s">
        <v>53</v>
      </c>
      <c r="D101" s="53" t="s">
        <v>272</v>
      </c>
      <c r="E101" s="48">
        <v>10237.110246923381</v>
      </c>
      <c r="F101" s="49">
        <v>4448.1894013880974</v>
      </c>
      <c r="G101" s="50">
        <v>14685.299648311478</v>
      </c>
      <c r="H101" s="58"/>
      <c r="I101" s="48">
        <v>17396.848961101212</v>
      </c>
      <c r="J101" s="49">
        <v>5316.655102671828</v>
      </c>
      <c r="K101" s="50">
        <v>22713.504063773038</v>
      </c>
      <c r="M101" s="55"/>
      <c r="N101" s="55"/>
      <c r="O101" s="55"/>
      <c r="Q101" s="55"/>
      <c r="R101" s="55"/>
      <c r="S101" s="55"/>
    </row>
    <row r="102" spans="2:19" outlineLevel="1">
      <c r="B102" s="51" t="s">
        <v>142</v>
      </c>
      <c r="C102" s="52" t="s">
        <v>198</v>
      </c>
      <c r="D102" s="53" t="s">
        <v>273</v>
      </c>
      <c r="E102" s="48">
        <v>781.977697639197</v>
      </c>
      <c r="F102" s="49">
        <v>161.02196830861999</v>
      </c>
      <c r="G102" s="50">
        <v>942.99966594781699</v>
      </c>
      <c r="H102" s="58"/>
      <c r="I102" s="48">
        <v>1022.131287581612</v>
      </c>
      <c r="J102" s="49">
        <v>29.3870945418</v>
      </c>
      <c r="K102" s="50">
        <v>1051.518382123412</v>
      </c>
      <c r="M102" s="55"/>
      <c r="N102" s="55"/>
      <c r="O102" s="55"/>
      <c r="Q102" s="55"/>
      <c r="R102" s="55"/>
      <c r="S102" s="55"/>
    </row>
    <row r="103" spans="2:19" outlineLevel="1">
      <c r="B103" s="51" t="s">
        <v>142</v>
      </c>
      <c r="C103" s="52" t="s">
        <v>54</v>
      </c>
      <c r="D103" s="53" t="s">
        <v>274</v>
      </c>
      <c r="E103" s="48">
        <v>726.44264743419694</v>
      </c>
      <c r="F103" s="49">
        <v>519.92519746720995</v>
      </c>
      <c r="G103" s="50">
        <v>1246.3678449014069</v>
      </c>
      <c r="H103" s="58"/>
      <c r="I103" s="48">
        <v>1790.7982441886802</v>
      </c>
      <c r="J103" s="49">
        <v>83.966404641750017</v>
      </c>
      <c r="K103" s="50">
        <v>1874.7646488304301</v>
      </c>
      <c r="M103" s="55"/>
      <c r="N103" s="55"/>
      <c r="O103" s="55"/>
      <c r="Q103" s="55"/>
      <c r="R103" s="55"/>
      <c r="S103" s="55"/>
    </row>
    <row r="104" spans="2:19" outlineLevel="1">
      <c r="B104" s="51" t="s">
        <v>142</v>
      </c>
      <c r="C104" s="52" t="s">
        <v>55</v>
      </c>
      <c r="D104" s="53" t="s">
        <v>275</v>
      </c>
      <c r="E104" s="48">
        <v>1767.3027462807213</v>
      </c>
      <c r="F104" s="49">
        <v>2240.9330432907018</v>
      </c>
      <c r="G104" s="50">
        <v>4008.2357895714231</v>
      </c>
      <c r="H104" s="58"/>
      <c r="I104" s="48">
        <v>6768.0917172576774</v>
      </c>
      <c r="J104" s="49">
        <v>429.7437440192499</v>
      </c>
      <c r="K104" s="50">
        <v>7197.8354612769272</v>
      </c>
      <c r="M104" s="55"/>
      <c r="N104" s="55"/>
      <c r="O104" s="55"/>
      <c r="Q104" s="55"/>
      <c r="R104" s="55"/>
      <c r="S104" s="55"/>
    </row>
    <row r="105" spans="2:19" outlineLevel="1">
      <c r="B105" s="51" t="s">
        <v>142</v>
      </c>
      <c r="C105" s="52" t="s">
        <v>56</v>
      </c>
      <c r="D105" s="53" t="s">
        <v>276</v>
      </c>
      <c r="E105" s="48">
        <v>3593.4911919629212</v>
      </c>
      <c r="F105" s="49">
        <v>375.29011511158001</v>
      </c>
      <c r="G105" s="50">
        <v>3968.7813070745015</v>
      </c>
      <c r="H105" s="58"/>
      <c r="I105" s="48">
        <v>4124.9788361731507</v>
      </c>
      <c r="J105" s="49">
        <v>197.50758317174001</v>
      </c>
      <c r="K105" s="50">
        <v>4322.4864193448911</v>
      </c>
      <c r="M105" s="55"/>
      <c r="N105" s="55"/>
      <c r="O105" s="55"/>
      <c r="Q105" s="55"/>
      <c r="R105" s="55"/>
      <c r="S105" s="55"/>
    </row>
    <row r="106" spans="2:19" outlineLevel="1">
      <c r="B106" s="51" t="s">
        <v>142</v>
      </c>
      <c r="C106" s="52" t="s">
        <v>57</v>
      </c>
      <c r="D106" s="53" t="s">
        <v>277</v>
      </c>
      <c r="E106" s="48">
        <v>2481.1362707976805</v>
      </c>
      <c r="F106" s="49">
        <v>657.65305837381993</v>
      </c>
      <c r="G106" s="50">
        <v>3138.7893291715004</v>
      </c>
      <c r="H106" s="58"/>
      <c r="I106" s="48">
        <v>2993.9315959689811</v>
      </c>
      <c r="J106" s="49">
        <v>646.81411973726006</v>
      </c>
      <c r="K106" s="50">
        <v>3640.7457157062413</v>
      </c>
      <c r="M106" s="55"/>
      <c r="N106" s="55"/>
      <c r="O106" s="55"/>
      <c r="Q106" s="55"/>
      <c r="R106" s="55"/>
      <c r="S106" s="55"/>
    </row>
    <row r="107" spans="2:19" outlineLevel="1">
      <c r="B107" s="51" t="s">
        <v>142</v>
      </c>
      <c r="C107" s="52" t="s">
        <v>58</v>
      </c>
      <c r="D107" s="53" t="s">
        <v>278</v>
      </c>
      <c r="E107" s="48">
        <v>4968.6599351552532</v>
      </c>
      <c r="F107" s="49">
        <v>6664.80859352075</v>
      </c>
      <c r="G107" s="50">
        <v>11633.468528676003</v>
      </c>
      <c r="H107" s="58"/>
      <c r="I107" s="48">
        <v>13941.697205671304</v>
      </c>
      <c r="J107" s="49">
        <v>1946.3311218634099</v>
      </c>
      <c r="K107" s="50">
        <v>15888.028327534714</v>
      </c>
      <c r="M107" s="55"/>
      <c r="N107" s="55"/>
      <c r="O107" s="55"/>
      <c r="Q107" s="55"/>
      <c r="R107" s="55"/>
      <c r="S107" s="55"/>
    </row>
    <row r="108" spans="2:19" outlineLevel="1">
      <c r="B108" s="51" t="s">
        <v>142</v>
      </c>
      <c r="C108" s="52" t="s">
        <v>199</v>
      </c>
      <c r="D108" s="53" t="s">
        <v>279</v>
      </c>
      <c r="E108" s="48">
        <v>5002.8234610777208</v>
      </c>
      <c r="F108" s="49">
        <v>660.50162395540019</v>
      </c>
      <c r="G108" s="50">
        <v>5663.3250850331206</v>
      </c>
      <c r="H108" s="58"/>
      <c r="I108" s="48">
        <v>4403.3323828884968</v>
      </c>
      <c r="J108" s="49">
        <v>1499.1018181885599</v>
      </c>
      <c r="K108" s="50">
        <v>5902.434201077057</v>
      </c>
      <c r="M108" s="55"/>
      <c r="N108" s="55"/>
      <c r="O108" s="55"/>
      <c r="Q108" s="55"/>
      <c r="R108" s="55"/>
      <c r="S108" s="55"/>
    </row>
    <row r="109" spans="2:19" outlineLevel="1">
      <c r="B109" s="51" t="s">
        <v>142</v>
      </c>
      <c r="C109" s="52" t="s">
        <v>59</v>
      </c>
      <c r="D109" s="53" t="s">
        <v>280</v>
      </c>
      <c r="E109" s="48">
        <v>2701.355029588909</v>
      </c>
      <c r="F109" s="49">
        <v>171.32584900924002</v>
      </c>
      <c r="G109" s="50">
        <v>2872.6808785981489</v>
      </c>
      <c r="H109" s="58"/>
      <c r="I109" s="48">
        <v>3433.1387526193203</v>
      </c>
      <c r="J109" s="49">
        <v>138.15289577364999</v>
      </c>
      <c r="K109" s="50">
        <v>3571.2916483929703</v>
      </c>
      <c r="M109" s="55"/>
      <c r="N109" s="55"/>
      <c r="O109" s="55"/>
      <c r="Q109" s="55"/>
      <c r="R109" s="55"/>
      <c r="S109" s="55"/>
    </row>
    <row r="110" spans="2:19" outlineLevel="1">
      <c r="B110" s="51" t="s">
        <v>142</v>
      </c>
      <c r="C110" s="52" t="s">
        <v>692</v>
      </c>
      <c r="D110" s="53" t="s">
        <v>693</v>
      </c>
      <c r="E110" s="48">
        <v>0</v>
      </c>
      <c r="F110" s="49">
        <v>15542.882651901895</v>
      </c>
      <c r="G110" s="50">
        <v>15542.882651901895</v>
      </c>
      <c r="H110" s="58"/>
      <c r="I110" s="48">
        <v>25554.483464758188</v>
      </c>
      <c r="J110" s="49">
        <v>10.652076957740007</v>
      </c>
      <c r="K110" s="50">
        <v>25565.135541715928</v>
      </c>
      <c r="M110" s="55"/>
      <c r="N110" s="55"/>
      <c r="O110" s="55"/>
      <c r="Q110" s="55"/>
      <c r="R110" s="55"/>
      <c r="S110" s="55"/>
    </row>
    <row r="111" spans="2:19" outlineLevel="1">
      <c r="B111" s="51" t="s">
        <v>142</v>
      </c>
      <c r="C111" s="52" t="s">
        <v>694</v>
      </c>
      <c r="D111" s="53" t="s">
        <v>695</v>
      </c>
      <c r="E111" s="48">
        <v>187.20531407241995</v>
      </c>
      <c r="F111" s="49">
        <v>13973.152139132239</v>
      </c>
      <c r="G111" s="50">
        <v>14160.357453204659</v>
      </c>
      <c r="H111" s="58"/>
      <c r="I111" s="48">
        <v>19176.063187134452</v>
      </c>
      <c r="J111" s="49">
        <v>1170.6813253910193</v>
      </c>
      <c r="K111" s="50">
        <v>20346.744512525471</v>
      </c>
      <c r="M111" s="55"/>
      <c r="N111" s="55"/>
      <c r="O111" s="55"/>
      <c r="Q111" s="55"/>
      <c r="R111" s="55"/>
      <c r="S111" s="55"/>
    </row>
    <row r="112" spans="2:19" outlineLevel="1">
      <c r="B112" s="51" t="s">
        <v>142</v>
      </c>
      <c r="C112" s="52" t="s">
        <v>696</v>
      </c>
      <c r="D112" s="53" t="s">
        <v>697</v>
      </c>
      <c r="E112" s="48">
        <v>0</v>
      </c>
      <c r="F112" s="49">
        <v>1152.9975557588</v>
      </c>
      <c r="G112" s="50">
        <v>1152.9975557588</v>
      </c>
      <c r="H112" s="58"/>
      <c r="I112" s="48">
        <v>1073.1779870320408</v>
      </c>
      <c r="J112" s="49">
        <v>191.41356892759111</v>
      </c>
      <c r="K112" s="50">
        <v>1264.5915559596319</v>
      </c>
      <c r="M112" s="55"/>
      <c r="N112" s="55"/>
      <c r="O112" s="55"/>
      <c r="Q112" s="55"/>
      <c r="R112" s="55"/>
      <c r="S112" s="55"/>
    </row>
    <row r="113" spans="2:19" outlineLevel="1">
      <c r="B113" s="51" t="s">
        <v>142</v>
      </c>
      <c r="C113" s="52" t="s">
        <v>698</v>
      </c>
      <c r="D113" s="53" t="s">
        <v>699</v>
      </c>
      <c r="E113" s="48">
        <v>0</v>
      </c>
      <c r="F113" s="49">
        <v>1710.0981744264102</v>
      </c>
      <c r="G113" s="50">
        <v>1710.0981744264102</v>
      </c>
      <c r="H113" s="58"/>
      <c r="I113" s="48">
        <v>2223.8705324123434</v>
      </c>
      <c r="J113" s="49">
        <v>27.12081897753</v>
      </c>
      <c r="K113" s="50">
        <v>2250.9913513898732</v>
      </c>
      <c r="M113" s="55"/>
      <c r="N113" s="55"/>
      <c r="O113" s="55"/>
      <c r="Q113" s="55"/>
      <c r="R113" s="55"/>
      <c r="S113" s="55"/>
    </row>
    <row r="114" spans="2:19" outlineLevel="1">
      <c r="B114" s="51" t="s">
        <v>142</v>
      </c>
      <c r="C114" s="52" t="s">
        <v>700</v>
      </c>
      <c r="D114" s="53" t="s">
        <v>701</v>
      </c>
      <c r="E114" s="48">
        <v>0</v>
      </c>
      <c r="F114" s="49">
        <v>2670.2374986411</v>
      </c>
      <c r="G114" s="50">
        <v>2670.2374986411</v>
      </c>
      <c r="H114" s="58"/>
      <c r="I114" s="48">
        <v>7996.4097757951586</v>
      </c>
      <c r="J114" s="49">
        <v>3.2154685039927244E-2</v>
      </c>
      <c r="K114" s="50">
        <v>7996.4419304801986</v>
      </c>
      <c r="M114" s="55"/>
      <c r="N114" s="55"/>
      <c r="O114" s="55"/>
      <c r="Q114" s="55"/>
      <c r="R114" s="55"/>
      <c r="S114" s="55"/>
    </row>
    <row r="115" spans="2:19" outlineLevel="1">
      <c r="B115" s="51" t="s">
        <v>142</v>
      </c>
      <c r="C115" s="52" t="s">
        <v>60</v>
      </c>
      <c r="D115" s="53" t="s">
        <v>281</v>
      </c>
      <c r="E115" s="48">
        <v>624.27086089414809</v>
      </c>
      <c r="F115" s="49">
        <v>2254.0825704959707</v>
      </c>
      <c r="G115" s="50">
        <v>2878.3534313901187</v>
      </c>
      <c r="H115" s="58"/>
      <c r="I115" s="48">
        <v>1257.4162111897294</v>
      </c>
      <c r="J115" s="49">
        <v>1939.8353819814956</v>
      </c>
      <c r="K115" s="50">
        <v>3197.2515931712251</v>
      </c>
      <c r="M115" s="55"/>
      <c r="N115" s="55"/>
      <c r="O115" s="55"/>
      <c r="Q115" s="55"/>
      <c r="R115" s="55"/>
      <c r="S115" s="55"/>
    </row>
    <row r="116" spans="2:19" outlineLevel="1">
      <c r="B116" s="51" t="s">
        <v>142</v>
      </c>
      <c r="C116" s="52" t="s">
        <v>61</v>
      </c>
      <c r="D116" s="53" t="s">
        <v>282</v>
      </c>
      <c r="E116" s="48">
        <v>1501.4985589266121</v>
      </c>
      <c r="F116" s="49">
        <v>281.72191917938</v>
      </c>
      <c r="G116" s="50">
        <v>1783.220478105992</v>
      </c>
      <c r="H116" s="58"/>
      <c r="I116" s="48">
        <v>876.9828841248343</v>
      </c>
      <c r="J116" s="49">
        <v>1040.69955669666</v>
      </c>
      <c r="K116" s="50">
        <v>1917.6824408214943</v>
      </c>
      <c r="M116" s="55"/>
      <c r="N116" s="55"/>
      <c r="O116" s="55"/>
      <c r="Q116" s="55"/>
      <c r="R116" s="55"/>
      <c r="S116" s="55"/>
    </row>
    <row r="117" spans="2:19" outlineLevel="1">
      <c r="B117" s="51" t="s">
        <v>142</v>
      </c>
      <c r="C117" s="52" t="s">
        <v>15</v>
      </c>
      <c r="D117" s="53" t="s">
        <v>283</v>
      </c>
      <c r="E117" s="48">
        <v>8239.2911318308743</v>
      </c>
      <c r="F117" s="49">
        <v>4269.773139511698</v>
      </c>
      <c r="G117" s="50">
        <v>12509.064271342573</v>
      </c>
      <c r="H117" s="58"/>
      <c r="I117" s="48">
        <v>12493.309963665168</v>
      </c>
      <c r="J117" s="49">
        <v>2036.8486440029994</v>
      </c>
      <c r="K117" s="50">
        <v>14530.158607668167</v>
      </c>
      <c r="M117" s="55"/>
      <c r="N117" s="55"/>
      <c r="O117" s="55"/>
      <c r="Q117" s="55"/>
      <c r="R117" s="55"/>
      <c r="S117" s="55"/>
    </row>
    <row r="118" spans="2:19" outlineLevel="1">
      <c r="B118" s="51" t="s">
        <v>142</v>
      </c>
      <c r="C118" s="52" t="s">
        <v>702</v>
      </c>
      <c r="D118" s="53" t="s">
        <v>703</v>
      </c>
      <c r="E118" s="48">
        <v>136.02332890752581</v>
      </c>
      <c r="F118" s="49">
        <v>5611.9278551534899</v>
      </c>
      <c r="G118" s="50">
        <v>5747.9511840610157</v>
      </c>
      <c r="H118" s="58"/>
      <c r="I118" s="48">
        <v>5515.9851732224688</v>
      </c>
      <c r="J118" s="49">
        <v>312.39340875552995</v>
      </c>
      <c r="K118" s="50">
        <v>5828.3785819779987</v>
      </c>
      <c r="M118" s="55"/>
      <c r="N118" s="55"/>
      <c r="O118" s="55"/>
      <c r="Q118" s="55"/>
      <c r="R118" s="55"/>
      <c r="S118" s="55"/>
    </row>
    <row r="119" spans="2:19" outlineLevel="1">
      <c r="B119" s="51" t="s">
        <v>142</v>
      </c>
      <c r="C119" s="52" t="s">
        <v>62</v>
      </c>
      <c r="D119" s="53" t="s">
        <v>755</v>
      </c>
      <c r="E119" s="48">
        <v>1591.5774380767702</v>
      </c>
      <c r="F119" s="49">
        <v>1510.114069754</v>
      </c>
      <c r="G119" s="50">
        <v>3101.6915078307702</v>
      </c>
      <c r="H119" s="58"/>
      <c r="I119" s="48">
        <v>3204.7033737102238</v>
      </c>
      <c r="J119" s="49">
        <v>668.94485171927988</v>
      </c>
      <c r="K119" s="50">
        <v>3873.6482254295038</v>
      </c>
      <c r="M119" s="55"/>
      <c r="N119" s="55"/>
      <c r="O119" s="55"/>
      <c r="Q119" s="55"/>
      <c r="R119" s="55"/>
      <c r="S119" s="55"/>
    </row>
    <row r="120" spans="2:19" outlineLevel="1">
      <c r="B120" s="51" t="s">
        <v>142</v>
      </c>
      <c r="C120" s="52" t="s">
        <v>63</v>
      </c>
      <c r="D120" s="53" t="s">
        <v>285</v>
      </c>
      <c r="E120" s="48">
        <v>7864.5592922668766</v>
      </c>
      <c r="F120" s="49">
        <v>4251.5695255698865</v>
      </c>
      <c r="G120" s="50">
        <v>12116.128817836763</v>
      </c>
      <c r="H120" s="58"/>
      <c r="I120" s="48">
        <v>17850.889902462925</v>
      </c>
      <c r="J120" s="49">
        <v>3527.92161196295</v>
      </c>
      <c r="K120" s="50">
        <v>21378.811514425874</v>
      </c>
      <c r="M120" s="55"/>
      <c r="N120" s="55"/>
      <c r="O120" s="55"/>
      <c r="Q120" s="55"/>
      <c r="R120" s="55"/>
      <c r="S120" s="55"/>
    </row>
    <row r="121" spans="2:19" outlineLevel="1">
      <c r="B121" s="51" t="s">
        <v>142</v>
      </c>
      <c r="C121" s="52" t="s">
        <v>74</v>
      </c>
      <c r="D121" s="53" t="s">
        <v>286</v>
      </c>
      <c r="E121" s="48">
        <v>1335.9360254805113</v>
      </c>
      <c r="F121" s="49">
        <v>4859.7986788315511</v>
      </c>
      <c r="G121" s="50">
        <v>6195.7347043120626</v>
      </c>
      <c r="H121" s="58"/>
      <c r="I121" s="48">
        <v>6379.9831775437679</v>
      </c>
      <c r="J121" s="49">
        <v>950.9162514994099</v>
      </c>
      <c r="K121" s="50">
        <v>7330.8994290431774</v>
      </c>
      <c r="M121" s="55"/>
      <c r="N121" s="55"/>
      <c r="O121" s="55"/>
      <c r="Q121" s="55"/>
      <c r="R121" s="55"/>
      <c r="S121" s="55"/>
    </row>
    <row r="122" spans="2:19" outlineLevel="1">
      <c r="B122" s="51" t="s">
        <v>142</v>
      </c>
      <c r="C122" s="52" t="s">
        <v>64</v>
      </c>
      <c r="D122" s="53" t="s">
        <v>287</v>
      </c>
      <c r="E122" s="48">
        <v>1008.1309771545087</v>
      </c>
      <c r="F122" s="49">
        <v>4046.4744538595196</v>
      </c>
      <c r="G122" s="50">
        <v>5054.605431014028</v>
      </c>
      <c r="H122" s="58"/>
      <c r="I122" s="48">
        <v>5228.1564305752172</v>
      </c>
      <c r="J122" s="49">
        <v>707.96434248590015</v>
      </c>
      <c r="K122" s="50">
        <v>5936.1207730611177</v>
      </c>
      <c r="M122" s="55"/>
      <c r="N122" s="55"/>
      <c r="O122" s="55"/>
      <c r="Q122" s="55"/>
      <c r="R122" s="55"/>
      <c r="S122" s="55"/>
    </row>
    <row r="123" spans="2:19" outlineLevel="1">
      <c r="B123" s="51" t="s">
        <v>142</v>
      </c>
      <c r="C123" s="52" t="s">
        <v>65</v>
      </c>
      <c r="D123" s="53" t="s">
        <v>756</v>
      </c>
      <c r="E123" s="48">
        <v>5594.5337987754001</v>
      </c>
      <c r="F123" s="49">
        <v>8497.6126885220128</v>
      </c>
      <c r="G123" s="50">
        <v>14092.146487297414</v>
      </c>
      <c r="H123" s="58"/>
      <c r="I123" s="48">
        <v>20002.715779888902</v>
      </c>
      <c r="J123" s="49">
        <v>2213.2133696844303</v>
      </c>
      <c r="K123" s="50">
        <v>22215.929149573331</v>
      </c>
      <c r="M123" s="55"/>
      <c r="N123" s="55"/>
      <c r="O123" s="55"/>
      <c r="Q123" s="55"/>
      <c r="R123" s="55"/>
      <c r="S123" s="55"/>
    </row>
    <row r="124" spans="2:19" outlineLevel="1">
      <c r="B124" s="51" t="s">
        <v>142</v>
      </c>
      <c r="C124" s="52" t="s">
        <v>66</v>
      </c>
      <c r="D124" s="53" t="s">
        <v>289</v>
      </c>
      <c r="E124" s="48">
        <v>1190.1347948719049</v>
      </c>
      <c r="F124" s="49">
        <v>2262.7361595891057</v>
      </c>
      <c r="G124" s="50">
        <v>3452.8709544610106</v>
      </c>
      <c r="H124" s="58"/>
      <c r="I124" s="48">
        <v>4562.1418656444102</v>
      </c>
      <c r="J124" s="49">
        <v>298.48327852238009</v>
      </c>
      <c r="K124" s="50">
        <v>4860.6251441667901</v>
      </c>
      <c r="M124" s="55"/>
      <c r="N124" s="55"/>
      <c r="O124" s="55"/>
      <c r="Q124" s="55"/>
      <c r="R124" s="55"/>
      <c r="S124" s="55"/>
    </row>
    <row r="125" spans="2:19" outlineLevel="1">
      <c r="B125" s="51" t="s">
        <v>142</v>
      </c>
      <c r="C125" s="52" t="s">
        <v>67</v>
      </c>
      <c r="D125" s="53" t="s">
        <v>290</v>
      </c>
      <c r="E125" s="48">
        <v>13331.796166895414</v>
      </c>
      <c r="F125" s="49">
        <v>6104.7908425402984</v>
      </c>
      <c r="G125" s="50">
        <v>19436.587009435712</v>
      </c>
      <c r="H125" s="58"/>
      <c r="I125" s="48">
        <v>20622.923953178244</v>
      </c>
      <c r="J125" s="49">
        <v>4097.7131827569492</v>
      </c>
      <c r="K125" s="50">
        <v>24720.637135935194</v>
      </c>
      <c r="M125" s="55"/>
      <c r="N125" s="55"/>
      <c r="O125" s="55"/>
      <c r="Q125" s="55"/>
      <c r="R125" s="55"/>
      <c r="S125" s="55"/>
    </row>
    <row r="126" spans="2:19" outlineLevel="1">
      <c r="B126" s="51" t="s">
        <v>142</v>
      </c>
      <c r="C126" s="52" t="s">
        <v>68</v>
      </c>
      <c r="D126" s="53" t="s">
        <v>291</v>
      </c>
      <c r="E126" s="48">
        <v>1214.2008856953751</v>
      </c>
      <c r="F126" s="49">
        <v>989.48728441958997</v>
      </c>
      <c r="G126" s="50">
        <v>2203.688170114965</v>
      </c>
      <c r="H126" s="58"/>
      <c r="I126" s="48">
        <v>1941.1647856427571</v>
      </c>
      <c r="J126" s="49">
        <v>621.83554817018012</v>
      </c>
      <c r="K126" s="50">
        <v>2563.0003338129372</v>
      </c>
      <c r="M126" s="55"/>
      <c r="N126" s="55"/>
      <c r="O126" s="55"/>
      <c r="Q126" s="55"/>
      <c r="R126" s="55"/>
      <c r="S126" s="55"/>
    </row>
    <row r="127" spans="2:19" outlineLevel="1">
      <c r="B127" s="51" t="s">
        <v>142</v>
      </c>
      <c r="C127" s="52" t="s">
        <v>70</v>
      </c>
      <c r="D127" s="53" t="s">
        <v>292</v>
      </c>
      <c r="E127" s="48">
        <v>534.04616467715027</v>
      </c>
      <c r="F127" s="49">
        <v>303.21370867223993</v>
      </c>
      <c r="G127" s="50">
        <v>837.2598733493902</v>
      </c>
      <c r="H127" s="58"/>
      <c r="I127" s="48">
        <v>1109.8161626236322</v>
      </c>
      <c r="J127" s="49">
        <v>87.183714483049982</v>
      </c>
      <c r="K127" s="50">
        <v>1196.9998771066821</v>
      </c>
      <c r="M127" s="55"/>
      <c r="N127" s="55"/>
      <c r="O127" s="55"/>
      <c r="Q127" s="55"/>
      <c r="R127" s="55"/>
      <c r="S127" s="55"/>
    </row>
    <row r="128" spans="2:19" outlineLevel="1">
      <c r="B128" s="51" t="s">
        <v>142</v>
      </c>
      <c r="C128" s="52" t="s">
        <v>69</v>
      </c>
      <c r="D128" s="53" t="s">
        <v>293</v>
      </c>
      <c r="E128" s="48">
        <v>1832.2457081561492</v>
      </c>
      <c r="F128" s="49">
        <v>937.19057518119018</v>
      </c>
      <c r="G128" s="50">
        <v>2769.4362833373393</v>
      </c>
      <c r="H128" s="58"/>
      <c r="I128" s="48">
        <v>2612.2760319007962</v>
      </c>
      <c r="J128" s="49">
        <v>653.86609607266985</v>
      </c>
      <c r="K128" s="50">
        <v>3266.1421279734659</v>
      </c>
      <c r="M128" s="55"/>
      <c r="N128" s="55"/>
      <c r="O128" s="55"/>
      <c r="Q128" s="55"/>
      <c r="R128" s="55"/>
      <c r="S128" s="55"/>
    </row>
    <row r="129" spans="2:19" outlineLevel="1">
      <c r="B129" s="51" t="s">
        <v>142</v>
      </c>
      <c r="C129" s="52" t="s">
        <v>71</v>
      </c>
      <c r="D129" s="53" t="s">
        <v>294</v>
      </c>
      <c r="E129" s="48">
        <v>9134.2325635509114</v>
      </c>
      <c r="F129" s="49">
        <v>894.79143267058055</v>
      </c>
      <c r="G129" s="50">
        <v>10029.023996221493</v>
      </c>
      <c r="H129" s="58"/>
      <c r="I129" s="48">
        <v>10947.521313392872</v>
      </c>
      <c r="J129" s="49">
        <v>291.01612483884003</v>
      </c>
      <c r="K129" s="50">
        <v>11238.537438231711</v>
      </c>
      <c r="M129" s="55"/>
      <c r="N129" s="55"/>
      <c r="O129" s="55"/>
      <c r="Q129" s="55"/>
      <c r="R129" s="55"/>
      <c r="S129" s="55"/>
    </row>
    <row r="130" spans="2:19" outlineLevel="1">
      <c r="B130" s="51" t="s">
        <v>142</v>
      </c>
      <c r="C130" s="52" t="s">
        <v>72</v>
      </c>
      <c r="D130" s="53" t="s">
        <v>295</v>
      </c>
      <c r="E130" s="48">
        <v>4459.7692445965868</v>
      </c>
      <c r="F130" s="49">
        <v>224.98851141687001</v>
      </c>
      <c r="G130" s="50">
        <v>4684.7577560134569</v>
      </c>
      <c r="H130" s="58"/>
      <c r="I130" s="48">
        <v>5687.9854577464712</v>
      </c>
      <c r="J130" s="49">
        <v>50.197632628569998</v>
      </c>
      <c r="K130" s="50">
        <v>5738.1830903750415</v>
      </c>
      <c r="M130" s="55"/>
      <c r="N130" s="55"/>
      <c r="O130" s="55"/>
      <c r="Q130" s="55"/>
      <c r="R130" s="55"/>
      <c r="S130" s="55"/>
    </row>
    <row r="131" spans="2:19" outlineLevel="1">
      <c r="B131" s="51" t="s">
        <v>142</v>
      </c>
      <c r="C131" s="52" t="s">
        <v>73</v>
      </c>
      <c r="D131" s="53" t="s">
        <v>296</v>
      </c>
      <c r="E131" s="48">
        <v>97.136240132733661</v>
      </c>
      <c r="F131" s="49">
        <v>58.64642737306</v>
      </c>
      <c r="G131" s="50">
        <v>155.78266750579365</v>
      </c>
      <c r="H131" s="58"/>
      <c r="I131" s="48">
        <v>174.13978616020472</v>
      </c>
      <c r="J131" s="49">
        <v>17.050139924360003</v>
      </c>
      <c r="K131" s="50">
        <v>191.18992608456472</v>
      </c>
      <c r="M131" s="55"/>
      <c r="N131" s="55"/>
      <c r="O131" s="55"/>
      <c r="Q131" s="55"/>
      <c r="R131" s="55"/>
      <c r="S131" s="55"/>
    </row>
    <row r="132" spans="2:19" outlineLevel="1">
      <c r="B132" s="51" t="s">
        <v>142</v>
      </c>
      <c r="C132" s="52" t="s">
        <v>704</v>
      </c>
      <c r="D132" s="53" t="s">
        <v>705</v>
      </c>
      <c r="E132" s="48">
        <v>775.37282980007569</v>
      </c>
      <c r="F132" s="49">
        <v>272.66583966425998</v>
      </c>
      <c r="G132" s="50">
        <v>1048.0386694643357</v>
      </c>
      <c r="H132" s="58"/>
      <c r="I132" s="48">
        <v>1146.5255889048658</v>
      </c>
      <c r="J132" s="49">
        <v>30.114438173120007</v>
      </c>
      <c r="K132" s="50">
        <v>1176.6400270779859</v>
      </c>
      <c r="M132" s="55"/>
      <c r="N132" s="55"/>
      <c r="O132" s="55"/>
      <c r="Q132" s="55"/>
      <c r="R132" s="55"/>
      <c r="S132" s="55"/>
    </row>
    <row r="133" spans="2:19" outlineLevel="1">
      <c r="B133" s="51" t="s">
        <v>142</v>
      </c>
      <c r="C133" s="52" t="s">
        <v>75</v>
      </c>
      <c r="D133" s="53" t="s">
        <v>297</v>
      </c>
      <c r="E133" s="48">
        <v>11795.356767868177</v>
      </c>
      <c r="F133" s="49">
        <v>9670.0816425372686</v>
      </c>
      <c r="G133" s="50">
        <v>21465.438410405448</v>
      </c>
      <c r="H133" s="58"/>
      <c r="I133" s="48">
        <v>20566.855874182478</v>
      </c>
      <c r="J133" s="49">
        <v>3155.1166581052603</v>
      </c>
      <c r="K133" s="50">
        <v>23721.972532287738</v>
      </c>
      <c r="M133" s="55"/>
      <c r="N133" s="55"/>
      <c r="O133" s="55"/>
      <c r="Q133" s="55"/>
      <c r="R133" s="55"/>
      <c r="S133" s="55"/>
    </row>
    <row r="134" spans="2:19" outlineLevel="1">
      <c r="B134" s="51" t="s">
        <v>142</v>
      </c>
      <c r="C134" s="52" t="s">
        <v>706</v>
      </c>
      <c r="D134" s="53" t="s">
        <v>707</v>
      </c>
      <c r="E134" s="48">
        <v>86.478393988363621</v>
      </c>
      <c r="F134" s="49">
        <v>1773.6051762717</v>
      </c>
      <c r="G134" s="50">
        <v>1860.0835702600637</v>
      </c>
      <c r="H134" s="58"/>
      <c r="I134" s="48">
        <v>2013.0408274703625</v>
      </c>
      <c r="J134" s="49">
        <v>54.451265235489991</v>
      </c>
      <c r="K134" s="50">
        <v>2067.4920927058524</v>
      </c>
      <c r="M134" s="55"/>
      <c r="N134" s="55"/>
      <c r="O134" s="55"/>
      <c r="Q134" s="55"/>
      <c r="R134" s="55"/>
      <c r="S134" s="55"/>
    </row>
    <row r="135" spans="2:19" outlineLevel="1">
      <c r="B135" s="51" t="s">
        <v>142</v>
      </c>
      <c r="C135" s="52" t="s">
        <v>76</v>
      </c>
      <c r="D135" s="53" t="s">
        <v>298</v>
      </c>
      <c r="E135" s="48">
        <v>2460.4545211774125</v>
      </c>
      <c r="F135" s="49">
        <v>808.61717260654984</v>
      </c>
      <c r="G135" s="50">
        <v>3269.0716937839625</v>
      </c>
      <c r="H135" s="58"/>
      <c r="I135" s="48">
        <v>3479.236216141976</v>
      </c>
      <c r="J135" s="49">
        <v>429.88603224538002</v>
      </c>
      <c r="K135" s="50">
        <v>3909.1222483873562</v>
      </c>
      <c r="M135" s="55"/>
      <c r="N135" s="55"/>
      <c r="O135" s="55"/>
      <c r="Q135" s="55"/>
      <c r="R135" s="55"/>
      <c r="S135" s="55"/>
    </row>
    <row r="136" spans="2:19" outlineLevel="1">
      <c r="B136" s="51" t="s">
        <v>142</v>
      </c>
      <c r="C136" s="52" t="s">
        <v>77</v>
      </c>
      <c r="D136" s="53" t="s">
        <v>299</v>
      </c>
      <c r="E136" s="48">
        <v>4749.3924614123525</v>
      </c>
      <c r="F136" s="49">
        <v>4088.436041131959</v>
      </c>
      <c r="G136" s="50">
        <v>8837.828502544311</v>
      </c>
      <c r="H136" s="58"/>
      <c r="I136" s="48">
        <v>8944.1169124924436</v>
      </c>
      <c r="J136" s="49">
        <v>1356.09745738828</v>
      </c>
      <c r="K136" s="50">
        <v>10300.214369880723</v>
      </c>
      <c r="M136" s="55"/>
      <c r="N136" s="55"/>
      <c r="O136" s="55"/>
      <c r="Q136" s="55"/>
      <c r="R136" s="55"/>
      <c r="S136" s="55"/>
    </row>
    <row r="137" spans="2:19" outlineLevel="1">
      <c r="B137" s="51" t="s">
        <v>142</v>
      </c>
      <c r="C137" s="52" t="s">
        <v>78</v>
      </c>
      <c r="D137" s="53" t="s">
        <v>300</v>
      </c>
      <c r="E137" s="48">
        <v>1844.6195215133537</v>
      </c>
      <c r="F137" s="49">
        <v>7241.0624717093806</v>
      </c>
      <c r="G137" s="50">
        <v>9085.6819932227336</v>
      </c>
      <c r="H137" s="58"/>
      <c r="I137" s="48">
        <v>9604.4363043766734</v>
      </c>
      <c r="J137" s="49">
        <v>1097.3894419347441</v>
      </c>
      <c r="K137" s="50">
        <v>10701.825746311417</v>
      </c>
      <c r="M137" s="55"/>
      <c r="N137" s="55"/>
      <c r="O137" s="55"/>
      <c r="Q137" s="55"/>
      <c r="R137" s="55"/>
      <c r="S137" s="55"/>
    </row>
    <row r="138" spans="2:19" outlineLevel="1">
      <c r="B138" s="51" t="s">
        <v>142</v>
      </c>
      <c r="C138" s="52" t="s">
        <v>642</v>
      </c>
      <c r="D138" s="53" t="s">
        <v>708</v>
      </c>
      <c r="E138" s="48">
        <v>879.36118529677117</v>
      </c>
      <c r="F138" s="49">
        <v>7932.4702252149309</v>
      </c>
      <c r="G138" s="50">
        <v>8811.8314105117024</v>
      </c>
      <c r="H138" s="58"/>
      <c r="I138" s="48">
        <v>10963.529156523953</v>
      </c>
      <c r="J138" s="49">
        <v>304.0954635574181</v>
      </c>
      <c r="K138" s="50">
        <v>11267.624620081371</v>
      </c>
      <c r="M138" s="55"/>
      <c r="N138" s="55"/>
      <c r="O138" s="55"/>
      <c r="Q138" s="55"/>
      <c r="R138" s="55"/>
      <c r="S138" s="55"/>
    </row>
    <row r="139" spans="2:19" outlineLevel="1">
      <c r="B139" s="51" t="s">
        <v>142</v>
      </c>
      <c r="C139" s="52" t="s">
        <v>709</v>
      </c>
      <c r="D139" s="53" t="s">
        <v>710</v>
      </c>
      <c r="E139" s="48">
        <v>0</v>
      </c>
      <c r="F139" s="49">
        <v>2220.7657154916496</v>
      </c>
      <c r="G139" s="50">
        <v>2220.7657154916496</v>
      </c>
      <c r="H139" s="58"/>
      <c r="I139" s="48">
        <v>3956.3824768734812</v>
      </c>
      <c r="J139" s="49">
        <v>82.78804827702001</v>
      </c>
      <c r="K139" s="50">
        <v>4039.1705251505014</v>
      </c>
      <c r="M139" s="55"/>
      <c r="N139" s="55"/>
      <c r="O139" s="55"/>
      <c r="Q139" s="55"/>
      <c r="R139" s="55"/>
      <c r="S139" s="55"/>
    </row>
    <row r="140" spans="2:19" outlineLevel="1">
      <c r="B140" s="51" t="s">
        <v>142</v>
      </c>
      <c r="C140" s="52" t="s">
        <v>711</v>
      </c>
      <c r="D140" s="53" t="s">
        <v>712</v>
      </c>
      <c r="E140" s="48">
        <v>0</v>
      </c>
      <c r="F140" s="49">
        <v>2958.0467956015486</v>
      </c>
      <c r="G140" s="50">
        <v>2958.0467956015486</v>
      </c>
      <c r="H140" s="58"/>
      <c r="I140" s="48">
        <v>4322.4519285185024</v>
      </c>
      <c r="J140" s="49">
        <v>64.525812772959995</v>
      </c>
      <c r="K140" s="50">
        <v>4386.9777412914627</v>
      </c>
      <c r="M140" s="55"/>
      <c r="N140" s="55"/>
      <c r="O140" s="55"/>
      <c r="Q140" s="55"/>
      <c r="R140" s="55"/>
      <c r="S140" s="55"/>
    </row>
    <row r="141" spans="2:19" outlineLevel="1">
      <c r="B141" s="51" t="s">
        <v>142</v>
      </c>
      <c r="C141" s="52" t="s">
        <v>713</v>
      </c>
      <c r="D141" s="53" t="s">
        <v>714</v>
      </c>
      <c r="E141" s="48">
        <v>232.318114499736</v>
      </c>
      <c r="F141" s="49">
        <v>6552.6763279434808</v>
      </c>
      <c r="G141" s="50">
        <v>6784.9944424432169</v>
      </c>
      <c r="H141" s="58"/>
      <c r="I141" s="48">
        <v>7761.5571033714214</v>
      </c>
      <c r="J141" s="49">
        <v>420.3894592683925</v>
      </c>
      <c r="K141" s="50">
        <v>8181.9465626398141</v>
      </c>
      <c r="M141" s="55"/>
      <c r="N141" s="55"/>
      <c r="O141" s="55"/>
      <c r="Q141" s="55"/>
      <c r="R141" s="55"/>
      <c r="S141" s="55"/>
    </row>
    <row r="142" spans="2:19" outlineLevel="1">
      <c r="B142" s="51" t="s">
        <v>142</v>
      </c>
      <c r="C142" s="52" t="s">
        <v>715</v>
      </c>
      <c r="D142" s="53" t="s">
        <v>716</v>
      </c>
      <c r="E142" s="48">
        <v>0</v>
      </c>
      <c r="F142" s="49">
        <v>11499.536429616908</v>
      </c>
      <c r="G142" s="50">
        <v>11499.536429616908</v>
      </c>
      <c r="H142" s="58"/>
      <c r="I142" s="48">
        <v>19254.326815444296</v>
      </c>
      <c r="J142" s="49">
        <v>159.6295292713277</v>
      </c>
      <c r="K142" s="50">
        <v>19413.956344715625</v>
      </c>
      <c r="M142" s="55"/>
      <c r="N142" s="55"/>
      <c r="O142" s="55"/>
      <c r="Q142" s="55"/>
      <c r="R142" s="55"/>
      <c r="S142" s="55"/>
    </row>
    <row r="143" spans="2:19" outlineLevel="1">
      <c r="B143" s="51" t="s">
        <v>142</v>
      </c>
      <c r="C143" s="52" t="s">
        <v>717</v>
      </c>
      <c r="D143" s="53" t="s">
        <v>718</v>
      </c>
      <c r="E143" s="48">
        <v>233.6520171920418</v>
      </c>
      <c r="F143" s="49">
        <v>2924.4248074298521</v>
      </c>
      <c r="G143" s="50">
        <v>3158.076824621894</v>
      </c>
      <c r="H143" s="58"/>
      <c r="I143" s="48">
        <v>4390.7052731874464</v>
      </c>
      <c r="J143" s="49">
        <v>243.33947878795999</v>
      </c>
      <c r="K143" s="50">
        <v>4634.0447519754061</v>
      </c>
      <c r="M143" s="55"/>
      <c r="N143" s="55"/>
      <c r="O143" s="55"/>
      <c r="Q143" s="55"/>
      <c r="R143" s="55"/>
      <c r="S143" s="55"/>
    </row>
    <row r="144" spans="2:19" outlineLevel="1">
      <c r="B144" s="51" t="s">
        <v>142</v>
      </c>
      <c r="C144" s="52" t="s">
        <v>79</v>
      </c>
      <c r="D144" s="53" t="s">
        <v>301</v>
      </c>
      <c r="E144" s="48">
        <v>1163.4353362423929</v>
      </c>
      <c r="F144" s="49">
        <v>20554.931362177082</v>
      </c>
      <c r="G144" s="50">
        <v>21718.366698419475</v>
      </c>
      <c r="H144" s="58"/>
      <c r="I144" s="48">
        <v>34626.34526114726</v>
      </c>
      <c r="J144" s="49">
        <v>335.91687817951743</v>
      </c>
      <c r="K144" s="50">
        <v>34962.262139326776</v>
      </c>
      <c r="M144" s="55"/>
      <c r="N144" s="55"/>
      <c r="O144" s="55"/>
      <c r="Q144" s="55"/>
      <c r="R144" s="55"/>
      <c r="S144" s="55"/>
    </row>
    <row r="145" spans="2:19" outlineLevel="1">
      <c r="B145" s="51" t="s">
        <v>142</v>
      </c>
      <c r="C145" s="52" t="s">
        <v>80</v>
      </c>
      <c r="D145" s="53" t="s">
        <v>302</v>
      </c>
      <c r="E145" s="48">
        <v>8891.0952777877465</v>
      </c>
      <c r="F145" s="49">
        <v>1226.6626788741498</v>
      </c>
      <c r="G145" s="50">
        <v>10117.757956661897</v>
      </c>
      <c r="H145" s="58"/>
      <c r="I145" s="48">
        <v>12618.2127364224</v>
      </c>
      <c r="J145" s="49">
        <v>607.47028765387006</v>
      </c>
      <c r="K145" s="50">
        <v>13225.68302407627</v>
      </c>
      <c r="M145" s="55"/>
      <c r="N145" s="55"/>
      <c r="O145" s="55"/>
      <c r="Q145" s="55"/>
      <c r="R145" s="55"/>
      <c r="S145" s="55"/>
    </row>
    <row r="146" spans="2:19" outlineLevel="1">
      <c r="B146" s="51" t="s">
        <v>142</v>
      </c>
      <c r="C146" s="52" t="s">
        <v>81</v>
      </c>
      <c r="D146" s="53" t="s">
        <v>303</v>
      </c>
      <c r="E146" s="48">
        <v>290.08916588150191</v>
      </c>
      <c r="F146" s="49">
        <v>331.21660384249998</v>
      </c>
      <c r="G146" s="50">
        <v>621.30576972400195</v>
      </c>
      <c r="H146" s="58"/>
      <c r="I146" s="48">
        <v>1231.2592696667707</v>
      </c>
      <c r="J146" s="49">
        <v>3.8663319675300007</v>
      </c>
      <c r="K146" s="50">
        <v>1235.1256016343007</v>
      </c>
      <c r="M146" s="55"/>
      <c r="N146" s="55"/>
      <c r="O146" s="55"/>
      <c r="Q146" s="55"/>
      <c r="R146" s="55"/>
      <c r="S146" s="55"/>
    </row>
    <row r="147" spans="2:19" outlineLevel="1">
      <c r="B147" s="51" t="s">
        <v>142</v>
      </c>
      <c r="C147" s="52" t="s">
        <v>719</v>
      </c>
      <c r="D147" s="53" t="s">
        <v>720</v>
      </c>
      <c r="E147" s="48">
        <v>49.353379323732426</v>
      </c>
      <c r="F147" s="49">
        <v>138.16886766231002</v>
      </c>
      <c r="G147" s="50">
        <v>187.52224698604243</v>
      </c>
      <c r="H147" s="58"/>
      <c r="I147" s="48">
        <v>241.66355755234818</v>
      </c>
      <c r="J147" s="49">
        <v>2.2093019601499995</v>
      </c>
      <c r="K147" s="50">
        <v>243.87285951249817</v>
      </c>
      <c r="M147" s="55"/>
      <c r="N147" s="55"/>
      <c r="O147" s="55"/>
      <c r="Q147" s="55"/>
      <c r="R147" s="55"/>
      <c r="S147" s="55"/>
    </row>
    <row r="148" spans="2:19" outlineLevel="1">
      <c r="B148" s="51" t="s">
        <v>142</v>
      </c>
      <c r="C148" s="52" t="s">
        <v>721</v>
      </c>
      <c r="D148" s="53" t="s">
        <v>722</v>
      </c>
      <c r="E148" s="48">
        <v>81.496931902829161</v>
      </c>
      <c r="F148" s="49">
        <v>262.80614732277991</v>
      </c>
      <c r="G148" s="50">
        <v>344.30307922560905</v>
      </c>
      <c r="H148" s="58"/>
      <c r="I148" s="48">
        <v>485.07397029862523</v>
      </c>
      <c r="J148" s="49">
        <v>26.811570599549995</v>
      </c>
      <c r="K148" s="50">
        <v>511.88554089817524</v>
      </c>
      <c r="M148" s="55"/>
      <c r="N148" s="55"/>
      <c r="O148" s="55"/>
      <c r="Q148" s="55"/>
      <c r="R148" s="55"/>
      <c r="S148" s="55"/>
    </row>
    <row r="149" spans="2:19" outlineLevel="1">
      <c r="B149" s="51" t="s">
        <v>142</v>
      </c>
      <c r="C149" s="52" t="s">
        <v>82</v>
      </c>
      <c r="D149" s="53" t="s">
        <v>304</v>
      </c>
      <c r="E149" s="48">
        <v>1724.9090352902961</v>
      </c>
      <c r="F149" s="49">
        <v>2109.8349514306587</v>
      </c>
      <c r="G149" s="50">
        <v>3834.743986720955</v>
      </c>
      <c r="H149" s="58"/>
      <c r="I149" s="48">
        <v>7192.7047492221018</v>
      </c>
      <c r="J149" s="49">
        <v>393.82802012057999</v>
      </c>
      <c r="K149" s="50">
        <v>7586.5327693426816</v>
      </c>
      <c r="M149" s="55"/>
      <c r="N149" s="55"/>
      <c r="O149" s="55"/>
      <c r="Q149" s="55"/>
      <c r="R149" s="55"/>
      <c r="S149" s="55"/>
    </row>
    <row r="150" spans="2:19" outlineLevel="1">
      <c r="B150" s="51" t="s">
        <v>142</v>
      </c>
      <c r="C150" s="52" t="s">
        <v>723</v>
      </c>
      <c r="D150" s="53" t="s">
        <v>724</v>
      </c>
      <c r="E150" s="48">
        <v>554.63087203170176</v>
      </c>
      <c r="F150" s="49">
        <v>339.88390117846001</v>
      </c>
      <c r="G150" s="50">
        <v>894.51477321016182</v>
      </c>
      <c r="H150" s="58"/>
      <c r="I150" s="48">
        <v>998.27121071186832</v>
      </c>
      <c r="J150" s="49">
        <v>33.288716613940004</v>
      </c>
      <c r="K150" s="50">
        <v>1031.5599273258083</v>
      </c>
      <c r="M150" s="55"/>
      <c r="N150" s="55"/>
      <c r="O150" s="55"/>
      <c r="Q150" s="55"/>
      <c r="R150" s="55"/>
      <c r="S150" s="55"/>
    </row>
    <row r="151" spans="2:19" outlineLevel="1">
      <c r="B151" s="51" t="s">
        <v>142</v>
      </c>
      <c r="C151" s="52" t="s">
        <v>96</v>
      </c>
      <c r="D151" s="53" t="s">
        <v>305</v>
      </c>
      <c r="E151" s="48">
        <v>719.34001299976796</v>
      </c>
      <c r="F151" s="49">
        <v>308.4306896818141</v>
      </c>
      <c r="G151" s="50">
        <v>1027.770702681582</v>
      </c>
      <c r="H151" s="58"/>
      <c r="I151" s="48">
        <v>1194.0760428109193</v>
      </c>
      <c r="J151" s="49">
        <v>174.52504891324998</v>
      </c>
      <c r="K151" s="50">
        <v>1368.6010917241692</v>
      </c>
      <c r="M151" s="55"/>
      <c r="N151" s="55"/>
      <c r="O151" s="55"/>
      <c r="Q151" s="55"/>
      <c r="R151" s="55"/>
      <c r="S151" s="55"/>
    </row>
    <row r="152" spans="2:19" outlineLevel="1">
      <c r="B152" s="51" t="s">
        <v>142</v>
      </c>
      <c r="C152" s="52" t="s">
        <v>85</v>
      </c>
      <c r="D152" s="53" t="s">
        <v>306</v>
      </c>
      <c r="E152" s="48">
        <v>969.96577619824632</v>
      </c>
      <c r="F152" s="49">
        <v>492.63491445819</v>
      </c>
      <c r="G152" s="50">
        <v>1462.6006906564362</v>
      </c>
      <c r="H152" s="58"/>
      <c r="I152" s="48">
        <v>1379.5063312894931</v>
      </c>
      <c r="J152" s="49">
        <v>522.42814122150003</v>
      </c>
      <c r="K152" s="50">
        <v>1901.9344725109931</v>
      </c>
      <c r="M152" s="55"/>
      <c r="N152" s="55"/>
      <c r="O152" s="55"/>
      <c r="Q152" s="55"/>
      <c r="R152" s="55"/>
      <c r="S152" s="55"/>
    </row>
    <row r="153" spans="2:19" outlineLevel="1">
      <c r="B153" s="51" t="s">
        <v>142</v>
      </c>
      <c r="C153" s="52" t="s">
        <v>725</v>
      </c>
      <c r="D153" s="53" t="s">
        <v>726</v>
      </c>
      <c r="E153" s="48">
        <v>0</v>
      </c>
      <c r="F153" s="49">
        <v>0</v>
      </c>
      <c r="G153" s="50">
        <v>0</v>
      </c>
      <c r="H153" s="58"/>
      <c r="I153" s="48">
        <v>0</v>
      </c>
      <c r="J153" s="49">
        <v>0</v>
      </c>
      <c r="K153" s="50">
        <v>0</v>
      </c>
      <c r="M153" s="55"/>
      <c r="N153" s="55"/>
      <c r="O153" s="55"/>
      <c r="Q153" s="55"/>
      <c r="R153" s="55"/>
      <c r="S153" s="55"/>
    </row>
    <row r="154" spans="2:19" outlineLevel="1">
      <c r="B154" s="51" t="s">
        <v>142</v>
      </c>
      <c r="C154" s="52" t="s">
        <v>84</v>
      </c>
      <c r="D154" s="53" t="s">
        <v>307</v>
      </c>
      <c r="E154" s="48">
        <v>6222.7012347317832</v>
      </c>
      <c r="F154" s="49">
        <v>49.19548909434986</v>
      </c>
      <c r="G154" s="50">
        <v>6271.896723826133</v>
      </c>
      <c r="H154" s="58"/>
      <c r="I154" s="48">
        <v>6189.6096462635187</v>
      </c>
      <c r="J154" s="49">
        <v>171.1062611860487</v>
      </c>
      <c r="K154" s="50">
        <v>6360.7159074495676</v>
      </c>
      <c r="M154" s="55"/>
      <c r="N154" s="55"/>
      <c r="O154" s="55"/>
      <c r="Q154" s="55"/>
      <c r="R154" s="55"/>
      <c r="S154" s="55"/>
    </row>
    <row r="155" spans="2:19" outlineLevel="1">
      <c r="B155" s="51" t="s">
        <v>142</v>
      </c>
      <c r="C155" s="52" t="s">
        <v>51</v>
      </c>
      <c r="D155" s="53" t="s">
        <v>308</v>
      </c>
      <c r="E155" s="48">
        <v>8922.1227396726863</v>
      </c>
      <c r="F155" s="49">
        <v>0</v>
      </c>
      <c r="G155" s="50">
        <v>8922.1227396726863</v>
      </c>
      <c r="H155" s="58"/>
      <c r="I155" s="48">
        <v>4699.5583474514442</v>
      </c>
      <c r="J155" s="49">
        <v>4222.5643922212403</v>
      </c>
      <c r="K155" s="50">
        <v>8922.1227396726845</v>
      </c>
      <c r="M155" s="55"/>
      <c r="N155" s="55"/>
      <c r="O155" s="55"/>
      <c r="Q155" s="55"/>
      <c r="R155" s="55"/>
      <c r="S155" s="55"/>
    </row>
    <row r="156" spans="2:19">
      <c r="B156" s="39" t="s">
        <v>147</v>
      </c>
      <c r="C156" s="40" t="s">
        <v>148</v>
      </c>
      <c r="D156" s="41"/>
      <c r="E156" s="42">
        <v>19204.981048955564</v>
      </c>
      <c r="F156" s="43">
        <v>1160.0955301706001</v>
      </c>
      <c r="G156" s="44">
        <v>20365.076579126162</v>
      </c>
      <c r="H156" s="59"/>
      <c r="I156" s="42">
        <v>23243.69189475153</v>
      </c>
      <c r="J156" s="43">
        <v>500.83926184310002</v>
      </c>
      <c r="K156" s="44">
        <v>23744.531156594629</v>
      </c>
      <c r="L156" s="54"/>
      <c r="M156" s="55"/>
      <c r="N156" s="55"/>
      <c r="O156" s="55"/>
      <c r="Q156" s="55"/>
      <c r="R156" s="55"/>
      <c r="S156" s="55"/>
    </row>
    <row r="157" spans="2:19" outlineLevel="1">
      <c r="B157" s="51" t="s">
        <v>147</v>
      </c>
      <c r="C157" s="52" t="s">
        <v>87</v>
      </c>
      <c r="D157" s="53" t="s">
        <v>309</v>
      </c>
      <c r="E157" s="48">
        <v>13182.469707080623</v>
      </c>
      <c r="F157" s="49">
        <v>1160.0955301706001</v>
      </c>
      <c r="G157" s="50">
        <v>14342.565237251223</v>
      </c>
      <c r="H157" s="58"/>
      <c r="I157" s="48">
        <v>21975.047409566421</v>
      </c>
      <c r="J157" s="49">
        <v>500.83926184310002</v>
      </c>
      <c r="K157" s="50">
        <v>22475.88667140952</v>
      </c>
      <c r="M157" s="55"/>
      <c r="N157" s="55"/>
      <c r="O157" s="55"/>
      <c r="Q157" s="55"/>
      <c r="R157" s="55"/>
      <c r="S157" s="55"/>
    </row>
    <row r="158" spans="2:19" outlineLevel="1">
      <c r="B158" s="51" t="s">
        <v>147</v>
      </c>
      <c r="C158" s="52" t="s">
        <v>200</v>
      </c>
      <c r="D158" s="53" t="s">
        <v>310</v>
      </c>
      <c r="E158" s="48">
        <v>6022.5113418749397</v>
      </c>
      <c r="F158" s="49">
        <v>0</v>
      </c>
      <c r="G158" s="50">
        <v>6022.5113418749397</v>
      </c>
      <c r="H158" s="58"/>
      <c r="I158" s="48">
        <v>1268.6444851851074</v>
      </c>
      <c r="J158" s="49">
        <v>0</v>
      </c>
      <c r="K158" s="50">
        <v>1268.6444851851074</v>
      </c>
      <c r="M158" s="55"/>
      <c r="N158" s="55"/>
      <c r="O158" s="55"/>
      <c r="Q158" s="55"/>
      <c r="R158" s="55"/>
      <c r="S158" s="55"/>
    </row>
    <row r="159" spans="2:19">
      <c r="B159" s="39" t="s">
        <v>727</v>
      </c>
      <c r="C159" s="40" t="s">
        <v>728</v>
      </c>
      <c r="D159" s="41"/>
      <c r="E159" s="42">
        <v>7587.4971882538757</v>
      </c>
      <c r="F159" s="43">
        <v>0.15371818687384117</v>
      </c>
      <c r="G159" s="44">
        <v>7587.6509064407492</v>
      </c>
      <c r="H159" s="59"/>
      <c r="I159" s="42">
        <v>7757.3765461485782</v>
      </c>
      <c r="J159" s="43">
        <v>0</v>
      </c>
      <c r="K159" s="44">
        <v>7757.3765461485782</v>
      </c>
      <c r="L159" s="54"/>
      <c r="M159" s="55"/>
      <c r="N159" s="55"/>
      <c r="O159" s="55"/>
      <c r="Q159" s="55"/>
      <c r="R159" s="55"/>
      <c r="S159" s="55"/>
    </row>
    <row r="160" spans="2:19" outlineLevel="1">
      <c r="B160" s="51" t="s">
        <v>727</v>
      </c>
      <c r="C160" s="52" t="s">
        <v>88</v>
      </c>
      <c r="D160" s="53" t="s">
        <v>311</v>
      </c>
      <c r="E160" s="48">
        <v>6276.4699004986251</v>
      </c>
      <c r="F160" s="49">
        <v>0</v>
      </c>
      <c r="G160" s="50">
        <v>6276.4699004986251</v>
      </c>
      <c r="H160" s="58"/>
      <c r="I160" s="48">
        <v>6414.0863849581783</v>
      </c>
      <c r="J160" s="49">
        <v>0</v>
      </c>
      <c r="K160" s="50">
        <v>6414.0863849581783</v>
      </c>
      <c r="M160" s="55"/>
      <c r="N160" s="55"/>
      <c r="O160" s="55"/>
      <c r="Q160" s="55"/>
      <c r="R160" s="55"/>
      <c r="S160" s="55"/>
    </row>
    <row r="161" spans="2:19" outlineLevel="1">
      <c r="B161" s="51" t="s">
        <v>727</v>
      </c>
      <c r="C161" s="52" t="s">
        <v>729</v>
      </c>
      <c r="D161" s="53" t="s">
        <v>730</v>
      </c>
      <c r="E161" s="48">
        <v>199.93962118926078</v>
      </c>
      <c r="F161" s="49">
        <v>0</v>
      </c>
      <c r="G161" s="50">
        <v>199.93962118926078</v>
      </c>
      <c r="H161" s="58"/>
      <c r="I161" s="48">
        <v>204.591032612015</v>
      </c>
      <c r="J161" s="49">
        <v>0</v>
      </c>
      <c r="K161" s="50">
        <v>204.591032612015</v>
      </c>
      <c r="M161" s="55"/>
      <c r="N161" s="55"/>
      <c r="O161" s="55"/>
      <c r="Q161" s="55"/>
      <c r="R161" s="55"/>
      <c r="S161" s="55"/>
    </row>
    <row r="162" spans="2:19" outlineLevel="1">
      <c r="B162" s="51" t="s">
        <v>727</v>
      </c>
      <c r="C162" s="52" t="s">
        <v>89</v>
      </c>
      <c r="D162" s="53" t="s">
        <v>312</v>
      </c>
      <c r="E162" s="48">
        <v>1111.0876665659894</v>
      </c>
      <c r="F162" s="49">
        <v>0.15371818687384117</v>
      </c>
      <c r="G162" s="50">
        <v>1111.2413847528633</v>
      </c>
      <c r="H162" s="58"/>
      <c r="I162" s="48">
        <v>1138.6991285783856</v>
      </c>
      <c r="J162" s="49">
        <v>0</v>
      </c>
      <c r="K162" s="50">
        <v>1138.6991285783856</v>
      </c>
      <c r="M162" s="55"/>
      <c r="N162" s="55"/>
      <c r="O162" s="55"/>
      <c r="Q162" s="55"/>
      <c r="R162" s="55"/>
      <c r="S162" s="55"/>
    </row>
    <row r="163" spans="2:19">
      <c r="B163" s="39" t="s">
        <v>149</v>
      </c>
      <c r="C163" s="40" t="s">
        <v>150</v>
      </c>
      <c r="D163" s="41"/>
      <c r="E163" s="42">
        <v>98191.120574020359</v>
      </c>
      <c r="F163" s="43">
        <v>119.64430923319176</v>
      </c>
      <c r="G163" s="44">
        <v>98310.764883253549</v>
      </c>
      <c r="H163" s="59"/>
      <c r="I163" s="42">
        <v>100729.28528070133</v>
      </c>
      <c r="J163" s="43">
        <v>168.05099267712762</v>
      </c>
      <c r="K163" s="44">
        <v>100897.33627337846</v>
      </c>
      <c r="L163" s="54"/>
      <c r="M163" s="55"/>
      <c r="N163" s="55"/>
      <c r="O163" s="55"/>
      <c r="Q163" s="55"/>
      <c r="R163" s="55"/>
      <c r="S163" s="55"/>
    </row>
    <row r="164" spans="2:19" outlineLevel="1">
      <c r="B164" s="51" t="s">
        <v>149</v>
      </c>
      <c r="C164" s="52" t="s">
        <v>90</v>
      </c>
      <c r="D164" s="53" t="s">
        <v>313</v>
      </c>
      <c r="E164" s="48">
        <v>42365.530984630139</v>
      </c>
      <c r="F164" s="49">
        <v>0</v>
      </c>
      <c r="G164" s="50">
        <v>42365.530984630139</v>
      </c>
      <c r="H164" s="58"/>
      <c r="I164" s="48">
        <v>43360.396034038167</v>
      </c>
      <c r="J164" s="49">
        <v>0</v>
      </c>
      <c r="K164" s="50">
        <v>43360.396034038167</v>
      </c>
      <c r="M164" s="55"/>
      <c r="N164" s="55"/>
      <c r="O164" s="55"/>
      <c r="Q164" s="55"/>
      <c r="R164" s="55"/>
      <c r="S164" s="55"/>
    </row>
    <row r="165" spans="2:19" outlineLevel="1">
      <c r="B165" s="51" t="s">
        <v>149</v>
      </c>
      <c r="C165" s="52" t="s">
        <v>201</v>
      </c>
      <c r="D165" s="53" t="s">
        <v>314</v>
      </c>
      <c r="E165" s="48">
        <v>16182.967514871618</v>
      </c>
      <c r="F165" s="49">
        <v>0</v>
      </c>
      <c r="G165" s="50">
        <v>16182.967514871618</v>
      </c>
      <c r="H165" s="58"/>
      <c r="I165" s="48">
        <v>16384.345212897781</v>
      </c>
      <c r="J165" s="49">
        <v>0</v>
      </c>
      <c r="K165" s="50">
        <v>16384.345212897781</v>
      </c>
      <c r="M165" s="55"/>
      <c r="N165" s="55"/>
      <c r="O165" s="55"/>
      <c r="Q165" s="55"/>
      <c r="R165" s="55"/>
      <c r="S165" s="55"/>
    </row>
    <row r="166" spans="2:19" outlineLevel="1">
      <c r="B166" s="51" t="s">
        <v>149</v>
      </c>
      <c r="C166" s="52" t="s">
        <v>91</v>
      </c>
      <c r="D166" s="53" t="s">
        <v>731</v>
      </c>
      <c r="E166" s="48">
        <v>19653.389414332894</v>
      </c>
      <c r="F166" s="49">
        <v>0</v>
      </c>
      <c r="G166" s="50">
        <v>19653.389414332894</v>
      </c>
      <c r="H166" s="58"/>
      <c r="I166" s="48">
        <v>20372.829085545727</v>
      </c>
      <c r="J166" s="49">
        <v>0</v>
      </c>
      <c r="K166" s="50">
        <v>20372.829085545727</v>
      </c>
      <c r="M166" s="55"/>
      <c r="N166" s="55"/>
      <c r="O166" s="55"/>
      <c r="Q166" s="55"/>
      <c r="R166" s="55"/>
      <c r="S166" s="55"/>
    </row>
    <row r="167" spans="2:19" outlineLevel="1">
      <c r="B167" s="51" t="s">
        <v>149</v>
      </c>
      <c r="C167" s="52" t="s">
        <v>86</v>
      </c>
      <c r="D167" s="53" t="s">
        <v>315</v>
      </c>
      <c r="E167" s="48">
        <v>19989.232660185709</v>
      </c>
      <c r="F167" s="49">
        <v>119.64430923319176</v>
      </c>
      <c r="G167" s="50">
        <v>20108.8769694189</v>
      </c>
      <c r="H167" s="58"/>
      <c r="I167" s="48">
        <v>20611.714948219658</v>
      </c>
      <c r="J167" s="49">
        <v>168.05099267712762</v>
      </c>
      <c r="K167" s="50">
        <v>20779.765940896785</v>
      </c>
      <c r="M167" s="55"/>
      <c r="N167" s="55"/>
      <c r="O167" s="55"/>
      <c r="Q167" s="55"/>
      <c r="R167" s="55"/>
      <c r="S167" s="55"/>
    </row>
    <row r="168" spans="2:19">
      <c r="B168" s="39" t="s">
        <v>151</v>
      </c>
      <c r="C168" s="40" t="s">
        <v>152</v>
      </c>
      <c r="D168" s="41"/>
      <c r="E168" s="42">
        <v>231863.1892410967</v>
      </c>
      <c r="F168" s="43">
        <v>33.685669261341758</v>
      </c>
      <c r="G168" s="44">
        <v>231896.87491035802</v>
      </c>
      <c r="H168" s="59"/>
      <c r="I168" s="42">
        <v>17795.157698477808</v>
      </c>
      <c r="J168" s="43">
        <v>14.356329515362386</v>
      </c>
      <c r="K168" s="44">
        <v>17809.514027993169</v>
      </c>
      <c r="L168" s="54"/>
      <c r="M168" s="55"/>
      <c r="N168" s="55"/>
      <c r="O168" s="55"/>
      <c r="Q168" s="55"/>
      <c r="R168" s="55"/>
      <c r="S168" s="55"/>
    </row>
    <row r="169" spans="2:19" outlineLevel="1">
      <c r="B169" s="51" t="s">
        <v>151</v>
      </c>
      <c r="C169" s="52" t="s">
        <v>92</v>
      </c>
      <c r="D169" s="53" t="s">
        <v>316</v>
      </c>
      <c r="E169" s="48">
        <v>214725.79112490991</v>
      </c>
      <c r="F169" s="49">
        <v>0</v>
      </c>
      <c r="G169" s="50">
        <v>214725.79112490991</v>
      </c>
      <c r="H169" s="58"/>
      <c r="I169" s="48">
        <v>0</v>
      </c>
      <c r="J169" s="49">
        <v>0</v>
      </c>
      <c r="K169" s="50">
        <v>0</v>
      </c>
      <c r="M169" s="55"/>
      <c r="N169" s="55"/>
      <c r="O169" s="55"/>
      <c r="Q169" s="55"/>
      <c r="R169" s="55"/>
      <c r="S169" s="55"/>
    </row>
    <row r="170" spans="2:19" outlineLevel="1">
      <c r="B170" s="51" t="s">
        <v>151</v>
      </c>
      <c r="C170" s="52" t="s">
        <v>93</v>
      </c>
      <c r="D170" s="53" t="s">
        <v>317</v>
      </c>
      <c r="E170" s="48">
        <v>17137.398116186774</v>
      </c>
      <c r="F170" s="49">
        <v>33.685669261341758</v>
      </c>
      <c r="G170" s="50">
        <v>17171.083785448114</v>
      </c>
      <c r="H170" s="58"/>
      <c r="I170" s="48">
        <v>17795.157698477808</v>
      </c>
      <c r="J170" s="49">
        <v>14.356329515362386</v>
      </c>
      <c r="K170" s="50">
        <v>17809.514027993169</v>
      </c>
      <c r="M170" s="55"/>
      <c r="N170" s="55"/>
      <c r="O170" s="55"/>
      <c r="Q170" s="55"/>
      <c r="R170" s="55"/>
      <c r="S170" s="55"/>
    </row>
    <row r="171" spans="2:19">
      <c r="B171" s="39" t="s">
        <v>153</v>
      </c>
      <c r="C171" s="40" t="s">
        <v>154</v>
      </c>
      <c r="D171" s="41"/>
      <c r="E171" s="42">
        <v>45596.635733570954</v>
      </c>
      <c r="F171" s="43">
        <v>19370.275237090282</v>
      </c>
      <c r="G171" s="44">
        <v>49023.953082863976</v>
      </c>
      <c r="H171" s="59"/>
      <c r="I171" s="42">
        <v>35983.496633997238</v>
      </c>
      <c r="J171" s="43">
        <v>3712.9119520922663</v>
      </c>
      <c r="K171" s="44">
        <v>39696.408586089499</v>
      </c>
      <c r="L171" s="54"/>
      <c r="M171" s="55"/>
      <c r="N171" s="55"/>
      <c r="O171" s="55"/>
      <c r="Q171" s="55"/>
      <c r="R171" s="55"/>
      <c r="S171" s="55"/>
    </row>
    <row r="172" spans="2:19" outlineLevel="1">
      <c r="B172" s="51" t="s">
        <v>153</v>
      </c>
      <c r="C172" s="52" t="s">
        <v>94</v>
      </c>
      <c r="D172" s="53" t="s">
        <v>318</v>
      </c>
      <c r="E172" s="48">
        <v>10462.202028956841</v>
      </c>
      <c r="F172" s="49">
        <v>40.398791488636263</v>
      </c>
      <c r="G172" s="50">
        <v>10502.600820445477</v>
      </c>
      <c r="H172" s="58"/>
      <c r="I172" s="48">
        <v>10787.802799074614</v>
      </c>
      <c r="J172" s="49">
        <v>5.1654791143377281</v>
      </c>
      <c r="K172" s="50">
        <v>10792.968278188951</v>
      </c>
      <c r="M172" s="55"/>
      <c r="N172" s="55"/>
      <c r="O172" s="55"/>
      <c r="Q172" s="55"/>
      <c r="R172" s="55"/>
      <c r="S172" s="55"/>
    </row>
    <row r="173" spans="2:19" outlineLevel="1">
      <c r="B173" s="51" t="s">
        <v>153</v>
      </c>
      <c r="C173" s="52" t="s">
        <v>95</v>
      </c>
      <c r="D173" s="53" t="s">
        <v>319</v>
      </c>
      <c r="E173" s="48">
        <v>20542.4245300929</v>
      </c>
      <c r="F173" s="49">
        <v>3000.8849984952194</v>
      </c>
      <c r="G173" s="50">
        <v>20504.84734331791</v>
      </c>
      <c r="H173" s="58"/>
      <c r="I173" s="48">
        <v>9336.0154121314627</v>
      </c>
      <c r="J173" s="49">
        <v>955.78311746396946</v>
      </c>
      <c r="K173" s="50">
        <v>10291.798529595431</v>
      </c>
      <c r="M173" s="55"/>
      <c r="N173" s="55"/>
      <c r="O173" s="55"/>
      <c r="Q173" s="55"/>
      <c r="R173" s="55"/>
      <c r="S173" s="55"/>
    </row>
    <row r="174" spans="2:19" outlineLevel="1">
      <c r="B174" s="51" t="s">
        <v>153</v>
      </c>
      <c r="C174" s="52" t="s">
        <v>732</v>
      </c>
      <c r="D174" s="53" t="s">
        <v>733</v>
      </c>
      <c r="E174" s="48">
        <v>38.555650960000001</v>
      </c>
      <c r="F174" s="49">
        <v>0</v>
      </c>
      <c r="G174" s="50">
        <v>38.555650960000001</v>
      </c>
      <c r="H174" s="58"/>
      <c r="I174" s="48">
        <v>0</v>
      </c>
      <c r="J174" s="49">
        <v>0</v>
      </c>
      <c r="K174" s="50">
        <v>0</v>
      </c>
      <c r="M174" s="55"/>
      <c r="N174" s="55"/>
      <c r="O174" s="55"/>
      <c r="Q174" s="55"/>
      <c r="R174" s="55"/>
      <c r="S174" s="55"/>
    </row>
    <row r="175" spans="2:19" outlineLevel="1">
      <c r="B175" s="51" t="s">
        <v>153</v>
      </c>
      <c r="C175" s="52" t="s">
        <v>734</v>
      </c>
      <c r="D175" s="53" t="s">
        <v>735</v>
      </c>
      <c r="E175" s="48">
        <v>96.762503486504258</v>
      </c>
      <c r="F175" s="49">
        <v>11618.696956315884</v>
      </c>
      <c r="G175" s="50">
        <v>96.762503486505011</v>
      </c>
      <c r="H175" s="58"/>
      <c r="I175" s="48">
        <v>71.245291385649097</v>
      </c>
      <c r="J175" s="49">
        <v>25.517212100855755</v>
      </c>
      <c r="K175" s="50">
        <v>96.762503486504855</v>
      </c>
      <c r="M175" s="55"/>
      <c r="N175" s="55"/>
      <c r="O175" s="55"/>
      <c r="Q175" s="55"/>
      <c r="R175" s="55"/>
      <c r="S175" s="55"/>
    </row>
    <row r="176" spans="2:19" outlineLevel="1">
      <c r="B176" s="51" t="s">
        <v>153</v>
      </c>
      <c r="C176" s="52" t="s">
        <v>97</v>
      </c>
      <c r="D176" s="53" t="s">
        <v>320</v>
      </c>
      <c r="E176" s="48">
        <v>727.35956373092517</v>
      </c>
      <c r="F176" s="49">
        <v>4328.0371992870223</v>
      </c>
      <c r="G176" s="50">
        <v>3769.598016806784</v>
      </c>
      <c r="H176" s="58"/>
      <c r="I176" s="48">
        <v>4115.6557293826081</v>
      </c>
      <c r="J176" s="49">
        <v>0</v>
      </c>
      <c r="K176" s="50">
        <v>4115.6557293826081</v>
      </c>
      <c r="M176" s="55"/>
      <c r="N176" s="55"/>
      <c r="O176" s="55"/>
      <c r="Q176" s="55"/>
      <c r="R176" s="55"/>
      <c r="S176" s="55"/>
    </row>
    <row r="177" spans="2:19" outlineLevel="1">
      <c r="B177" s="51" t="s">
        <v>153</v>
      </c>
      <c r="C177" s="52" t="s">
        <v>736</v>
      </c>
      <c r="D177" s="53" t="s">
        <v>737</v>
      </c>
      <c r="E177" s="48">
        <v>428.32892371794037</v>
      </c>
      <c r="F177" s="49">
        <v>-1.865567568594198E-3</v>
      </c>
      <c r="G177" s="50">
        <v>428.32705815037178</v>
      </c>
      <c r="H177" s="58"/>
      <c r="I177" s="48">
        <v>414.92069539237019</v>
      </c>
      <c r="J177" s="49">
        <v>13.932808445915704</v>
      </c>
      <c r="K177" s="50">
        <v>428.85350383828592</v>
      </c>
      <c r="M177" s="55"/>
      <c r="N177" s="55"/>
      <c r="O177" s="55"/>
      <c r="Q177" s="55"/>
      <c r="R177" s="55"/>
      <c r="S177" s="55"/>
    </row>
    <row r="178" spans="2:19" outlineLevel="1">
      <c r="B178" s="51" t="s">
        <v>153</v>
      </c>
      <c r="C178" s="52" t="s">
        <v>98</v>
      </c>
      <c r="D178" s="53" t="s">
        <v>321</v>
      </c>
      <c r="E178" s="48">
        <v>11118.297029931824</v>
      </c>
      <c r="F178" s="49">
        <v>226.4530703714637</v>
      </c>
      <c r="G178" s="50">
        <v>11344.750100303288</v>
      </c>
      <c r="H178" s="58"/>
      <c r="I178" s="48">
        <v>8885.1377230600883</v>
      </c>
      <c r="J178" s="49">
        <v>2659.6849575729543</v>
      </c>
      <c r="K178" s="50">
        <v>11544.822680633042</v>
      </c>
      <c r="M178" s="55"/>
      <c r="N178" s="55"/>
      <c r="O178" s="55"/>
      <c r="Q178" s="55"/>
      <c r="R178" s="55"/>
      <c r="S178" s="55"/>
    </row>
    <row r="179" spans="2:19" outlineLevel="1">
      <c r="B179" s="51" t="s">
        <v>153</v>
      </c>
      <c r="C179" s="52" t="s">
        <v>99</v>
      </c>
      <c r="D179" s="53" t="s">
        <v>322</v>
      </c>
      <c r="E179" s="48">
        <v>2182.705502694012</v>
      </c>
      <c r="F179" s="49">
        <v>155.80608669962902</v>
      </c>
      <c r="G179" s="50">
        <v>2338.5115893936409</v>
      </c>
      <c r="H179" s="58"/>
      <c r="I179" s="48">
        <v>2372.7189835704407</v>
      </c>
      <c r="J179" s="49">
        <v>52.828377394233485</v>
      </c>
      <c r="K179" s="50">
        <v>2425.5473609646742</v>
      </c>
      <c r="M179" s="55"/>
      <c r="N179" s="55"/>
      <c r="O179" s="55"/>
      <c r="Q179" s="55"/>
      <c r="R179" s="55"/>
      <c r="S179" s="55"/>
    </row>
    <row r="180" spans="2:19">
      <c r="B180" s="39" t="s">
        <v>155</v>
      </c>
      <c r="C180" s="40" t="s">
        <v>156</v>
      </c>
      <c r="D180" s="41"/>
      <c r="E180" s="42">
        <v>60836.449284527058</v>
      </c>
      <c r="F180" s="43">
        <v>18.325471619024697</v>
      </c>
      <c r="G180" s="44">
        <v>60854.774756146086</v>
      </c>
      <c r="H180" s="59"/>
      <c r="I180" s="42">
        <v>64659.133876006934</v>
      </c>
      <c r="J180" s="43">
        <v>30.032871191407303</v>
      </c>
      <c r="K180" s="44">
        <v>64689.166747198338</v>
      </c>
      <c r="L180" s="54"/>
      <c r="M180" s="55"/>
      <c r="N180" s="55"/>
      <c r="O180" s="55"/>
      <c r="Q180" s="55"/>
      <c r="R180" s="55"/>
      <c r="S180" s="55"/>
    </row>
    <row r="181" spans="2:19" outlineLevel="1">
      <c r="B181" s="51" t="s">
        <v>155</v>
      </c>
      <c r="C181" s="52" t="s">
        <v>100</v>
      </c>
      <c r="D181" s="53" t="s">
        <v>323</v>
      </c>
      <c r="E181" s="48">
        <v>3753.5858528348949</v>
      </c>
      <c r="F181" s="49">
        <v>0</v>
      </c>
      <c r="G181" s="50">
        <v>3753.5858528348949</v>
      </c>
      <c r="H181" s="58"/>
      <c r="I181" s="48">
        <v>4148.008412390187</v>
      </c>
      <c r="J181" s="49">
        <v>0</v>
      </c>
      <c r="K181" s="50">
        <v>4148.008412390187</v>
      </c>
      <c r="M181" s="55"/>
      <c r="N181" s="55"/>
      <c r="O181" s="55"/>
      <c r="Q181" s="55"/>
      <c r="R181" s="55"/>
      <c r="S181" s="55"/>
    </row>
    <row r="182" spans="2:19" outlineLevel="1">
      <c r="B182" s="51" t="s">
        <v>155</v>
      </c>
      <c r="C182" s="52" t="s">
        <v>101</v>
      </c>
      <c r="D182" s="53" t="s">
        <v>324</v>
      </c>
      <c r="E182" s="48">
        <v>57082.86343169216</v>
      </c>
      <c r="F182" s="49">
        <v>18.325471619024697</v>
      </c>
      <c r="G182" s="50">
        <v>57101.188903311187</v>
      </c>
      <c r="H182" s="58"/>
      <c r="I182" s="48">
        <v>60511.12546361675</v>
      </c>
      <c r="J182" s="49">
        <v>30.032871191407303</v>
      </c>
      <c r="K182" s="50">
        <v>60541.158334808155</v>
      </c>
      <c r="M182" s="55"/>
      <c r="N182" s="55"/>
      <c r="O182" s="55"/>
      <c r="Q182" s="55"/>
      <c r="R182" s="55"/>
      <c r="S182" s="55"/>
    </row>
    <row r="183" spans="2:19">
      <c r="B183" s="39" t="s">
        <v>157</v>
      </c>
      <c r="C183" s="40" t="s">
        <v>158</v>
      </c>
      <c r="D183" s="41"/>
      <c r="E183" s="42">
        <v>40415.056122430367</v>
      </c>
      <c r="F183" s="43">
        <v>5852.0277842165406</v>
      </c>
      <c r="G183" s="44">
        <v>46267.083906646913</v>
      </c>
      <c r="H183" s="59"/>
      <c r="I183" s="42">
        <v>47642.164232220326</v>
      </c>
      <c r="J183" s="43">
        <v>2405.8739734281526</v>
      </c>
      <c r="K183" s="44">
        <v>50048.038205648481</v>
      </c>
      <c r="L183" s="54"/>
      <c r="M183" s="55"/>
      <c r="N183" s="55"/>
      <c r="O183" s="55"/>
      <c r="Q183" s="55"/>
      <c r="R183" s="55"/>
      <c r="S183" s="55"/>
    </row>
    <row r="184" spans="2:19" outlineLevel="1">
      <c r="B184" s="51" t="s">
        <v>157</v>
      </c>
      <c r="C184" s="52" t="s">
        <v>83</v>
      </c>
      <c r="D184" s="53" t="s">
        <v>325</v>
      </c>
      <c r="E184" s="48">
        <v>1911.314201661196</v>
      </c>
      <c r="F184" s="49">
        <v>600.25834634698015</v>
      </c>
      <c r="G184" s="50">
        <v>2511.572548008176</v>
      </c>
      <c r="H184" s="58"/>
      <c r="I184" s="48">
        <v>3268.1778949374902</v>
      </c>
      <c r="J184" s="49">
        <v>176.46189551770004</v>
      </c>
      <c r="K184" s="50">
        <v>3444.6397904551905</v>
      </c>
      <c r="M184" s="55"/>
      <c r="N184" s="55"/>
      <c r="O184" s="55"/>
      <c r="Q184" s="55"/>
      <c r="R184" s="55"/>
      <c r="S184" s="55"/>
    </row>
    <row r="185" spans="2:19" outlineLevel="1">
      <c r="B185" s="51" t="s">
        <v>157</v>
      </c>
      <c r="C185" s="52" t="s">
        <v>738</v>
      </c>
      <c r="D185" s="53" t="s">
        <v>739</v>
      </c>
      <c r="E185" s="48">
        <v>59.519627710066324</v>
      </c>
      <c r="F185" s="49">
        <v>273.7482713891165</v>
      </c>
      <c r="G185" s="50">
        <v>333.26789909918284</v>
      </c>
      <c r="H185" s="58"/>
      <c r="I185" s="48">
        <v>328.70203992184145</v>
      </c>
      <c r="J185" s="49">
        <v>6.1527708947610176</v>
      </c>
      <c r="K185" s="50">
        <v>334.85481081660248</v>
      </c>
      <c r="M185" s="55"/>
      <c r="N185" s="55"/>
      <c r="O185" s="55"/>
      <c r="Q185" s="55"/>
      <c r="R185" s="55"/>
      <c r="S185" s="55"/>
    </row>
    <row r="186" spans="2:19" outlineLevel="1">
      <c r="B186" s="51" t="s">
        <v>157</v>
      </c>
      <c r="C186" s="52" t="s">
        <v>103</v>
      </c>
      <c r="D186" s="53" t="s">
        <v>326</v>
      </c>
      <c r="E186" s="48">
        <v>32208.435773070265</v>
      </c>
      <c r="F186" s="49">
        <v>1810.4548259558237</v>
      </c>
      <c r="G186" s="50">
        <v>34018.89059902609</v>
      </c>
      <c r="H186" s="58"/>
      <c r="I186" s="48">
        <v>35195.260072556375</v>
      </c>
      <c r="J186" s="49">
        <v>1523.6763407484689</v>
      </c>
      <c r="K186" s="50">
        <v>36718.936413304844</v>
      </c>
      <c r="M186" s="55"/>
      <c r="N186" s="55"/>
      <c r="O186" s="55"/>
      <c r="Q186" s="55"/>
      <c r="R186" s="55"/>
      <c r="S186" s="55"/>
    </row>
    <row r="187" spans="2:19" outlineLevel="1">
      <c r="B187" s="51" t="s">
        <v>157</v>
      </c>
      <c r="C187" s="52" t="s">
        <v>104</v>
      </c>
      <c r="D187" s="53" t="s">
        <v>327</v>
      </c>
      <c r="E187" s="48">
        <v>4025.1251969719847</v>
      </c>
      <c r="F187" s="49">
        <v>469.57836831819623</v>
      </c>
      <c r="G187" s="50">
        <v>4494.7035652901814</v>
      </c>
      <c r="H187" s="58"/>
      <c r="I187" s="48">
        <v>4000.9574268155106</v>
      </c>
      <c r="J187" s="49">
        <v>536.77487578917373</v>
      </c>
      <c r="K187" s="50">
        <v>4537.7323026046843</v>
      </c>
      <c r="M187" s="55"/>
      <c r="N187" s="55"/>
      <c r="O187" s="55"/>
      <c r="Q187" s="55"/>
      <c r="R187" s="55"/>
      <c r="S187" s="55"/>
    </row>
    <row r="188" spans="2:19" outlineLevel="1">
      <c r="B188" s="51" t="s">
        <v>157</v>
      </c>
      <c r="C188" s="52" t="s">
        <v>740</v>
      </c>
      <c r="D188" s="53" t="s">
        <v>741</v>
      </c>
      <c r="E188" s="48">
        <v>478.39175850297011</v>
      </c>
      <c r="F188" s="49">
        <v>2539.3930918929427</v>
      </c>
      <c r="G188" s="50">
        <v>3017.7848503959131</v>
      </c>
      <c r="H188" s="58"/>
      <c r="I188" s="48">
        <v>2890.1550521030517</v>
      </c>
      <c r="J188" s="49">
        <v>162.80809047804908</v>
      </c>
      <c r="K188" s="50">
        <v>3052.9631425811008</v>
      </c>
      <c r="M188" s="55"/>
      <c r="N188" s="55"/>
      <c r="O188" s="55"/>
      <c r="Q188" s="55"/>
      <c r="R188" s="55"/>
      <c r="S188" s="55"/>
    </row>
    <row r="189" spans="2:19" outlineLevel="1">
      <c r="B189" s="51" t="s">
        <v>157</v>
      </c>
      <c r="C189" s="52" t="s">
        <v>102</v>
      </c>
      <c r="D189" s="53" t="s">
        <v>328</v>
      </c>
      <c r="E189" s="48">
        <v>1732.2695645138865</v>
      </c>
      <c r="F189" s="49">
        <v>158.59488031348118</v>
      </c>
      <c r="G189" s="50">
        <v>1890.8644448273676</v>
      </c>
      <c r="H189" s="58"/>
      <c r="I189" s="48">
        <v>1958.9117458860551</v>
      </c>
      <c r="J189" s="49">
        <v>0</v>
      </c>
      <c r="K189" s="50">
        <v>1958.9117458860551</v>
      </c>
      <c r="M189" s="55"/>
      <c r="N189" s="55"/>
      <c r="O189" s="55"/>
      <c r="Q189" s="55"/>
      <c r="R189" s="55"/>
      <c r="S189" s="55"/>
    </row>
    <row r="190" spans="2:19">
      <c r="B190" s="39" t="s">
        <v>159</v>
      </c>
      <c r="C190" s="40" t="s">
        <v>160</v>
      </c>
      <c r="D190" s="41"/>
      <c r="E190" s="42">
        <v>56048.773364447668</v>
      </c>
      <c r="F190" s="43">
        <v>5192.1660267441084</v>
      </c>
      <c r="G190" s="44">
        <v>60099.612695291456</v>
      </c>
      <c r="H190" s="59"/>
      <c r="I190" s="42">
        <v>60192.814959566516</v>
      </c>
      <c r="J190" s="43">
        <v>943.3399754362365</v>
      </c>
      <c r="K190" s="44">
        <v>61136.154935002764</v>
      </c>
      <c r="L190" s="54"/>
      <c r="M190" s="55"/>
      <c r="N190" s="55"/>
      <c r="O190" s="55"/>
      <c r="Q190" s="55"/>
      <c r="R190" s="55"/>
      <c r="S190" s="55"/>
    </row>
    <row r="191" spans="2:19" outlineLevel="1">
      <c r="B191" s="51" t="s">
        <v>159</v>
      </c>
      <c r="C191" s="52" t="s">
        <v>742</v>
      </c>
      <c r="D191" s="53" t="s">
        <v>743</v>
      </c>
      <c r="E191" s="48">
        <v>1014.9713333344786</v>
      </c>
      <c r="F191" s="49">
        <v>0</v>
      </c>
      <c r="G191" s="50">
        <v>1014.9713333344786</v>
      </c>
      <c r="H191" s="58"/>
      <c r="I191" s="48">
        <v>1014.9713333344786</v>
      </c>
      <c r="J191" s="49">
        <v>0</v>
      </c>
      <c r="K191" s="50">
        <v>1014.9713333344786</v>
      </c>
      <c r="M191" s="55"/>
      <c r="N191" s="55"/>
      <c r="O191" s="55"/>
      <c r="Q191" s="55"/>
      <c r="R191" s="55"/>
      <c r="S191" s="55"/>
    </row>
    <row r="192" spans="2:19" outlineLevel="1">
      <c r="B192" s="51" t="s">
        <v>159</v>
      </c>
      <c r="C192" s="52" t="s">
        <v>106</v>
      </c>
      <c r="D192" s="53" t="s">
        <v>329</v>
      </c>
      <c r="E192" s="48">
        <v>4193.933184489937</v>
      </c>
      <c r="F192" s="49">
        <v>263.84402509706717</v>
      </c>
      <c r="G192" s="50">
        <v>4457.7772095870041</v>
      </c>
      <c r="H192" s="58"/>
      <c r="I192" s="48">
        <v>4433.6080866904158</v>
      </c>
      <c r="J192" s="49">
        <v>24.169122896587382</v>
      </c>
      <c r="K192" s="50">
        <v>4457.7772095870032</v>
      </c>
      <c r="M192" s="55"/>
      <c r="N192" s="55"/>
      <c r="O192" s="55"/>
      <c r="Q192" s="55"/>
      <c r="R192" s="55"/>
      <c r="S192" s="55"/>
    </row>
    <row r="193" spans="2:19" outlineLevel="1">
      <c r="B193" s="51" t="s">
        <v>159</v>
      </c>
      <c r="C193" s="52" t="s">
        <v>202</v>
      </c>
      <c r="D193" s="53" t="s">
        <v>744</v>
      </c>
      <c r="E193" s="48">
        <v>32775.839873720332</v>
      </c>
      <c r="F193" s="49">
        <v>1425.5474144287191</v>
      </c>
      <c r="G193" s="50">
        <v>34201.387288149053</v>
      </c>
      <c r="H193" s="58"/>
      <c r="I193" s="48">
        <v>33687.107978156673</v>
      </c>
      <c r="J193" s="49">
        <v>514.27930999237969</v>
      </c>
      <c r="K193" s="50">
        <v>34201.387288149053</v>
      </c>
      <c r="M193" s="55"/>
      <c r="N193" s="55"/>
      <c r="O193" s="55"/>
      <c r="Q193" s="55"/>
      <c r="R193" s="55"/>
      <c r="S193" s="55"/>
    </row>
    <row r="194" spans="2:19" outlineLevel="1">
      <c r="B194" s="51" t="s">
        <v>159</v>
      </c>
      <c r="C194" s="52" t="s">
        <v>107</v>
      </c>
      <c r="D194" s="53" t="s">
        <v>330</v>
      </c>
      <c r="E194" s="48">
        <v>7404.2215770989314</v>
      </c>
      <c r="F194" s="49">
        <v>3502.7745872183223</v>
      </c>
      <c r="G194" s="50">
        <v>9765.6694684169288</v>
      </c>
      <c r="H194" s="58"/>
      <c r="I194" s="48">
        <v>10386.251904737273</v>
      </c>
      <c r="J194" s="49">
        <v>404.89154254726935</v>
      </c>
      <c r="K194" s="50">
        <v>10791.143447284543</v>
      </c>
      <c r="M194" s="55"/>
      <c r="N194" s="55"/>
      <c r="O194" s="55"/>
      <c r="Q194" s="55"/>
      <c r="R194" s="55"/>
      <c r="S194" s="55"/>
    </row>
    <row r="195" spans="2:19" outlineLevel="1">
      <c r="B195" s="51" t="s">
        <v>159</v>
      </c>
      <c r="C195" s="52" t="s">
        <v>108</v>
      </c>
      <c r="D195" s="53" t="s">
        <v>331</v>
      </c>
      <c r="E195" s="48">
        <v>8738.5901177939868</v>
      </c>
      <c r="F195" s="49">
        <v>0</v>
      </c>
      <c r="G195" s="50">
        <v>8738.5901177939868</v>
      </c>
      <c r="H195" s="58"/>
      <c r="I195" s="48">
        <v>8738.590117793985</v>
      </c>
      <c r="J195" s="49">
        <v>0</v>
      </c>
      <c r="K195" s="50">
        <v>8738.590117793985</v>
      </c>
      <c r="M195" s="55"/>
      <c r="N195" s="55"/>
      <c r="O195" s="55"/>
      <c r="Q195" s="55"/>
      <c r="R195" s="55"/>
      <c r="S195" s="55"/>
    </row>
    <row r="196" spans="2:19" outlineLevel="1">
      <c r="B196" s="51" t="s">
        <v>159</v>
      </c>
      <c r="C196" s="52" t="s">
        <v>109</v>
      </c>
      <c r="D196" s="53" t="s">
        <v>332</v>
      </c>
      <c r="E196" s="48">
        <v>1921.21727801</v>
      </c>
      <c r="F196" s="49">
        <v>0</v>
      </c>
      <c r="G196" s="50">
        <v>1921.21727801</v>
      </c>
      <c r="H196" s="58"/>
      <c r="I196" s="48">
        <v>1932.2855388536984</v>
      </c>
      <c r="J196" s="49">
        <v>0</v>
      </c>
      <c r="K196" s="50">
        <v>1932.2855388536984</v>
      </c>
      <c r="M196" s="55"/>
      <c r="N196" s="55"/>
      <c r="O196" s="55"/>
      <c r="Q196" s="55"/>
      <c r="R196" s="55"/>
      <c r="S196" s="55"/>
    </row>
    <row r="197" spans="2:19">
      <c r="B197" s="39" t="s">
        <v>161</v>
      </c>
      <c r="C197" s="40" t="s">
        <v>162</v>
      </c>
      <c r="D197" s="41"/>
      <c r="E197" s="42">
        <v>70544.640031520219</v>
      </c>
      <c r="F197" s="43">
        <v>0</v>
      </c>
      <c r="G197" s="44">
        <v>70544.640031520219</v>
      </c>
      <c r="H197" s="59"/>
      <c r="I197" s="42">
        <v>71088.815705149784</v>
      </c>
      <c r="J197" s="43">
        <v>0</v>
      </c>
      <c r="K197" s="44">
        <v>71088.815705149784</v>
      </c>
      <c r="L197" s="54"/>
      <c r="M197" s="55"/>
      <c r="N197" s="55"/>
      <c r="O197" s="55"/>
      <c r="Q197" s="55"/>
      <c r="R197" s="55"/>
      <c r="S197" s="55"/>
    </row>
    <row r="198" spans="2:19" outlineLevel="1">
      <c r="B198" s="51" t="s">
        <v>161</v>
      </c>
      <c r="C198" s="52" t="s">
        <v>110</v>
      </c>
      <c r="D198" s="53" t="s">
        <v>333</v>
      </c>
      <c r="E198" s="48">
        <v>50052.667340411179</v>
      </c>
      <c r="F198" s="49">
        <v>0</v>
      </c>
      <c r="G198" s="50">
        <v>50052.667340411179</v>
      </c>
      <c r="H198" s="58"/>
      <c r="I198" s="48">
        <v>50072.55517644238</v>
      </c>
      <c r="J198" s="49">
        <v>0</v>
      </c>
      <c r="K198" s="50">
        <v>50072.55517644238</v>
      </c>
      <c r="M198" s="55"/>
      <c r="N198" s="55"/>
      <c r="O198" s="55"/>
      <c r="Q198" s="55"/>
      <c r="R198" s="55"/>
      <c r="S198" s="55"/>
    </row>
    <row r="199" spans="2:19" outlineLevel="1">
      <c r="B199" s="51" t="s">
        <v>161</v>
      </c>
      <c r="C199" s="52" t="s">
        <v>111</v>
      </c>
      <c r="D199" s="53" t="s">
        <v>334</v>
      </c>
      <c r="E199" s="48">
        <v>20491.97269110904</v>
      </c>
      <c r="F199" s="49">
        <v>0</v>
      </c>
      <c r="G199" s="50">
        <v>20491.97269110904</v>
      </c>
      <c r="H199" s="58"/>
      <c r="I199" s="48">
        <v>21016.260528707404</v>
      </c>
      <c r="J199" s="49">
        <v>0</v>
      </c>
      <c r="K199" s="50">
        <v>21016.260528707404</v>
      </c>
      <c r="M199" s="55"/>
      <c r="N199" s="55"/>
      <c r="O199" s="55"/>
      <c r="Q199" s="55"/>
      <c r="R199" s="55"/>
      <c r="S199" s="55"/>
    </row>
    <row r="200" spans="2:19">
      <c r="B200" s="39" t="s">
        <v>163</v>
      </c>
      <c r="C200" s="40" t="s">
        <v>164</v>
      </c>
      <c r="D200" s="41"/>
      <c r="E200" s="42">
        <v>30231.136707108737</v>
      </c>
      <c r="F200" s="43">
        <v>2687.6896048290992</v>
      </c>
      <c r="G200" s="44">
        <v>32918.826311937839</v>
      </c>
      <c r="H200" s="59"/>
      <c r="I200" s="42">
        <v>32378.527027852942</v>
      </c>
      <c r="J200" s="43">
        <v>1130.6456787533943</v>
      </c>
      <c r="K200" s="44">
        <v>33509.172706606339</v>
      </c>
      <c r="L200" s="54"/>
      <c r="M200" s="55"/>
      <c r="N200" s="55"/>
      <c r="O200" s="55"/>
      <c r="Q200" s="55"/>
      <c r="R200" s="55"/>
      <c r="S200" s="55"/>
    </row>
    <row r="201" spans="2:19" outlineLevel="1">
      <c r="B201" s="51" t="s">
        <v>163</v>
      </c>
      <c r="C201" s="52" t="s">
        <v>112</v>
      </c>
      <c r="D201" s="53" t="s">
        <v>335</v>
      </c>
      <c r="E201" s="48">
        <v>3290.3473730676774</v>
      </c>
      <c r="F201" s="49">
        <v>20.984900472959946</v>
      </c>
      <c r="G201" s="50">
        <v>3311.3322735406373</v>
      </c>
      <c r="H201" s="58"/>
      <c r="I201" s="48">
        <v>3368.2959963376284</v>
      </c>
      <c r="J201" s="49">
        <v>14.206911353202415</v>
      </c>
      <c r="K201" s="50">
        <v>3382.5029076908309</v>
      </c>
      <c r="M201" s="55"/>
      <c r="N201" s="55"/>
      <c r="O201" s="55"/>
      <c r="Q201" s="55"/>
      <c r="R201" s="55"/>
      <c r="S201" s="55"/>
    </row>
    <row r="202" spans="2:19" outlineLevel="1">
      <c r="B202" s="51" t="s">
        <v>163</v>
      </c>
      <c r="C202" s="52" t="s">
        <v>113</v>
      </c>
      <c r="D202" s="53" t="s">
        <v>336</v>
      </c>
      <c r="E202" s="48">
        <v>3596.6440275805644</v>
      </c>
      <c r="F202" s="49">
        <v>37.537716456261187</v>
      </c>
      <c r="G202" s="50">
        <v>3634.1817440368254</v>
      </c>
      <c r="H202" s="58"/>
      <c r="I202" s="48">
        <v>3680.080242345588</v>
      </c>
      <c r="J202" s="49">
        <v>0.28635189464516508</v>
      </c>
      <c r="K202" s="50">
        <v>3680.3665942402331</v>
      </c>
      <c r="M202" s="55"/>
      <c r="N202" s="55"/>
      <c r="O202" s="55"/>
      <c r="Q202" s="55"/>
      <c r="R202" s="55"/>
      <c r="S202" s="55"/>
    </row>
    <row r="203" spans="2:19" outlineLevel="1">
      <c r="B203" s="51" t="s">
        <v>163</v>
      </c>
      <c r="C203" s="52" t="s">
        <v>115</v>
      </c>
      <c r="D203" s="53" t="s">
        <v>337</v>
      </c>
      <c r="E203" s="48">
        <v>3908.0673693312324</v>
      </c>
      <c r="F203" s="49">
        <v>41.556879258695901</v>
      </c>
      <c r="G203" s="50">
        <v>3949.6242485899284</v>
      </c>
      <c r="H203" s="58"/>
      <c r="I203" s="48">
        <v>4012.9854035651392</v>
      </c>
      <c r="J203" s="49">
        <v>6.7913152322992127</v>
      </c>
      <c r="K203" s="50">
        <v>4019.7767187974387</v>
      </c>
      <c r="M203" s="55"/>
      <c r="N203" s="55"/>
      <c r="O203" s="55"/>
      <c r="Q203" s="55"/>
      <c r="R203" s="55"/>
      <c r="S203" s="55"/>
    </row>
    <row r="204" spans="2:19" outlineLevel="1">
      <c r="B204" s="51" t="s">
        <v>163</v>
      </c>
      <c r="C204" s="52" t="s">
        <v>116</v>
      </c>
      <c r="D204" s="53" t="s">
        <v>338</v>
      </c>
      <c r="E204" s="48">
        <v>294.6226433558972</v>
      </c>
      <c r="F204" s="49">
        <v>0</v>
      </c>
      <c r="G204" s="50">
        <v>294.6226433558972</v>
      </c>
      <c r="H204" s="58"/>
      <c r="I204" s="48">
        <v>295.94819992200149</v>
      </c>
      <c r="J204" s="49">
        <v>0</v>
      </c>
      <c r="K204" s="50">
        <v>295.94819992200149</v>
      </c>
      <c r="M204" s="55"/>
      <c r="N204" s="55"/>
      <c r="O204" s="55"/>
      <c r="Q204" s="55"/>
      <c r="R204" s="55"/>
      <c r="S204" s="55"/>
    </row>
    <row r="205" spans="2:19" outlineLevel="1">
      <c r="B205" s="51" t="s">
        <v>163</v>
      </c>
      <c r="C205" s="52" t="s">
        <v>117</v>
      </c>
      <c r="D205" s="53" t="s">
        <v>339</v>
      </c>
      <c r="E205" s="48">
        <v>8586.2274745877694</v>
      </c>
      <c r="F205" s="49">
        <v>589.68608600570894</v>
      </c>
      <c r="G205" s="50">
        <v>9175.9135605934789</v>
      </c>
      <c r="H205" s="58"/>
      <c r="I205" s="48">
        <v>9229.0226073920276</v>
      </c>
      <c r="J205" s="49">
        <v>89.897618089211988</v>
      </c>
      <c r="K205" s="50">
        <v>9318.920225481239</v>
      </c>
      <c r="M205" s="55"/>
      <c r="N205" s="55"/>
      <c r="O205" s="55"/>
      <c r="Q205" s="55"/>
      <c r="R205" s="55"/>
      <c r="S205" s="55"/>
    </row>
    <row r="206" spans="2:19" outlineLevel="1">
      <c r="B206" s="51" t="s">
        <v>163</v>
      </c>
      <c r="C206" s="52" t="s">
        <v>114</v>
      </c>
      <c r="D206" s="53" t="s">
        <v>340</v>
      </c>
      <c r="E206" s="48">
        <v>10369.687823889064</v>
      </c>
      <c r="F206" s="49">
        <v>1997.9240226354734</v>
      </c>
      <c r="G206" s="50">
        <v>12367.611846524538</v>
      </c>
      <c r="H206" s="58"/>
      <c r="I206" s="48">
        <v>11600.63920855285</v>
      </c>
      <c r="J206" s="49">
        <v>1019.4634821840355</v>
      </c>
      <c r="K206" s="50">
        <v>12620.102690736885</v>
      </c>
      <c r="M206" s="55"/>
      <c r="N206" s="55"/>
      <c r="O206" s="55"/>
      <c r="Q206" s="55"/>
      <c r="R206" s="55"/>
      <c r="S206" s="55"/>
    </row>
    <row r="207" spans="2:19" outlineLevel="1">
      <c r="B207" s="51" t="s">
        <v>163</v>
      </c>
      <c r="C207" s="52" t="s">
        <v>118</v>
      </c>
      <c r="D207" s="53" t="s">
        <v>341</v>
      </c>
      <c r="E207" s="48">
        <v>185.53999529652978</v>
      </c>
      <c r="F207" s="49">
        <v>0</v>
      </c>
      <c r="G207" s="50">
        <v>185.53999529652978</v>
      </c>
      <c r="H207" s="58"/>
      <c r="I207" s="48">
        <v>191.55536973771046</v>
      </c>
      <c r="J207" s="49">
        <v>0</v>
      </c>
      <c r="K207" s="50">
        <v>191.55536973771046</v>
      </c>
      <c r="M207" s="55"/>
      <c r="N207" s="55"/>
      <c r="O207" s="55"/>
      <c r="Q207" s="55"/>
      <c r="R207" s="55"/>
      <c r="S207" s="55"/>
    </row>
    <row r="208" spans="2:19">
      <c r="B208" s="39" t="s">
        <v>165</v>
      </c>
      <c r="C208" s="40" t="s">
        <v>166</v>
      </c>
      <c r="D208" s="41"/>
      <c r="E208" s="42">
        <v>36929.66239095293</v>
      </c>
      <c r="F208" s="43">
        <v>834.67365633142515</v>
      </c>
      <c r="G208" s="44">
        <v>37764.336047284356</v>
      </c>
      <c r="H208" s="59"/>
      <c r="I208" s="42">
        <v>28799.570242111309</v>
      </c>
      <c r="J208" s="43">
        <v>9544.4492834058419</v>
      </c>
      <c r="K208" s="44">
        <v>38344.019525517149</v>
      </c>
      <c r="L208" s="54"/>
      <c r="M208" s="55"/>
      <c r="N208" s="55"/>
      <c r="O208" s="55"/>
      <c r="Q208" s="55"/>
      <c r="R208" s="55"/>
      <c r="S208" s="55"/>
    </row>
    <row r="209" spans="2:19" outlineLevel="1">
      <c r="B209" s="51" t="s">
        <v>165</v>
      </c>
      <c r="C209" s="52" t="s">
        <v>119</v>
      </c>
      <c r="D209" s="53" t="s">
        <v>342</v>
      </c>
      <c r="E209" s="48">
        <v>6714.4034936221296</v>
      </c>
      <c r="F209" s="49">
        <v>0</v>
      </c>
      <c r="G209" s="50">
        <v>6714.4034936221296</v>
      </c>
      <c r="H209" s="58"/>
      <c r="I209" s="48">
        <v>6865.4508349953148</v>
      </c>
      <c r="J209" s="49">
        <v>0</v>
      </c>
      <c r="K209" s="50">
        <v>6865.4508349953148</v>
      </c>
      <c r="M209" s="55"/>
      <c r="N209" s="55"/>
      <c r="O209" s="55"/>
      <c r="Q209" s="55"/>
      <c r="R209" s="55"/>
      <c r="S209" s="55"/>
    </row>
    <row r="210" spans="2:19" outlineLevel="1">
      <c r="B210" s="51" t="s">
        <v>165</v>
      </c>
      <c r="C210" s="52" t="s">
        <v>745</v>
      </c>
      <c r="D210" s="53" t="s">
        <v>746</v>
      </c>
      <c r="E210" s="48">
        <v>644.44264478383877</v>
      </c>
      <c r="F210" s="49">
        <v>0</v>
      </c>
      <c r="G210" s="50">
        <v>644.44264478383877</v>
      </c>
      <c r="H210" s="58"/>
      <c r="I210" s="48">
        <v>665.82166817675784</v>
      </c>
      <c r="J210" s="49">
        <v>0</v>
      </c>
      <c r="K210" s="50">
        <v>665.82166817675784</v>
      </c>
      <c r="M210" s="55"/>
      <c r="N210" s="55"/>
      <c r="O210" s="55"/>
      <c r="Q210" s="55"/>
      <c r="R210" s="55"/>
      <c r="S210" s="55"/>
    </row>
    <row r="211" spans="2:19" outlineLevel="1">
      <c r="B211" s="51" t="s">
        <v>165</v>
      </c>
      <c r="C211" s="52" t="s">
        <v>120</v>
      </c>
      <c r="D211" s="53" t="s">
        <v>343</v>
      </c>
      <c r="E211" s="48">
        <v>8312.0524787900376</v>
      </c>
      <c r="F211" s="49">
        <v>0</v>
      </c>
      <c r="G211" s="50">
        <v>8312.0524787900376</v>
      </c>
      <c r="H211" s="58"/>
      <c r="I211" s="48">
        <v>8439.80008398877</v>
      </c>
      <c r="J211" s="49">
        <v>0</v>
      </c>
      <c r="K211" s="50">
        <v>8439.80008398877</v>
      </c>
      <c r="M211" s="55"/>
      <c r="N211" s="55"/>
      <c r="O211" s="55"/>
      <c r="Q211" s="55"/>
      <c r="R211" s="55"/>
      <c r="S211" s="55"/>
    </row>
    <row r="212" spans="2:19" outlineLevel="1">
      <c r="B212" s="51" t="s">
        <v>165</v>
      </c>
      <c r="C212" s="52" t="s">
        <v>121</v>
      </c>
      <c r="D212" s="53" t="s">
        <v>747</v>
      </c>
      <c r="E212" s="48">
        <v>1072.2790613068071</v>
      </c>
      <c r="F212" s="49">
        <v>0.95309079453884171</v>
      </c>
      <c r="G212" s="50">
        <v>1073.2321521013459</v>
      </c>
      <c r="H212" s="58"/>
      <c r="I212" s="48">
        <v>471.42326820705512</v>
      </c>
      <c r="J212" s="49">
        <v>632.90293961551561</v>
      </c>
      <c r="K212" s="50">
        <v>1104.3262078225707</v>
      </c>
      <c r="M212" s="55"/>
      <c r="N212" s="55"/>
      <c r="O212" s="55"/>
      <c r="Q212" s="55"/>
      <c r="R212" s="55"/>
      <c r="S212" s="55"/>
    </row>
    <row r="213" spans="2:19" outlineLevel="1">
      <c r="B213" s="51" t="s">
        <v>165</v>
      </c>
      <c r="C213" s="52" t="s">
        <v>122</v>
      </c>
      <c r="D213" s="53" t="s">
        <v>344</v>
      </c>
      <c r="E213" s="48">
        <v>5330.6186020516916</v>
      </c>
      <c r="F213" s="49">
        <v>0</v>
      </c>
      <c r="G213" s="50">
        <v>5330.6186020516916</v>
      </c>
      <c r="H213" s="58"/>
      <c r="I213" s="48">
        <v>5429.4294071755839</v>
      </c>
      <c r="J213" s="49">
        <v>12.875281169071965</v>
      </c>
      <c r="K213" s="50">
        <v>5442.3046883446559</v>
      </c>
      <c r="M213" s="55"/>
      <c r="N213" s="55"/>
      <c r="O213" s="55"/>
      <c r="Q213" s="55"/>
      <c r="R213" s="55"/>
      <c r="S213" s="55"/>
    </row>
    <row r="214" spans="2:19" outlineLevel="1">
      <c r="B214" s="51" t="s">
        <v>165</v>
      </c>
      <c r="C214" s="52" t="s">
        <v>123</v>
      </c>
      <c r="D214" s="53" t="s">
        <v>345</v>
      </c>
      <c r="E214" s="48">
        <v>1882.5155752513849</v>
      </c>
      <c r="F214" s="49">
        <v>0</v>
      </c>
      <c r="G214" s="50">
        <v>1882.5155752513849</v>
      </c>
      <c r="H214" s="58"/>
      <c r="I214" s="48">
        <v>1918.0119121705709</v>
      </c>
      <c r="J214" s="49">
        <v>0</v>
      </c>
      <c r="K214" s="50">
        <v>1918.0119121705709</v>
      </c>
      <c r="M214" s="55"/>
      <c r="N214" s="55"/>
      <c r="O214" s="55"/>
      <c r="Q214" s="55"/>
      <c r="R214" s="55"/>
      <c r="S214" s="55"/>
    </row>
    <row r="215" spans="2:19" outlineLevel="1">
      <c r="B215" s="51" t="s">
        <v>165</v>
      </c>
      <c r="C215" s="52" t="s">
        <v>124</v>
      </c>
      <c r="D215" s="53" t="s">
        <v>346</v>
      </c>
      <c r="E215" s="48">
        <v>8566.86606793787</v>
      </c>
      <c r="F215" s="49">
        <v>778.84363086714018</v>
      </c>
      <c r="G215" s="50">
        <v>9345.7096988050107</v>
      </c>
      <c r="H215" s="58"/>
      <c r="I215" s="48">
        <v>628.34873205644544</v>
      </c>
      <c r="J215" s="49">
        <v>8723.7013720323048</v>
      </c>
      <c r="K215" s="50">
        <v>9352.0501040887502</v>
      </c>
      <c r="M215" s="55"/>
      <c r="N215" s="55"/>
      <c r="O215" s="55"/>
      <c r="Q215" s="55"/>
      <c r="R215" s="55"/>
      <c r="S215" s="55"/>
    </row>
    <row r="216" spans="2:19" outlineLevel="1">
      <c r="B216" s="51" t="s">
        <v>165</v>
      </c>
      <c r="C216" s="52" t="s">
        <v>105</v>
      </c>
      <c r="D216" s="53" t="s">
        <v>347</v>
      </c>
      <c r="E216" s="48">
        <v>4406.4844672091676</v>
      </c>
      <c r="F216" s="49">
        <v>54.876934669746063</v>
      </c>
      <c r="G216" s="50">
        <v>4461.361401878914</v>
      </c>
      <c r="H216" s="58"/>
      <c r="I216" s="48">
        <v>4381.2843353408107</v>
      </c>
      <c r="J216" s="49">
        <v>174.96969058894953</v>
      </c>
      <c r="K216" s="50">
        <v>4556.2540259297602</v>
      </c>
      <c r="M216" s="55"/>
      <c r="N216" s="55"/>
      <c r="O216" s="55"/>
      <c r="Q216" s="55"/>
      <c r="R216" s="55"/>
      <c r="S216" s="55"/>
    </row>
    <row r="217" spans="2:19">
      <c r="B217" s="39" t="s">
        <v>167</v>
      </c>
      <c r="C217" s="40" t="s">
        <v>168</v>
      </c>
      <c r="D217" s="41"/>
      <c r="E217" s="42">
        <v>48724.625819260393</v>
      </c>
      <c r="F217" s="43">
        <v>508.14972684013679</v>
      </c>
      <c r="G217" s="44">
        <v>49232.775546100536</v>
      </c>
      <c r="H217" s="59"/>
      <c r="I217" s="42">
        <v>49180.853064297036</v>
      </c>
      <c r="J217" s="43">
        <v>51.922481803499998</v>
      </c>
      <c r="K217" s="44">
        <v>49232.775546100536</v>
      </c>
      <c r="L217" s="54"/>
      <c r="M217" s="55"/>
      <c r="N217" s="55"/>
      <c r="O217" s="55"/>
      <c r="Q217" s="55"/>
      <c r="R217" s="55"/>
      <c r="S217" s="55"/>
    </row>
    <row r="218" spans="2:19" outlineLevel="1">
      <c r="B218" s="51" t="s">
        <v>167</v>
      </c>
      <c r="C218" s="52" t="s">
        <v>125</v>
      </c>
      <c r="D218" s="53" t="s">
        <v>348</v>
      </c>
      <c r="E218" s="48">
        <v>18782.726202837741</v>
      </c>
      <c r="F218" s="49">
        <v>0</v>
      </c>
      <c r="G218" s="50">
        <v>18782.726202837741</v>
      </c>
      <c r="H218" s="58"/>
      <c r="I218" s="48">
        <v>18782.726202837748</v>
      </c>
      <c r="J218" s="49">
        <v>0</v>
      </c>
      <c r="K218" s="50">
        <v>18782.726202837748</v>
      </c>
      <c r="M218" s="55"/>
      <c r="N218" s="55"/>
      <c r="O218" s="55"/>
      <c r="Q218" s="55"/>
      <c r="R218" s="55"/>
      <c r="S218" s="55"/>
    </row>
    <row r="219" spans="2:19" outlineLevel="1">
      <c r="B219" s="51" t="s">
        <v>167</v>
      </c>
      <c r="C219" s="52" t="s">
        <v>748</v>
      </c>
      <c r="D219" s="53" t="s">
        <v>749</v>
      </c>
      <c r="E219" s="48">
        <v>2996.8854674014365</v>
      </c>
      <c r="F219" s="49">
        <v>0</v>
      </c>
      <c r="G219" s="50">
        <v>2996.8854674014365</v>
      </c>
      <c r="H219" s="58"/>
      <c r="I219" s="48">
        <v>2996.885467401436</v>
      </c>
      <c r="J219" s="49">
        <v>0</v>
      </c>
      <c r="K219" s="50">
        <v>2996.885467401436</v>
      </c>
      <c r="M219" s="55"/>
      <c r="N219" s="55"/>
      <c r="O219" s="55"/>
      <c r="Q219" s="55"/>
      <c r="R219" s="55"/>
      <c r="S219" s="55"/>
    </row>
    <row r="220" spans="2:19" outlineLevel="1">
      <c r="B220" s="51" t="s">
        <v>167</v>
      </c>
      <c r="C220" s="52" t="s">
        <v>126</v>
      </c>
      <c r="D220" s="53" t="s">
        <v>349</v>
      </c>
      <c r="E220" s="48">
        <v>7709.6996049694208</v>
      </c>
      <c r="F220" s="49">
        <v>0</v>
      </c>
      <c r="G220" s="50">
        <v>7709.6996049694208</v>
      </c>
      <c r="H220" s="58"/>
      <c r="I220" s="48">
        <v>7709.6996049694199</v>
      </c>
      <c r="J220" s="49">
        <v>0</v>
      </c>
      <c r="K220" s="50">
        <v>7709.6996049694199</v>
      </c>
      <c r="M220" s="55"/>
      <c r="N220" s="55"/>
      <c r="O220" s="55"/>
      <c r="Q220" s="55"/>
      <c r="R220" s="55"/>
      <c r="S220" s="55"/>
    </row>
    <row r="221" spans="2:19" outlineLevel="1">
      <c r="B221" s="51" t="s">
        <v>167</v>
      </c>
      <c r="C221" s="52" t="s">
        <v>127</v>
      </c>
      <c r="D221" s="53" t="s">
        <v>350</v>
      </c>
      <c r="E221" s="48">
        <v>17780.857277531402</v>
      </c>
      <c r="F221" s="49">
        <v>508.14972684013679</v>
      </c>
      <c r="G221" s="50">
        <v>18289.007004371539</v>
      </c>
      <c r="H221" s="58"/>
      <c r="I221" s="48">
        <v>18237.084522568035</v>
      </c>
      <c r="J221" s="49">
        <v>51.922481803499998</v>
      </c>
      <c r="K221" s="50">
        <v>18289.007004371535</v>
      </c>
      <c r="M221" s="55"/>
      <c r="N221" s="55"/>
      <c r="O221" s="55"/>
      <c r="Q221" s="55"/>
      <c r="R221" s="55"/>
      <c r="S221" s="55"/>
    </row>
    <row r="222" spans="2:19" outlineLevel="1">
      <c r="B222" s="51" t="s">
        <v>167</v>
      </c>
      <c r="C222" s="52" t="s">
        <v>128</v>
      </c>
      <c r="D222" s="53" t="s">
        <v>351</v>
      </c>
      <c r="E222" s="48">
        <v>1454.457266520395</v>
      </c>
      <c r="F222" s="49">
        <v>0</v>
      </c>
      <c r="G222" s="50">
        <v>1454.457266520395</v>
      </c>
      <c r="H222" s="58"/>
      <c r="I222" s="48">
        <v>1454.4572665203948</v>
      </c>
      <c r="J222" s="49">
        <v>0</v>
      </c>
      <c r="K222" s="50">
        <v>1454.4572665203948</v>
      </c>
      <c r="M222" s="55"/>
      <c r="N222" s="55"/>
      <c r="O222" s="55"/>
      <c r="Q222" s="55"/>
      <c r="R222" s="55"/>
      <c r="S222" s="55"/>
    </row>
    <row r="223" spans="2:19">
      <c r="B223" s="39" t="s">
        <v>169</v>
      </c>
      <c r="C223" s="40" t="s">
        <v>170</v>
      </c>
      <c r="D223" s="41"/>
      <c r="E223" s="42">
        <v>38037.525565977026</v>
      </c>
      <c r="F223" s="43">
        <v>7.8564852642529512</v>
      </c>
      <c r="G223" s="44">
        <v>38045.382051241279</v>
      </c>
      <c r="H223" s="59"/>
      <c r="I223" s="42">
        <v>38102.638593524251</v>
      </c>
      <c r="J223" s="43">
        <v>3.40068805599326</v>
      </c>
      <c r="K223" s="44">
        <v>38106.039281580241</v>
      </c>
      <c r="L223" s="54"/>
      <c r="M223" s="55"/>
      <c r="N223" s="55"/>
      <c r="O223" s="55"/>
      <c r="Q223" s="55"/>
      <c r="R223" s="55"/>
      <c r="S223" s="55"/>
    </row>
    <row r="224" spans="2:19" outlineLevel="1">
      <c r="B224" s="51" t="s">
        <v>169</v>
      </c>
      <c r="C224" s="52" t="s">
        <v>129</v>
      </c>
      <c r="D224" s="53" t="s">
        <v>352</v>
      </c>
      <c r="E224" s="48">
        <v>38037.525565977026</v>
      </c>
      <c r="F224" s="49">
        <v>7.8564852642529512</v>
      </c>
      <c r="G224" s="50">
        <v>38045.382051241279</v>
      </c>
      <c r="H224" s="58"/>
      <c r="I224" s="48">
        <v>38102.638593524251</v>
      </c>
      <c r="J224" s="49">
        <v>3.40068805599326</v>
      </c>
      <c r="K224" s="50">
        <v>38106.039281580241</v>
      </c>
      <c r="M224" s="55"/>
      <c r="N224" s="55"/>
      <c r="O224" s="55"/>
      <c r="Q224" s="55"/>
      <c r="R224" s="55"/>
      <c r="S224" s="55"/>
    </row>
    <row r="225" spans="2:19">
      <c r="B225" s="39" t="s">
        <v>171</v>
      </c>
      <c r="C225" s="40" t="s">
        <v>172</v>
      </c>
      <c r="D225" s="41"/>
      <c r="E225" s="42">
        <v>33027.658047360361</v>
      </c>
      <c r="F225" s="43">
        <v>0.69278606423960976</v>
      </c>
      <c r="G225" s="44">
        <v>33028.3508334246</v>
      </c>
      <c r="H225" s="59"/>
      <c r="I225" s="42">
        <v>33877.258765566185</v>
      </c>
      <c r="J225" s="43">
        <v>658.54887539288904</v>
      </c>
      <c r="K225" s="44">
        <v>34535.807640959072</v>
      </c>
      <c r="L225" s="54"/>
      <c r="M225" s="55"/>
      <c r="N225" s="55"/>
      <c r="O225" s="55"/>
      <c r="Q225" s="55"/>
      <c r="R225" s="55"/>
      <c r="S225" s="55"/>
    </row>
    <row r="226" spans="2:19" outlineLevel="1">
      <c r="B226" s="51" t="s">
        <v>171</v>
      </c>
      <c r="C226" s="52" t="s">
        <v>203</v>
      </c>
      <c r="D226" s="53" t="s">
        <v>353</v>
      </c>
      <c r="E226" s="48">
        <v>15644.352478161558</v>
      </c>
      <c r="F226" s="49">
        <v>0</v>
      </c>
      <c r="G226" s="50">
        <v>15644.352478161558</v>
      </c>
      <c r="H226" s="58"/>
      <c r="I226" s="48">
        <v>15908.896150482717</v>
      </c>
      <c r="J226" s="49">
        <v>223.81080724997838</v>
      </c>
      <c r="K226" s="50">
        <v>16132.706957732695</v>
      </c>
      <c r="M226" s="55"/>
      <c r="N226" s="55"/>
      <c r="O226" s="55"/>
      <c r="Q226" s="55"/>
      <c r="R226" s="55"/>
      <c r="S226" s="55"/>
    </row>
    <row r="227" spans="2:19" outlineLevel="1">
      <c r="B227" s="51" t="s">
        <v>171</v>
      </c>
      <c r="C227" s="52" t="s">
        <v>130</v>
      </c>
      <c r="D227" s="53" t="s">
        <v>354</v>
      </c>
      <c r="E227" s="48">
        <v>11406.161740792151</v>
      </c>
      <c r="F227" s="49">
        <v>0</v>
      </c>
      <c r="G227" s="50">
        <v>11406.161740792151</v>
      </c>
      <c r="H227" s="58"/>
      <c r="I227" s="48">
        <v>11731.758919175012</v>
      </c>
      <c r="J227" s="49">
        <v>335.71621087496754</v>
      </c>
      <c r="K227" s="50">
        <v>12067.475130049979</v>
      </c>
      <c r="M227" s="55"/>
      <c r="N227" s="55"/>
      <c r="O227" s="55"/>
      <c r="Q227" s="55"/>
      <c r="R227" s="55"/>
      <c r="S227" s="55"/>
    </row>
    <row r="228" spans="2:19" outlineLevel="1">
      <c r="B228" s="51" t="s">
        <v>171</v>
      </c>
      <c r="C228" s="52" t="s">
        <v>131</v>
      </c>
      <c r="D228" s="53" t="s">
        <v>355</v>
      </c>
      <c r="E228" s="48">
        <v>4765.3845378392643</v>
      </c>
      <c r="F228" s="49">
        <v>0.69278606423960976</v>
      </c>
      <c r="G228" s="50">
        <v>4766.0773239035043</v>
      </c>
      <c r="H228" s="58"/>
      <c r="I228" s="48">
        <v>5024.8442780983487</v>
      </c>
      <c r="J228" s="49">
        <v>99.021857267943133</v>
      </c>
      <c r="K228" s="50">
        <v>5123.8661353662919</v>
      </c>
      <c r="M228" s="55"/>
      <c r="N228" s="55"/>
      <c r="O228" s="55"/>
      <c r="Q228" s="55"/>
      <c r="R228" s="55"/>
      <c r="S228" s="55"/>
    </row>
    <row r="229" spans="2:19" outlineLevel="1">
      <c r="B229" s="51" t="s">
        <v>171</v>
      </c>
      <c r="C229" s="52" t="s">
        <v>132</v>
      </c>
      <c r="D229" s="53" t="s">
        <v>750</v>
      </c>
      <c r="E229" s="48">
        <v>1211.759290567388</v>
      </c>
      <c r="F229" s="49">
        <v>0</v>
      </c>
      <c r="G229" s="50">
        <v>1211.759290567388</v>
      </c>
      <c r="H229" s="58"/>
      <c r="I229" s="48">
        <v>1211.7594178101058</v>
      </c>
      <c r="J229" s="49">
        <v>0</v>
      </c>
      <c r="K229" s="50">
        <v>1211.7594178101058</v>
      </c>
      <c r="M229" s="55"/>
      <c r="N229" s="55"/>
      <c r="O229" s="55"/>
      <c r="Q229" s="55"/>
      <c r="R229" s="55"/>
      <c r="S229" s="55"/>
    </row>
    <row r="230" spans="2:19">
      <c r="B230" s="39" t="s">
        <v>173</v>
      </c>
      <c r="C230" s="40" t="s">
        <v>174</v>
      </c>
      <c r="D230" s="41"/>
      <c r="E230" s="42">
        <v>2310.4231735136764</v>
      </c>
      <c r="F230" s="43">
        <v>8.577166754619725E-14</v>
      </c>
      <c r="G230" s="44">
        <v>2310.4231735136764</v>
      </c>
      <c r="H230" s="59"/>
      <c r="I230" s="42">
        <v>2437.4563414905715</v>
      </c>
      <c r="J230" s="43">
        <v>0</v>
      </c>
      <c r="K230" s="44">
        <v>2437.4563414905715</v>
      </c>
      <c r="L230" s="54"/>
      <c r="M230" s="55"/>
      <c r="N230" s="55"/>
      <c r="O230" s="55"/>
      <c r="Q230" s="55"/>
      <c r="R230" s="55"/>
      <c r="S230" s="55"/>
    </row>
    <row r="231" spans="2:19" outlineLevel="1">
      <c r="B231" s="51" t="s">
        <v>173</v>
      </c>
      <c r="C231" s="52" t="s">
        <v>133</v>
      </c>
      <c r="D231" s="53" t="s">
        <v>356</v>
      </c>
      <c r="E231" s="48">
        <v>235.02580257586965</v>
      </c>
      <c r="F231" s="49">
        <v>0</v>
      </c>
      <c r="G231" s="50">
        <v>235.02580257586965</v>
      </c>
      <c r="H231" s="58"/>
      <c r="I231" s="48">
        <v>235.02580257586965</v>
      </c>
      <c r="J231" s="49">
        <v>0</v>
      </c>
      <c r="K231" s="50">
        <v>235.02580257586965</v>
      </c>
      <c r="M231" s="55"/>
      <c r="N231" s="55"/>
      <c r="O231" s="55"/>
      <c r="Q231" s="55"/>
      <c r="R231" s="55"/>
      <c r="S231" s="55"/>
    </row>
    <row r="232" spans="2:19" outlineLevel="1">
      <c r="B232" s="51" t="s">
        <v>173</v>
      </c>
      <c r="C232" s="52" t="s">
        <v>134</v>
      </c>
      <c r="D232" s="53" t="s">
        <v>357</v>
      </c>
      <c r="E232" s="48">
        <v>2075.3973709378065</v>
      </c>
      <c r="F232" s="49">
        <v>8.577166754619725E-14</v>
      </c>
      <c r="G232" s="50">
        <v>2075.3973709378065</v>
      </c>
      <c r="H232" s="58"/>
      <c r="I232" s="48">
        <v>2202.4305389147021</v>
      </c>
      <c r="J232" s="49">
        <v>0</v>
      </c>
      <c r="K232" s="50">
        <v>2202.4305389147021</v>
      </c>
      <c r="M232" s="55"/>
      <c r="N232" s="55"/>
      <c r="O232" s="55"/>
      <c r="Q232" s="55"/>
      <c r="R232" s="55"/>
      <c r="S232" s="55"/>
    </row>
    <row r="233" spans="2:19">
      <c r="B233" s="39" t="s">
        <v>175</v>
      </c>
      <c r="C233" s="40" t="s">
        <v>176</v>
      </c>
      <c r="D233" s="41"/>
      <c r="E233" s="42">
        <v>18572.158051250011</v>
      </c>
      <c r="F233" s="43">
        <v>0</v>
      </c>
      <c r="G233" s="44">
        <v>18572.158051250011</v>
      </c>
      <c r="H233" s="59"/>
      <c r="I233" s="42">
        <v>18816.286743106368</v>
      </c>
      <c r="J233" s="43">
        <v>0</v>
      </c>
      <c r="K233" s="44">
        <v>18816.286743106368</v>
      </c>
      <c r="L233" s="54"/>
      <c r="M233" s="55"/>
      <c r="N233" s="55"/>
      <c r="O233" s="55"/>
      <c r="Q233" s="55"/>
      <c r="R233" s="55"/>
      <c r="S233" s="55"/>
    </row>
    <row r="234" spans="2:19" outlineLevel="1">
      <c r="B234" s="51" t="s">
        <v>175</v>
      </c>
      <c r="C234" s="52" t="s">
        <v>137</v>
      </c>
      <c r="D234" s="53" t="s">
        <v>358</v>
      </c>
      <c r="E234" s="48">
        <v>930.84678174488636</v>
      </c>
      <c r="F234" s="49">
        <v>0</v>
      </c>
      <c r="G234" s="50">
        <v>930.84678174488636</v>
      </c>
      <c r="H234" s="58"/>
      <c r="I234" s="48">
        <v>1004.6393729452576</v>
      </c>
      <c r="J234" s="49">
        <v>0</v>
      </c>
      <c r="K234" s="50">
        <v>1004.6393729452576</v>
      </c>
      <c r="M234" s="55"/>
      <c r="N234" s="55"/>
      <c r="O234" s="55"/>
      <c r="Q234" s="55"/>
      <c r="R234" s="55"/>
      <c r="S234" s="55"/>
    </row>
    <row r="235" spans="2:19" outlineLevel="1">
      <c r="B235" s="51" t="s">
        <v>175</v>
      </c>
      <c r="C235" s="52" t="s">
        <v>138</v>
      </c>
      <c r="D235" s="53" t="s">
        <v>359</v>
      </c>
      <c r="E235" s="48">
        <v>1174.15139388951</v>
      </c>
      <c r="F235" s="49">
        <v>0</v>
      </c>
      <c r="G235" s="50">
        <v>1174.15139388951</v>
      </c>
      <c r="H235" s="58"/>
      <c r="I235" s="48">
        <v>1190.194233417755</v>
      </c>
      <c r="J235" s="49">
        <v>0</v>
      </c>
      <c r="K235" s="50">
        <v>1190.194233417755</v>
      </c>
      <c r="M235" s="55"/>
      <c r="N235" s="55"/>
      <c r="O235" s="55"/>
      <c r="Q235" s="55"/>
      <c r="R235" s="55"/>
      <c r="S235" s="55"/>
    </row>
    <row r="236" spans="2:19" outlineLevel="1">
      <c r="B236" s="51" t="s">
        <v>175</v>
      </c>
      <c r="C236" s="52" t="s">
        <v>135</v>
      </c>
      <c r="D236" s="53" t="s">
        <v>360</v>
      </c>
      <c r="E236" s="48">
        <v>491.0362722582496</v>
      </c>
      <c r="F236" s="49">
        <v>0</v>
      </c>
      <c r="G236" s="50">
        <v>491.0362722582496</v>
      </c>
      <c r="H236" s="58"/>
      <c r="I236" s="48">
        <v>491.33214114744806</v>
      </c>
      <c r="J236" s="49">
        <v>0</v>
      </c>
      <c r="K236" s="50">
        <v>491.33214114744806</v>
      </c>
      <c r="M236" s="55"/>
      <c r="N236" s="55"/>
      <c r="O236" s="55"/>
      <c r="Q236" s="55"/>
      <c r="R236" s="55"/>
      <c r="S236" s="55"/>
    </row>
    <row r="237" spans="2:19" outlineLevel="1">
      <c r="B237" s="51" t="s">
        <v>175</v>
      </c>
      <c r="C237" s="52" t="s">
        <v>136</v>
      </c>
      <c r="D237" s="53" t="s">
        <v>361</v>
      </c>
      <c r="E237" s="48">
        <v>3258.3842172966174</v>
      </c>
      <c r="F237" s="49">
        <v>0</v>
      </c>
      <c r="G237" s="50">
        <v>3258.3842172966174</v>
      </c>
      <c r="H237" s="58"/>
      <c r="I237" s="48">
        <v>3258.384217296617</v>
      </c>
      <c r="J237" s="49">
        <v>0</v>
      </c>
      <c r="K237" s="50">
        <v>3258.384217296617</v>
      </c>
      <c r="M237" s="55"/>
      <c r="N237" s="55"/>
      <c r="O237" s="55"/>
      <c r="Q237" s="55"/>
      <c r="R237" s="55"/>
      <c r="S237" s="55"/>
    </row>
    <row r="238" spans="2:19" outlineLevel="1">
      <c r="B238" s="51" t="s">
        <v>175</v>
      </c>
      <c r="C238" s="52" t="s">
        <v>751</v>
      </c>
      <c r="D238" s="53" t="s">
        <v>752</v>
      </c>
      <c r="E238" s="48">
        <v>252.81817421647571</v>
      </c>
      <c r="F238" s="49">
        <v>0</v>
      </c>
      <c r="G238" s="50">
        <v>252.81817421647571</v>
      </c>
      <c r="H238" s="58"/>
      <c r="I238" s="48">
        <v>261.81150754115498</v>
      </c>
      <c r="J238" s="49">
        <v>0</v>
      </c>
      <c r="K238" s="50">
        <v>261.81150754115498</v>
      </c>
      <c r="M238" s="55"/>
      <c r="N238" s="55"/>
      <c r="O238" s="55"/>
      <c r="Q238" s="55"/>
      <c r="R238" s="55"/>
      <c r="S238" s="55"/>
    </row>
    <row r="239" spans="2:19" outlineLevel="1">
      <c r="B239" s="51" t="s">
        <v>175</v>
      </c>
      <c r="C239" s="52" t="s">
        <v>139</v>
      </c>
      <c r="D239" s="53" t="s">
        <v>362</v>
      </c>
      <c r="E239" s="48">
        <v>12464.921211844272</v>
      </c>
      <c r="F239" s="49">
        <v>0</v>
      </c>
      <c r="G239" s="50">
        <v>12464.921211844272</v>
      </c>
      <c r="H239" s="58"/>
      <c r="I239" s="48">
        <v>12609.925270758135</v>
      </c>
      <c r="J239" s="49">
        <v>0</v>
      </c>
      <c r="K239" s="50">
        <v>12609.925270758135</v>
      </c>
      <c r="M239" s="55"/>
      <c r="N239" s="55"/>
      <c r="O239" s="55"/>
      <c r="Q239" s="55"/>
      <c r="R239" s="55"/>
      <c r="S239" s="55"/>
    </row>
    <row r="240" spans="2:19">
      <c r="B240" s="39" t="s">
        <v>177</v>
      </c>
      <c r="C240" s="40" t="s">
        <v>178</v>
      </c>
      <c r="D240" s="41"/>
      <c r="E240" s="42">
        <v>10948.03671320118</v>
      </c>
      <c r="F240" s="43">
        <v>0</v>
      </c>
      <c r="G240" s="44">
        <v>10948.03671320118</v>
      </c>
      <c r="H240" s="59"/>
      <c r="I240" s="42">
        <v>10948.036713201178</v>
      </c>
      <c r="J240" s="43">
        <v>0</v>
      </c>
      <c r="K240" s="44">
        <v>10948.036713201178</v>
      </c>
      <c r="L240" s="54"/>
      <c r="M240" s="55"/>
      <c r="N240" s="55"/>
      <c r="O240" s="55"/>
      <c r="Q240" s="55"/>
      <c r="R240" s="55"/>
      <c r="S240" s="55"/>
    </row>
    <row r="241" spans="2:19" outlineLevel="1">
      <c r="B241" s="61" t="s">
        <v>177</v>
      </c>
      <c r="C241" s="62" t="s">
        <v>140</v>
      </c>
      <c r="D241" s="63" t="s">
        <v>363</v>
      </c>
      <c r="E241" s="64">
        <v>10948.03671320118</v>
      </c>
      <c r="F241" s="65">
        <v>0</v>
      </c>
      <c r="G241" s="66">
        <v>10948.03671320118</v>
      </c>
      <c r="H241" s="58"/>
      <c r="I241" s="64">
        <v>10948.036713201178</v>
      </c>
      <c r="J241" s="65">
        <v>0</v>
      </c>
      <c r="K241" s="66">
        <v>10948.036713201178</v>
      </c>
      <c r="M241" s="55"/>
      <c r="N241" s="55"/>
      <c r="O241" s="55"/>
      <c r="Q241" s="55"/>
      <c r="R241" s="55"/>
      <c r="S241" s="55"/>
    </row>
  </sheetData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% SECCION_ECONOMIA 2022</vt:lpstr>
      <vt:lpstr>OFERTA_UTILIZACIÓN 2022</vt:lpstr>
      <vt:lpstr>% SECCION_ECONOMIA 2023</vt:lpstr>
      <vt:lpstr>OFERTA_UTILIZACIÓN 2023</vt:lpstr>
      <vt:lpstr>'% SECCION_ECONOMIA 2022'!Print_Titles</vt:lpstr>
      <vt:lpstr>'% SECCION_ECONOMIA 2023'!Print_Titles</vt:lpstr>
      <vt:lpstr>'OFERTA_UTILIZACIÓN 2022'!Print_Titles</vt:lpstr>
      <vt:lpstr>'OFERTA_UTILIZACIÓN 2023'!Print_Titles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Carlos Monzón Suazo</dc:creator>
  <cp:lastModifiedBy>Ernestina Brigida Perez Ardiles</cp:lastModifiedBy>
  <cp:lastPrinted>2024-05-31T22:49:31Z</cp:lastPrinted>
  <dcterms:created xsi:type="dcterms:W3CDTF">2019-11-19T01:50:15Z</dcterms:created>
  <dcterms:modified xsi:type="dcterms:W3CDTF">2026-02-11T23:43:23Z</dcterms:modified>
</cp:coreProperties>
</file>