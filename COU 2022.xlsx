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ernestina_perez_un_org/Documents/0Escritorio/ESCRITORIO/AT Paises/AT Guatemala/2025/AT Mayo/IPP/"/>
    </mc:Choice>
  </mc:AlternateContent>
  <xr:revisionPtr revIDLastSave="4" documentId="8_{C426BEDC-8A6A-415F-BF53-8A6C112BE00F}" xr6:coauthVersionLast="47" xr6:coauthVersionMax="47" xr10:uidLastSave="{108B3A15-8184-4600-AD90-285616F05AEA}"/>
  <bookViews>
    <workbookView xWindow="-110" yWindow="-110" windowWidth="19420" windowHeight="10300" xr2:uid="{F68C880C-C3A6-4211-8FFC-3DD03F7EAD00}"/>
  </bookViews>
  <sheets>
    <sheet name="COU 202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3" i="1"/>
  <c r="C23" i="1"/>
  <c r="E23" i="1"/>
</calcChain>
</file>

<file path=xl/sharedStrings.xml><?xml version="1.0" encoding="utf-8"?>
<sst xmlns="http://schemas.openxmlformats.org/spreadsheetml/2006/main" count="43" uniqueCount="43">
  <si>
    <t>SECCIÓN</t>
  </si>
  <si>
    <t>NAEG</t>
  </si>
  <si>
    <t>PRODUCCIÓN</t>
  </si>
  <si>
    <t>VALOR AGREGADO</t>
  </si>
  <si>
    <t>A</t>
  </si>
  <si>
    <t>Agricultura, ganadería, silvicultura y pesca</t>
  </si>
  <si>
    <t>B</t>
  </si>
  <si>
    <t>Explotación de minas y canteras</t>
  </si>
  <si>
    <t>C</t>
  </si>
  <si>
    <t>Industrias manufactureras</t>
  </si>
  <si>
    <t>D</t>
  </si>
  <si>
    <t>Suministro de electricidad, gas, vapor y aire acondicionado</t>
  </si>
  <si>
    <t>F</t>
  </si>
  <si>
    <t>Construcción</t>
  </si>
  <si>
    <t>G</t>
  </si>
  <si>
    <t>Comercio al por mayor y al por menor; Mantenimiento y reparación de vehículos automotores y motocicletas</t>
  </si>
  <si>
    <t>H</t>
  </si>
  <si>
    <t>Transporte y almacenamiento</t>
  </si>
  <si>
    <t>I</t>
  </si>
  <si>
    <t>Actividades de alojamiento y de servicio de comidas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</si>
  <si>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</si>
  <si>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</si>
  <si>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</si>
  <si>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</si>
  <si>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</si>
  <si>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</si>
  <si>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</si>
  <si>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Actividades profesionales, científicas y técnicas</t>
  </si>
  <si>
    <t>N</t>
  </si>
  <si>
    <t>Actividades de servicios administrativos y de apoyo</t>
  </si>
  <si>
    <t>O</t>
  </si>
  <si>
    <t>Administración pública y defensa; planes de seguridad social de afiliación obligatoria</t>
  </si>
  <si>
    <t>P</t>
  </si>
  <si>
    <t>Enseñanza</t>
  </si>
  <si>
    <t>Q</t>
  </si>
  <si>
    <t>Actividades de atención de la salud humana y de asistencia social</t>
  </si>
  <si>
    <t>R</t>
  </si>
  <si>
    <t>Actividades artísticas, de entretenimiento y recreativas</t>
  </si>
  <si>
    <t>S</t>
  </si>
  <si>
    <t>Otras actividades de servicios</t>
  </si>
  <si>
    <t>T</t>
  </si>
  <si>
    <t>Actividades de los hogares como empleadores; actividades no diferenciadas de los hogares como productores de bienes y servicios para uso propio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</si>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</sst>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"/>
    <numFmt numFmtId="165" formatCode="_ * #,##0.0_ ;_ * \-#,##0.0_ ;_ * &quot;-&quot;??_ ;_ @_ 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rial Unicode MS"/>
      <family val="2"/>
    </font>
    <font>
      <b/>
      <sz val="11"/>
      <color theme="1"/>
      <name val="Arial Unicode MS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CC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left" vertical="center"/>
    </xf>
    <xf numFmtId="164" fontId="3" fillId="3" borderId="4" xfId="0" applyNumberFormat="1" applyFont="1" applyFill="1" applyBorder="1" applyAlignment="1">
      <alignment vertical="center"/>
    </xf>
    <xf numFmtId="164" fontId="3" fillId="3" borderId="5" xfId="0" applyNumberFormat="1" applyFont="1" applyFill="1" applyBorder="1" applyAlignment="1">
      <alignment vertical="center"/>
    </xf>
    <xf numFmtId="10" fontId="0" fillId="0" borderId="0" xfId="2" applyNumberFormat="1" applyFont="1" applyAlignment="1">
      <alignment vertical="center"/>
    </xf>
    <xf numFmtId="165" fontId="0" fillId="0" borderId="0" xfId="1" applyNumberFormat="1" applyFont="1" applyAlignment="1">
      <alignment vertical="center"/>
    </xf>
    <xf numFmtId="164" fontId="0" fillId="0" borderId="0" xfId="0" applyNumberFormat="1"/>
    <xf numFmtId="10" fontId="0" fillId="0" borderId="0" xfId="2" applyNumberFormat="1" applyFont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theme="0" tint="-0.14996795556505021"/>
      </font>
    </dxf>
    <dxf>
      <font>
        <color theme="0" tint="-0.1499679555650502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218FF-C6EA-4E6E-9A25-10DB516D2A2B}">
  <dimension ref="A2:G23"/>
  <sheetViews>
    <sheetView tabSelected="1" workbookViewId="0">
      <selection activeCell="G2" sqref="G2"/>
    </sheetView>
  </sheetViews>
  <sheetFormatPr defaultRowHeight="14.5"/>
  <cols>
    <col min="2" max="2" width="31.81640625" customWidth="1"/>
    <col min="3" max="3" width="22.54296875" customWidth="1"/>
    <col min="5" max="5" width="21.453125" customWidth="1"/>
  </cols>
  <sheetData>
    <row r="2" spans="1:7">
      <c r="A2" s="1" t="s">
        <v>0</v>
      </c>
      <c r="B2" s="1" t="s">
        <v>1</v>
      </c>
      <c r="C2" s="1" t="s">
        <v>2</v>
      </c>
      <c r="D2" s="3"/>
      <c r="E2" s="2" t="s">
        <v>3</v>
      </c>
      <c r="F2" s="2" t="s">
        <v>42</v>
      </c>
    </row>
    <row r="3" spans="1:7">
      <c r="A3" s="4" t="s">
        <v>4</v>
      </c>
      <c r="B3" s="5" t="s">
        <v>5</v>
      </c>
      <c r="C3" s="6">
        <v>130394.42220950639</v>
      </c>
      <c r="D3" s="3"/>
      <c r="E3" s="7">
        <v>67303.208900464291</v>
      </c>
      <c r="F3" s="8">
        <v>0.12465740057951304</v>
      </c>
      <c r="G3" s="11">
        <f>C3/C$23</f>
        <v>0.12986878662322479</v>
      </c>
    </row>
    <row r="4" spans="1:7">
      <c r="A4" s="4" t="s">
        <v>6</v>
      </c>
      <c r="B4" s="5" t="s">
        <v>7</v>
      </c>
      <c r="C4" s="6">
        <v>7478.5256330968132</v>
      </c>
      <c r="D4" s="9"/>
      <c r="E4" s="7">
        <v>4226.4076001514932</v>
      </c>
      <c r="F4" s="8">
        <v>7.8280514975675782E-3</v>
      </c>
      <c r="G4" s="11"/>
    </row>
    <row r="5" spans="1:7">
      <c r="A5" s="4" t="s">
        <v>8</v>
      </c>
      <c r="B5" s="5" t="s">
        <v>9</v>
      </c>
      <c r="C5" s="6">
        <v>290729.34705098363</v>
      </c>
      <c r="D5" s="9"/>
      <c r="E5" s="7">
        <v>104349.64413197397</v>
      </c>
      <c r="F5" s="8">
        <v>0.19327392558840351</v>
      </c>
      <c r="G5" s="11">
        <f>C5/C$23</f>
        <v>0.28955738211416387</v>
      </c>
    </row>
    <row r="6" spans="1:7">
      <c r="A6" s="4" t="s">
        <v>10</v>
      </c>
      <c r="B6" s="5" t="s">
        <v>11</v>
      </c>
      <c r="C6" s="6">
        <v>27848.680540852954</v>
      </c>
      <c r="D6" s="9"/>
      <c r="E6" s="7">
        <v>17019.65984649547</v>
      </c>
      <c r="F6" s="8">
        <v>3.1523408614132262E-2</v>
      </c>
      <c r="G6" s="11"/>
    </row>
    <row r="7" spans="1:7">
      <c r="A7" s="4" t="s">
        <v>12</v>
      </c>
      <c r="B7" s="5" t="s">
        <v>13</v>
      </c>
      <c r="C7" s="6">
        <v>94365.673229565873</v>
      </c>
      <c r="D7" s="9"/>
      <c r="E7" s="7">
        <v>42109.533179720645</v>
      </c>
      <c r="F7" s="8">
        <v>7.7994274441861272E-2</v>
      </c>
      <c r="G7" s="11"/>
    </row>
    <row r="8" spans="1:7">
      <c r="A8" s="4" t="s">
        <v>14</v>
      </c>
      <c r="B8" s="5" t="s">
        <v>15</v>
      </c>
      <c r="C8" s="6">
        <v>207299.06309842371</v>
      </c>
      <c r="D8" s="9"/>
      <c r="E8" s="7">
        <v>152650.8103479053</v>
      </c>
      <c r="F8" s="8"/>
      <c r="G8" s="11"/>
    </row>
    <row r="9" spans="1:7">
      <c r="A9" s="4" t="s">
        <v>16</v>
      </c>
      <c r="B9" s="5" t="s">
        <v>17</v>
      </c>
      <c r="C9" s="6">
        <v>40619.083515529441</v>
      </c>
      <c r="D9" s="9"/>
      <c r="E9" s="7">
        <v>22115.181092845429</v>
      </c>
      <c r="F9" s="8">
        <v>4.0961211707697454E-2</v>
      </c>
      <c r="G9" s="11"/>
    </row>
    <row r="10" spans="1:7">
      <c r="A10" s="4" t="s">
        <v>18</v>
      </c>
      <c r="B10" s="5" t="s">
        <v>19</v>
      </c>
      <c r="C10" s="6">
        <v>52059.263219826214</v>
      </c>
      <c r="D10" s="9"/>
      <c r="E10" s="7">
        <v>20838.978143122407</v>
      </c>
      <c r="F10" s="8">
        <v>3.8597458999269293E-2</v>
      </c>
      <c r="G10" s="11"/>
    </row>
    <row r="11" spans="1:7">
      <c r="A11" s="4" t="s">
        <v>20</v>
      </c>
      <c r="B11" s="5" t="s">
        <v>21</v>
      </c>
      <c r="C11" s="6">
        <v>43043.220921714732</v>
      </c>
      <c r="D11" s="9"/>
      <c r="E11" s="7">
        <v>25081.17145240464</v>
      </c>
      <c r="F11" s="8">
        <v>4.6454748411324021E-2</v>
      </c>
      <c r="G11" s="11"/>
    </row>
    <row r="12" spans="1:7">
      <c r="A12" s="4" t="s">
        <v>22</v>
      </c>
      <c r="B12" s="5" t="s">
        <v>23</v>
      </c>
      <c r="C12" s="6">
        <v>47371.249432569428</v>
      </c>
      <c r="D12" s="9"/>
      <c r="E12" s="7">
        <v>28679.159469688439</v>
      </c>
      <c r="F12" s="8">
        <v>5.3118856124436939E-2</v>
      </c>
      <c r="G12" s="11"/>
    </row>
    <row r="13" spans="1:7">
      <c r="A13" s="4" t="s">
        <v>24</v>
      </c>
      <c r="B13" s="5" t="s">
        <v>25</v>
      </c>
      <c r="C13" s="6">
        <v>65715.297874034513</v>
      </c>
      <c r="D13" s="9"/>
      <c r="E13" s="7">
        <v>57660.124075633081</v>
      </c>
      <c r="F13" s="8">
        <v>0.10679670853422016</v>
      </c>
      <c r="G13" s="11"/>
    </row>
    <row r="14" spans="1:7">
      <c r="A14" s="4" t="s">
        <v>26</v>
      </c>
      <c r="B14" s="5" t="s">
        <v>27</v>
      </c>
      <c r="C14" s="6">
        <v>25435.879476079244</v>
      </c>
      <c r="D14" s="9"/>
      <c r="E14" s="7">
        <v>17230.922806513041</v>
      </c>
      <c r="F14" s="8">
        <v>3.1914704837072719E-2</v>
      </c>
      <c r="G14" s="11"/>
    </row>
    <row r="15" spans="1:7">
      <c r="A15" s="4" t="s">
        <v>28</v>
      </c>
      <c r="B15" s="5" t="s">
        <v>29</v>
      </c>
      <c r="C15" s="6">
        <v>31975.333063662074</v>
      </c>
      <c r="D15" s="9"/>
      <c r="E15" s="7">
        <v>24763.186454695315</v>
      </c>
      <c r="F15" s="8">
        <v>4.5865784171946519E-2</v>
      </c>
      <c r="G15" s="11"/>
    </row>
    <row r="16" spans="1:7">
      <c r="A16" s="4" t="s">
        <v>30</v>
      </c>
      <c r="B16" s="5" t="s">
        <v>31</v>
      </c>
      <c r="C16" s="6">
        <v>47673.317258153344</v>
      </c>
      <c r="D16" s="9"/>
      <c r="E16" s="7">
        <v>29805.270322753662</v>
      </c>
      <c r="F16" s="8">
        <v>5.5204611826146437E-2</v>
      </c>
      <c r="G16" s="11"/>
    </row>
    <row r="17" spans="1:7">
      <c r="A17" s="4" t="s">
        <v>32</v>
      </c>
      <c r="B17" s="5" t="s">
        <v>33</v>
      </c>
      <c r="C17" s="6">
        <v>36539.953621206718</v>
      </c>
      <c r="D17" s="9"/>
      <c r="E17" s="7">
        <v>32250.741526638525</v>
      </c>
      <c r="F17" s="8">
        <v>5.9734055346724789E-2</v>
      </c>
      <c r="G17" s="11"/>
    </row>
    <row r="18" spans="1:7">
      <c r="A18" s="4" t="s">
        <v>34</v>
      </c>
      <c r="B18" s="5" t="s">
        <v>35</v>
      </c>
      <c r="C18" s="6">
        <v>31778.346381149342</v>
      </c>
      <c r="D18" s="9"/>
      <c r="E18" s="7">
        <v>20836.071965852872</v>
      </c>
      <c r="F18" s="8">
        <v>3.8592076246946452E-2</v>
      </c>
      <c r="G18" s="11"/>
    </row>
    <row r="19" spans="1:7">
      <c r="A19" s="4" t="s">
        <v>36</v>
      </c>
      <c r="B19" s="5" t="s">
        <v>37</v>
      </c>
      <c r="C19" s="6">
        <v>3386.143406232989</v>
      </c>
      <c r="D19" s="9"/>
      <c r="E19" s="7">
        <v>1927.5855475325809</v>
      </c>
      <c r="F19" s="8">
        <v>3.570228042252994E-3</v>
      </c>
      <c r="G19" s="11"/>
    </row>
    <row r="20" spans="1:7">
      <c r="A20" s="4" t="s">
        <v>38</v>
      </c>
      <c r="B20" s="5" t="s">
        <v>39</v>
      </c>
      <c r="C20" s="6">
        <v>17276.657985194684</v>
      </c>
      <c r="D20" s="3"/>
      <c r="E20" s="7">
        <v>13351.553960685336</v>
      </c>
      <c r="F20" s="8">
        <v>2.4729430254916928E-2</v>
      </c>
      <c r="G20" s="11"/>
    </row>
    <row r="21" spans="1:7">
      <c r="A21" s="4" t="s">
        <v>40</v>
      </c>
      <c r="B21" s="5" t="s">
        <v>41</v>
      </c>
      <c r="C21" s="6">
        <v>10357.041057643701</v>
      </c>
      <c r="D21" s="3"/>
      <c r="E21" s="7">
        <v>10357.041057643701</v>
      </c>
      <c r="F21" s="8">
        <v>1.918306477556745E-2</v>
      </c>
      <c r="G21" s="11"/>
    </row>
    <row r="23" spans="1:7">
      <c r="C23" s="10">
        <f>SUM(C3:C21)-C8</f>
        <v>1004047.4358770023</v>
      </c>
      <c r="E23" s="10">
        <f>SUM(E3:E21)-E8</f>
        <v>539905.44153481501</v>
      </c>
    </row>
  </sheetData>
  <conditionalFormatting sqref="C3:C21">
    <cfRule type="cellIs" dxfId="1" priority="2" operator="equal">
      <formula>0</formula>
    </cfRule>
  </conditionalFormatting>
  <conditionalFormatting sqref="E3:E21">
    <cfRule type="cellIs" dxfId="0" priority="1" operator="equal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06bed3f-efae-4d70-a15b-866bb27c918d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 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Ernestina Brigida Perez Ardiles</dc:creator>
  <cp:lastModifiedBy>Ernestina Brigida Perez Ardiles</cp:lastModifiedBy>
  <dcterms:created xsi:type="dcterms:W3CDTF">2025-05-28T08:58:23Z</dcterms:created>
  <dcterms:modified xsi:type="dcterms:W3CDTF">2025-10-01T16:56:25Z</dcterms:modified>
</cp:coreProperties>
</file>