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1748" documentId="8_{59BD14C6-FB91-4C07-B389-042D0C2759CC}" xr6:coauthVersionLast="47" xr6:coauthVersionMax="47" xr10:uidLastSave="{AFE98276-8B27-4C8F-BAC6-5C93E3495EEE}"/>
  <bookViews>
    <workbookView xWindow="-110" yWindow="-110" windowWidth="19420" windowHeight="10300" activeTab="4" xr2:uid="{68FD1FFA-4BDE-43BC-8514-E7A9C6A7583A}"/>
  </bookViews>
  <sheets>
    <sheet name="Estructura 2022" sheetId="3" r:id="rId1"/>
    <sheet name="Sheet1" sheetId="4" r:id="rId2"/>
    <sheet name="Base_revision" sheetId="1" r:id="rId3"/>
    <sheet name="Sheet2" sheetId="5" r:id="rId4"/>
    <sheet name="Sheet6" sheetId="9" r:id="rId5"/>
    <sheet name="Sheet4" sheetId="7" r:id="rId6"/>
    <sheet name="Sheet5" sheetId="8" r:id="rId7"/>
    <sheet name="consultas" sheetId="2" r:id="rId8"/>
  </sheets>
  <externalReferences>
    <externalReference r:id="rId9"/>
  </externalReferences>
  <definedNames>
    <definedName name="_xlnm._FilterDatabase" localSheetId="2" hidden="1">Base_revision!$T$2:$AA$307</definedName>
    <definedName name="_xlnm._FilterDatabase" localSheetId="0" hidden="1">'Estructura 2022'!$A$1:$C$306</definedName>
    <definedName name="_xlnm._FilterDatabase" localSheetId="1" hidden="1">Sheet1!$A$1:$H$131</definedName>
    <definedName name="_xlnm._FilterDatabase" localSheetId="3" hidden="1">Sheet2!$A$515:$E$725</definedName>
    <definedName name="_xlnm._FilterDatabase" localSheetId="5" hidden="1">Sheet4!$A$1:$A$48</definedName>
    <definedName name="_xlnm._FilterDatabase" localSheetId="4" hidden="1">Sheet6!$A$1:$E$212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" i="9" l="1"/>
  <c r="E209" i="9" s="1"/>
  <c r="E205" i="9"/>
  <c r="E204" i="9" s="1"/>
  <c r="E198" i="9"/>
  <c r="E197" i="9" s="1"/>
  <c r="E190" i="9"/>
  <c r="E189" i="9" s="1"/>
  <c r="E181" i="9"/>
  <c r="E180" i="9" s="1"/>
  <c r="E177" i="9"/>
  <c r="E175" i="9"/>
  <c r="E171" i="9"/>
  <c r="E169" i="9"/>
  <c r="E161" i="9"/>
  <c r="E160" i="9" s="1"/>
  <c r="E157" i="9"/>
  <c r="E156" i="9" s="1"/>
  <c r="E146" i="9"/>
  <c r="E142" i="9"/>
  <c r="E140" i="9"/>
  <c r="E133" i="9"/>
  <c r="E131" i="9"/>
  <c r="E128" i="9"/>
  <c r="E127" i="9" s="1"/>
  <c r="E122" i="9"/>
  <c r="E121" i="9" s="1"/>
  <c r="E116" i="9"/>
  <c r="E112" i="9"/>
  <c r="E107" i="9"/>
  <c r="E106" i="9" s="1"/>
  <c r="E95" i="9"/>
  <c r="E94" i="9" s="1"/>
  <c r="E89" i="9"/>
  <c r="E82" i="9"/>
  <c r="E81" i="9" s="1"/>
  <c r="E78" i="9"/>
  <c r="E76" i="9"/>
  <c r="E72" i="9"/>
  <c r="E64" i="9"/>
  <c r="E62" i="9"/>
  <c r="E58" i="9"/>
  <c r="E55" i="9"/>
  <c r="E53" i="9"/>
  <c r="E49" i="9"/>
  <c r="E46" i="9"/>
  <c r="E43" i="9"/>
  <c r="E41" i="9"/>
  <c r="E34" i="9"/>
  <c r="E29" i="9"/>
  <c r="E14" i="9"/>
  <c r="E12" i="9"/>
  <c r="E9" i="9"/>
  <c r="E6" i="9"/>
  <c r="E4" i="9"/>
  <c r="F723" i="5"/>
  <c r="F722" i="5" s="1"/>
  <c r="F718" i="5"/>
  <c r="F717" i="5" s="1"/>
  <c r="F711" i="5"/>
  <c r="F710" i="5" s="1"/>
  <c r="F703" i="5"/>
  <c r="F702" i="5" s="1"/>
  <c r="F693" i="5"/>
  <c r="F694" i="5"/>
  <c r="F690" i="5"/>
  <c r="F688" i="5"/>
  <c r="F684" i="5"/>
  <c r="F682" i="5"/>
  <c r="F674" i="5"/>
  <c r="F673" i="5" s="1"/>
  <c r="F670" i="5"/>
  <c r="F669" i="5" s="1"/>
  <c r="F659" i="5"/>
  <c r="F655" i="5"/>
  <c r="F653" i="5"/>
  <c r="F646" i="5"/>
  <c r="F644" i="5"/>
  <c r="F643" i="5" s="1"/>
  <c r="F641" i="5"/>
  <c r="F640" i="5" s="1"/>
  <c r="F635" i="5"/>
  <c r="F634" i="5" s="1"/>
  <c r="F629" i="5"/>
  <c r="F625" i="5"/>
  <c r="F620" i="5"/>
  <c r="F619" i="5" s="1"/>
  <c r="F608" i="5"/>
  <c r="F607" i="5" s="1"/>
  <c r="F602" i="5"/>
  <c r="F595" i="5"/>
  <c r="F591" i="5"/>
  <c r="F589" i="5"/>
  <c r="F585" i="5"/>
  <c r="F577" i="5"/>
  <c r="F575" i="5"/>
  <c r="F571" i="5"/>
  <c r="F568" i="5"/>
  <c r="F566" i="5"/>
  <c r="F562" i="5"/>
  <c r="F559" i="5"/>
  <c r="F556" i="5"/>
  <c r="F554" i="5"/>
  <c r="F547" i="5"/>
  <c r="F542" i="5"/>
  <c r="F527" i="5"/>
  <c r="F525" i="5"/>
  <c r="F522" i="5"/>
  <c r="F519" i="5"/>
  <c r="F517" i="5"/>
  <c r="E543" i="5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G77" i="8"/>
  <c r="F77" i="8"/>
  <c r="F76" i="8"/>
  <c r="G76" i="8" s="1"/>
  <c r="F75" i="8"/>
  <c r="G75" i="8" s="1"/>
  <c r="F74" i="8"/>
  <c r="G74" i="8" s="1"/>
  <c r="G73" i="8"/>
  <c r="F73" i="8"/>
  <c r="F72" i="8"/>
  <c r="G72" i="8" s="1"/>
  <c r="F71" i="8"/>
  <c r="G71" i="8" s="1"/>
  <c r="F70" i="8"/>
  <c r="G70" i="8" s="1"/>
  <c r="G69" i="8"/>
  <c r="F69" i="8"/>
  <c r="F68" i="8"/>
  <c r="G68" i="8" s="1"/>
  <c r="F67" i="8"/>
  <c r="G67" i="8" s="1"/>
  <c r="F66" i="8"/>
  <c r="G66" i="8" s="1"/>
  <c r="G65" i="8"/>
  <c r="F65" i="8"/>
  <c r="F57" i="8"/>
  <c r="F56" i="8"/>
  <c r="G56" i="8" s="1"/>
  <c r="F55" i="8"/>
  <c r="G55" i="8" s="1"/>
  <c r="G64" i="8"/>
  <c r="G63" i="8"/>
  <c r="G62" i="8"/>
  <c r="G61" i="8"/>
  <c r="G60" i="8"/>
  <c r="G59" i="8"/>
  <c r="G58" i="8"/>
  <c r="G57" i="8"/>
  <c r="G54" i="8"/>
  <c r="G53" i="8"/>
  <c r="G52" i="8"/>
  <c r="G51" i="8"/>
  <c r="G50" i="8"/>
  <c r="G49" i="8"/>
  <c r="G48" i="8"/>
  <c r="G47" i="8"/>
  <c r="G46" i="8"/>
  <c r="G45" i="8"/>
  <c r="G44" i="8"/>
  <c r="G43" i="8"/>
  <c r="F64" i="8"/>
  <c r="F63" i="8"/>
  <c r="F62" i="8"/>
  <c r="F61" i="8"/>
  <c r="F60" i="8"/>
  <c r="F59" i="8"/>
  <c r="F58" i="8"/>
  <c r="F54" i="8"/>
  <c r="F53" i="8"/>
  <c r="F52" i="8"/>
  <c r="F51" i="8"/>
  <c r="F50" i="8"/>
  <c r="F49" i="8"/>
  <c r="F48" i="8"/>
  <c r="F47" i="8"/>
  <c r="F46" i="8"/>
  <c r="F45" i="8"/>
  <c r="F44" i="8"/>
  <c r="F43" i="8"/>
  <c r="F37" i="8"/>
  <c r="G37" i="8" s="1"/>
  <c r="F36" i="8"/>
  <c r="G36" i="8" s="1"/>
  <c r="F32" i="8"/>
  <c r="G32" i="8" s="1"/>
  <c r="F31" i="8"/>
  <c r="G31" i="8" s="1"/>
  <c r="G42" i="8"/>
  <c r="G41" i="8"/>
  <c r="G40" i="8"/>
  <c r="G39" i="8"/>
  <c r="G38" i="8"/>
  <c r="G35" i="8"/>
  <c r="G34" i="8"/>
  <c r="G33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F42" i="8"/>
  <c r="F41" i="8"/>
  <c r="F40" i="8"/>
  <c r="F39" i="8"/>
  <c r="F38" i="8"/>
  <c r="F35" i="8"/>
  <c r="F34" i="8"/>
  <c r="F33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725" i="5"/>
  <c r="B724" i="5"/>
  <c r="B721" i="5"/>
  <c r="B720" i="5"/>
  <c r="B719" i="5"/>
  <c r="B718" i="5"/>
  <c r="B716" i="5"/>
  <c r="B715" i="5"/>
  <c r="B714" i="5"/>
  <c r="B713" i="5"/>
  <c r="B712" i="5"/>
  <c r="B709" i="5"/>
  <c r="B708" i="5"/>
  <c r="B707" i="5"/>
  <c r="B706" i="5"/>
  <c r="B705" i="5"/>
  <c r="B704" i="5"/>
  <c r="B701" i="5"/>
  <c r="B700" i="5"/>
  <c r="B699" i="5"/>
  <c r="B698" i="5"/>
  <c r="B697" i="5"/>
  <c r="B696" i="5"/>
  <c r="B695" i="5"/>
  <c r="B694" i="5"/>
  <c r="B692" i="5"/>
  <c r="B691" i="5"/>
  <c r="B690" i="5"/>
  <c r="B689" i="5"/>
  <c r="B688" i="5"/>
  <c r="B687" i="5"/>
  <c r="B686" i="5"/>
  <c r="B685" i="5"/>
  <c r="B684" i="5"/>
  <c r="B683" i="5"/>
  <c r="B682" i="5"/>
  <c r="B680" i="5"/>
  <c r="B679" i="5"/>
  <c r="B678" i="5"/>
  <c r="B677" i="5"/>
  <c r="B676" i="5"/>
  <c r="B675" i="5"/>
  <c r="B674" i="5"/>
  <c r="B672" i="5"/>
  <c r="B671" i="5"/>
  <c r="B670" i="5"/>
  <c r="B668" i="5"/>
  <c r="B667" i="5"/>
  <c r="B666" i="5"/>
  <c r="B665" i="5"/>
  <c r="B664" i="5"/>
  <c r="B663" i="5"/>
  <c r="B662" i="5"/>
  <c r="B661" i="5"/>
  <c r="B660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5" i="5"/>
  <c r="B644" i="5"/>
  <c r="B642" i="5"/>
  <c r="B639" i="5"/>
  <c r="B638" i="5"/>
  <c r="B637" i="5"/>
  <c r="B636" i="5"/>
  <c r="B633" i="5"/>
  <c r="B632" i="5"/>
  <c r="B631" i="5"/>
  <c r="B630" i="5"/>
  <c r="B629" i="5"/>
  <c r="B628" i="5"/>
  <c r="B627" i="5"/>
  <c r="B626" i="5"/>
  <c r="B625" i="5"/>
  <c r="B623" i="5"/>
  <c r="B622" i="5"/>
  <c r="B621" i="5"/>
  <c r="B620" i="5"/>
  <c r="B618" i="5"/>
  <c r="B617" i="5"/>
  <c r="B616" i="5"/>
  <c r="B615" i="5"/>
  <c r="B614" i="5"/>
  <c r="B613" i="5"/>
  <c r="B612" i="5"/>
  <c r="B611" i="5"/>
  <c r="B610" i="5"/>
  <c r="B609" i="5"/>
  <c r="B608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1" i="5"/>
  <c r="B590" i="5"/>
  <c r="B589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E560" i="5"/>
  <c r="E727" i="5" s="1"/>
  <c r="E730" i="5" s="1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3" i="5"/>
  <c r="B522" i="5"/>
  <c r="B521" i="5"/>
  <c r="B520" i="5"/>
  <c r="B519" i="5"/>
  <c r="B518" i="5"/>
  <c r="B517" i="5"/>
  <c r="B380" i="5"/>
  <c r="E353" i="5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2" i="7"/>
  <c r="G11" i="7"/>
  <c r="G8" i="7"/>
  <c r="G7" i="7"/>
  <c r="G6" i="7"/>
  <c r="G5" i="7"/>
  <c r="G2" i="7"/>
  <c r="G165" i="7"/>
  <c r="B511" i="5"/>
  <c r="B510" i="5"/>
  <c r="B508" i="5"/>
  <c r="B507" i="5"/>
  <c r="B506" i="5"/>
  <c r="B505" i="5"/>
  <c r="B504" i="5"/>
  <c r="B503" i="5"/>
  <c r="B502" i="5"/>
  <c r="B501" i="5"/>
  <c r="B500" i="5"/>
  <c r="B498" i="5"/>
  <c r="B497" i="5"/>
  <c r="B496" i="5"/>
  <c r="B495" i="5"/>
  <c r="B494" i="5"/>
  <c r="B493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6" i="5"/>
  <c r="B435" i="5"/>
  <c r="B434" i="5"/>
  <c r="B432" i="5"/>
  <c r="B431" i="5"/>
  <c r="B430" i="5"/>
  <c r="B429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7" i="5"/>
  <c r="B386" i="5"/>
  <c r="B385" i="5"/>
  <c r="B384" i="5"/>
  <c r="B383" i="5"/>
  <c r="B382" i="5"/>
  <c r="B381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E75" i="9" l="1"/>
  <c r="E130" i="9"/>
  <c r="E168" i="9"/>
  <c r="E111" i="9"/>
  <c r="F594" i="5"/>
  <c r="F681" i="5"/>
  <c r="F624" i="5"/>
  <c r="F588" i="5"/>
  <c r="F515" i="5" s="1"/>
  <c r="E2" i="9" l="1"/>
  <c r="F727" i="5"/>
  <c r="AF302" i="1" l="1"/>
  <c r="AF297" i="1"/>
  <c r="AF287" i="1"/>
  <c r="AF278" i="1"/>
  <c r="AF269" i="1"/>
  <c r="AF265" i="1"/>
  <c r="AF261" i="1"/>
  <c r="AF258" i="1"/>
  <c r="AF252" i="1"/>
  <c r="AF248" i="1"/>
  <c r="AF239" i="1"/>
  <c r="AF234" i="1"/>
  <c r="AF229" i="1"/>
  <c r="AF217" i="1"/>
  <c r="AF212" i="1"/>
  <c r="AF209" i="1"/>
  <c r="AF207" i="1"/>
  <c r="AF199" i="1"/>
  <c r="AF194" i="1"/>
  <c r="AF192" i="1"/>
  <c r="AF189" i="1"/>
  <c r="AF183" i="1"/>
  <c r="AF177" i="1"/>
  <c r="AF172" i="1"/>
  <c r="AF166" i="1"/>
  <c r="AF160" i="1"/>
  <c r="AF147" i="1"/>
  <c r="AF140" i="1"/>
  <c r="AF131" i="1"/>
  <c r="AF116" i="1"/>
  <c r="AF119" i="1"/>
  <c r="AF129" i="1"/>
  <c r="AF122" i="1"/>
  <c r="AF112" i="1"/>
  <c r="AF102" i="1"/>
  <c r="AF99" i="1"/>
  <c r="AF94" i="1"/>
  <c r="AF90" i="1"/>
  <c r="AF87" i="1"/>
  <c r="AF81" i="1"/>
  <c r="AF78" i="1"/>
  <c r="AF66" i="1"/>
  <c r="AF61" i="1"/>
  <c r="AF58" i="1"/>
  <c r="AF48" i="1"/>
  <c r="AF42" i="1"/>
  <c r="AF23" i="1"/>
  <c r="AF18" i="1"/>
  <c r="AF15" i="1"/>
  <c r="AF11" i="1"/>
  <c r="AF6" i="1"/>
  <c r="AF3" i="1"/>
  <c r="M54" i="5"/>
  <c r="M53" i="5"/>
  <c r="M52" i="5"/>
  <c r="M51" i="5"/>
  <c r="M50" i="5"/>
  <c r="L48" i="5"/>
  <c r="L47" i="5"/>
  <c r="L46" i="5"/>
  <c r="L45" i="5"/>
  <c r="L44" i="5"/>
  <c r="M42" i="5"/>
  <c r="L41" i="5"/>
  <c r="L40" i="5"/>
  <c r="L39" i="5"/>
  <c r="L37" i="5"/>
  <c r="L36" i="5"/>
  <c r="M34" i="5"/>
  <c r="M33" i="5"/>
  <c r="M32" i="5"/>
  <c r="M31" i="5"/>
  <c r="L30" i="5"/>
  <c r="M28" i="5"/>
  <c r="M27" i="5"/>
  <c r="M26" i="5"/>
  <c r="L24" i="5"/>
  <c r="L23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5" i="5"/>
  <c r="L4" i="5"/>
  <c r="L3" i="5"/>
  <c r="L2" i="5"/>
  <c r="J56" i="5"/>
  <c r="K54" i="5"/>
  <c r="K53" i="5"/>
  <c r="K52" i="5"/>
  <c r="K51" i="5"/>
  <c r="K50" i="5"/>
  <c r="K45" i="5"/>
  <c r="K43" i="5"/>
  <c r="K42" i="5"/>
  <c r="K36" i="5"/>
  <c r="K35" i="5"/>
  <c r="K34" i="5"/>
  <c r="K33" i="5"/>
  <c r="K31" i="5"/>
  <c r="K29" i="5"/>
  <c r="K28" i="5"/>
  <c r="K26" i="5"/>
  <c r="K25" i="5"/>
  <c r="K21" i="5"/>
  <c r="K2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54" i="5"/>
  <c r="M46" i="5" l="1"/>
  <c r="M23" i="5"/>
  <c r="M10" i="5"/>
  <c r="M18" i="5"/>
  <c r="K56" i="5"/>
  <c r="M40" i="5"/>
  <c r="M8" i="5"/>
  <c r="M16" i="5"/>
  <c r="M24" i="5"/>
  <c r="M44" i="5"/>
  <c r="M7" i="5"/>
  <c r="M9" i="5"/>
  <c r="M17" i="5"/>
  <c r="M36" i="5"/>
  <c r="M45" i="5"/>
  <c r="M15" i="5"/>
  <c r="M37" i="5"/>
  <c r="M2" i="5"/>
  <c r="M11" i="5"/>
  <c r="M19" i="5"/>
  <c r="M39" i="5"/>
  <c r="M47" i="5"/>
  <c r="M3" i="5"/>
  <c r="M12" i="5"/>
  <c r="M20" i="5"/>
  <c r="M30" i="5"/>
  <c r="M48" i="5"/>
  <c r="M4" i="5"/>
  <c r="M13" i="5"/>
  <c r="M41" i="5"/>
  <c r="M5" i="5"/>
  <c r="M14" i="5"/>
  <c r="AG16" i="1"/>
  <c r="AG303" i="1"/>
  <c r="AG298" i="1"/>
  <c r="AG295" i="1"/>
  <c r="AG292" i="1"/>
  <c r="AG290" i="1"/>
  <c r="AG288" i="1"/>
  <c r="AG285" i="1"/>
  <c r="AG279" i="1"/>
  <c r="AG270" i="1"/>
  <c r="AG266" i="1"/>
  <c r="AG262" i="1"/>
  <c r="AG259" i="1"/>
  <c r="AG256" i="1"/>
  <c r="AG253" i="1"/>
  <c r="AG249" i="1"/>
  <c r="AG240" i="1"/>
  <c r="AG235" i="1"/>
  <c r="AG230" i="1"/>
  <c r="AG224" i="1"/>
  <c r="AG218" i="1"/>
  <c r="AG213" i="1"/>
  <c r="AG210" i="1"/>
  <c r="AG208" i="1"/>
  <c r="AG200" i="1"/>
  <c r="AG195" i="1"/>
  <c r="AG193" i="1"/>
  <c r="AG190" i="1"/>
  <c r="AG186" i="1"/>
  <c r="AG184" i="1"/>
  <c r="AG178" i="1"/>
  <c r="AG173" i="1"/>
  <c r="AG167" i="1"/>
  <c r="AG163" i="1"/>
  <c r="AG161" i="1"/>
  <c r="AG148" i="1"/>
  <c r="AG141" i="1"/>
  <c r="AG132" i="1"/>
  <c r="AG130" i="1"/>
  <c r="AG125" i="1"/>
  <c r="AG123" i="1"/>
  <c r="AG120" i="1"/>
  <c r="AG117" i="1"/>
  <c r="AG113" i="1"/>
  <c r="AG100" i="1"/>
  <c r="AG95" i="1"/>
  <c r="AG91" i="1"/>
  <c r="AG88" i="1"/>
  <c r="AG84" i="1"/>
  <c r="AG82" i="1"/>
  <c r="AG79" i="1"/>
  <c r="AG70" i="1"/>
  <c r="AG67" i="1"/>
  <c r="AG64" i="1"/>
  <c r="AG62" i="1"/>
  <c r="AG59" i="1"/>
  <c r="AG55" i="1"/>
  <c r="AG49" i="1"/>
  <c r="AG43" i="1"/>
  <c r="AG39" i="1"/>
  <c r="AG32" i="1"/>
  <c r="AG28" i="1"/>
  <c r="AG24" i="1"/>
  <c r="AG21" i="1"/>
  <c r="AG19" i="1"/>
  <c r="AG12" i="1"/>
  <c r="AG9" i="1"/>
  <c r="AG7" i="1"/>
  <c r="AG306" i="1"/>
  <c r="AG4" i="1"/>
  <c r="AG265" i="1"/>
  <c r="AH265" i="1" s="1"/>
  <c r="AG258" i="1"/>
  <c r="AH258" i="1" s="1"/>
  <c r="AG217" i="1"/>
  <c r="AH217" i="1" s="1"/>
  <c r="AG209" i="1"/>
  <c r="AH209" i="1" s="1"/>
  <c r="AH210" i="1" s="1"/>
  <c r="AH211" i="1" s="1"/>
  <c r="AG183" i="1"/>
  <c r="AH183" i="1" s="1"/>
  <c r="AG172" i="1"/>
  <c r="AH172" i="1" s="1"/>
  <c r="AG129" i="1"/>
  <c r="AH129" i="1" s="1"/>
  <c r="AG122" i="1"/>
  <c r="AH122" i="1" s="1"/>
  <c r="AG94" i="1"/>
  <c r="AH94" i="1" s="1"/>
  <c r="AG87" i="1"/>
  <c r="AH87" i="1" s="1"/>
  <c r="AH88" i="1" s="1"/>
  <c r="AH89" i="1" s="1"/>
  <c r="AG48" i="1"/>
  <c r="AH48" i="1" s="1"/>
  <c r="AH55" i="1" s="1"/>
  <c r="AG23" i="1"/>
  <c r="AH23" i="1" s="1"/>
  <c r="I129" i="4"/>
  <c r="AG302" i="1" s="1"/>
  <c r="AH302" i="1" s="1"/>
  <c r="I127" i="4"/>
  <c r="AG297" i="1" s="1"/>
  <c r="AH297" i="1" s="1"/>
  <c r="I122" i="4"/>
  <c r="AG287" i="1" s="1"/>
  <c r="AH287" i="1" s="1"/>
  <c r="AH295" i="1" s="1"/>
  <c r="I119" i="4"/>
  <c r="AG278" i="1" s="1"/>
  <c r="AH278" i="1" s="1"/>
  <c r="I117" i="4"/>
  <c r="AG269" i="1" s="1"/>
  <c r="AH269" i="1" s="1"/>
  <c r="I115" i="4"/>
  <c r="I113" i="4"/>
  <c r="AG261" i="1" s="1"/>
  <c r="AH261" i="1" s="1"/>
  <c r="I111" i="4"/>
  <c r="I108" i="4"/>
  <c r="AG252" i="1" s="1"/>
  <c r="AH252" i="1" s="1"/>
  <c r="I106" i="4"/>
  <c r="AG248" i="1" s="1"/>
  <c r="AH248" i="1" s="1"/>
  <c r="I104" i="4"/>
  <c r="AG239" i="1" s="1"/>
  <c r="AH239" i="1" s="1"/>
  <c r="AH240" i="1" s="1"/>
  <c r="AH241" i="1" s="1"/>
  <c r="I102" i="4"/>
  <c r="AG234" i="1" s="1"/>
  <c r="AH234" i="1" s="1"/>
  <c r="I99" i="4"/>
  <c r="AG229" i="1" s="1"/>
  <c r="AH229" i="1" s="1"/>
  <c r="AH233" i="1" s="1"/>
  <c r="I96" i="4"/>
  <c r="I94" i="4"/>
  <c r="AG212" i="1" s="1"/>
  <c r="AH212" i="1" s="1"/>
  <c r="I92" i="4"/>
  <c r="I90" i="4"/>
  <c r="AG207" i="1" s="1"/>
  <c r="AH207" i="1" s="1"/>
  <c r="I88" i="4"/>
  <c r="AG199" i="1" s="1"/>
  <c r="AH199" i="1" s="1"/>
  <c r="AH200" i="1" s="1"/>
  <c r="AH201" i="1" s="1"/>
  <c r="I85" i="4"/>
  <c r="AG194" i="1" s="1"/>
  <c r="AH194" i="1" s="1"/>
  <c r="AH197" i="1" s="1"/>
  <c r="I83" i="4"/>
  <c r="AG192" i="1" s="1"/>
  <c r="AH192" i="1" s="1"/>
  <c r="AH193" i="1" s="1"/>
  <c r="I81" i="4"/>
  <c r="AG189" i="1" s="1"/>
  <c r="AH189" i="1" s="1"/>
  <c r="I78" i="4"/>
  <c r="I76" i="4"/>
  <c r="AG177" i="1" s="1"/>
  <c r="AH177" i="1" s="1"/>
  <c r="AH178" i="1" s="1"/>
  <c r="AH179" i="1" s="1"/>
  <c r="I74" i="4"/>
  <c r="I72" i="4"/>
  <c r="AG166" i="1" s="1"/>
  <c r="AH166" i="1" s="1"/>
  <c r="I69" i="4"/>
  <c r="AG160" i="1" s="1"/>
  <c r="AH160" i="1" s="1"/>
  <c r="I66" i="4"/>
  <c r="AG147" i="1" s="1"/>
  <c r="AH147" i="1" s="1"/>
  <c r="AH157" i="1" s="1"/>
  <c r="I64" i="4"/>
  <c r="AG140" i="1" s="1"/>
  <c r="AH140" i="1" s="1"/>
  <c r="I61" i="4"/>
  <c r="AG131" i="1" s="1"/>
  <c r="AH131" i="1" s="1"/>
  <c r="AH139" i="1" s="1"/>
  <c r="I59" i="4"/>
  <c r="I57" i="4"/>
  <c r="AG126" i="1" s="1"/>
  <c r="AH126" i="1" s="1"/>
  <c r="AH127" i="1" s="1"/>
  <c r="AH128" i="1" s="1"/>
  <c r="I54" i="4"/>
  <c r="I52" i="4"/>
  <c r="AG119" i="1" s="1"/>
  <c r="AH119" i="1" s="1"/>
  <c r="I50" i="4"/>
  <c r="AG116" i="1" s="1"/>
  <c r="AH116" i="1" s="1"/>
  <c r="I48" i="4"/>
  <c r="AG112" i="1" s="1"/>
  <c r="AH112" i="1" s="1"/>
  <c r="AH113" i="1" s="1"/>
  <c r="AH114" i="1" s="1"/>
  <c r="I46" i="4"/>
  <c r="AG102" i="1" s="1"/>
  <c r="AH102" i="1" s="1"/>
  <c r="AH103" i="1" s="1"/>
  <c r="AH104" i="1" s="1"/>
  <c r="I44" i="4"/>
  <c r="AG99" i="1" s="1"/>
  <c r="AH99" i="1" s="1"/>
  <c r="I42" i="4"/>
  <c r="I40" i="4"/>
  <c r="AG90" i="1" s="1"/>
  <c r="AH90" i="1" s="1"/>
  <c r="AH91" i="1" s="1"/>
  <c r="AH92" i="1" s="1"/>
  <c r="I38" i="4"/>
  <c r="I35" i="4"/>
  <c r="AG81" i="1" s="1"/>
  <c r="AH81" i="1" s="1"/>
  <c r="AH84" i="1" s="1"/>
  <c r="I33" i="4"/>
  <c r="AG78" i="1" s="1"/>
  <c r="AH78" i="1" s="1"/>
  <c r="I30" i="4"/>
  <c r="AG66" i="1" s="1"/>
  <c r="AH66" i="1" s="1"/>
  <c r="I27" i="4"/>
  <c r="AG61" i="1" s="1"/>
  <c r="AH61" i="1" s="1"/>
  <c r="I25" i="4"/>
  <c r="AG58" i="1" s="1"/>
  <c r="AH58" i="1" s="1"/>
  <c r="I22" i="4"/>
  <c r="I20" i="4"/>
  <c r="AG42" i="1" s="1"/>
  <c r="AH42" i="1" s="1"/>
  <c r="I15" i="4"/>
  <c r="I12" i="4"/>
  <c r="AG18" i="1" s="1"/>
  <c r="AH18" i="1" s="1"/>
  <c r="AH19" i="1" s="1"/>
  <c r="I10" i="4"/>
  <c r="AG15" i="1" s="1"/>
  <c r="AH15" i="1" s="1"/>
  <c r="AH16" i="1" s="1"/>
  <c r="AH17" i="1" s="1"/>
  <c r="I8" i="4"/>
  <c r="AG11" i="1" s="1"/>
  <c r="AH11" i="1" s="1"/>
  <c r="I5" i="4"/>
  <c r="AG6" i="1" s="1"/>
  <c r="AH6" i="1" s="1"/>
  <c r="AH7" i="1" s="1"/>
  <c r="I3" i="4"/>
  <c r="AG3" i="1" s="1"/>
  <c r="AH3" i="1" s="1"/>
  <c r="AH290" i="1" l="1"/>
  <c r="M56" i="5"/>
  <c r="N50" i="5" s="1"/>
  <c r="AH256" i="1"/>
  <c r="AH262" i="1"/>
  <c r="AH263" i="1" s="1"/>
  <c r="AH259" i="1"/>
  <c r="AH260" i="1" s="1"/>
  <c r="AH59" i="1"/>
  <c r="AH60" i="1" s="1"/>
  <c r="AH249" i="1"/>
  <c r="AH250" i="1" s="1"/>
  <c r="AH141" i="1"/>
  <c r="AH142" i="1" s="1"/>
  <c r="AH285" i="1"/>
  <c r="AH125" i="1"/>
  <c r="AH79" i="1"/>
  <c r="AH80" i="1" s="1"/>
  <c r="AH173" i="1"/>
  <c r="AH174" i="1" s="1"/>
  <c r="AH49" i="1"/>
  <c r="AH50" i="1" s="1"/>
  <c r="AH195" i="1"/>
  <c r="AH196" i="1" s="1"/>
  <c r="AH43" i="1"/>
  <c r="AH44" i="1" s="1"/>
  <c r="AH213" i="1"/>
  <c r="AH214" i="1" s="1"/>
  <c r="AH123" i="1"/>
  <c r="AH124" i="1" s="1"/>
  <c r="AH167" i="1"/>
  <c r="AH168" i="1" s="1"/>
  <c r="AH279" i="1"/>
  <c r="AH280" i="1" s="1"/>
  <c r="AH270" i="1"/>
  <c r="AH271" i="1" s="1"/>
  <c r="AH62" i="1"/>
  <c r="AH130" i="1"/>
  <c r="AH288" i="1"/>
  <c r="AH235" i="1"/>
  <c r="AH236" i="1" s="1"/>
  <c r="AH12" i="1"/>
  <c r="AH13" i="1" s="1"/>
  <c r="AH163" i="1"/>
  <c r="AH9" i="1"/>
  <c r="AH117" i="1"/>
  <c r="AH118" i="1" s="1"/>
  <c r="AH161" i="1"/>
  <c r="AH230" i="1"/>
  <c r="AH231" i="1" s="1"/>
  <c r="AH266" i="1"/>
  <c r="AH267" i="1" s="1"/>
  <c r="AH298" i="1"/>
  <c r="AH299" i="1" s="1"/>
  <c r="AH82" i="1"/>
  <c r="AH83" i="1" s="1"/>
  <c r="AH303" i="1"/>
  <c r="AH208" i="1"/>
  <c r="AH4" i="1"/>
  <c r="AH5" i="1" s="1"/>
  <c r="AH64" i="1"/>
  <c r="AH65" i="1" s="1"/>
  <c r="AH95" i="1"/>
  <c r="AH96" i="1" s="1"/>
  <c r="AH132" i="1"/>
  <c r="AH133" i="1" s="1"/>
  <c r="AH184" i="1"/>
  <c r="AH24" i="1"/>
  <c r="AH28" i="1"/>
  <c r="AH39" i="1"/>
  <c r="AH120" i="1"/>
  <c r="AH121" i="1" s="1"/>
  <c r="AH306" i="1"/>
  <c r="AH32" i="1"/>
  <c r="AH67" i="1"/>
  <c r="AH68" i="1" s="1"/>
  <c r="AH100" i="1"/>
  <c r="AH101" i="1" s="1"/>
  <c r="AH186" i="1"/>
  <c r="AH218" i="1"/>
  <c r="AH292" i="1"/>
  <c r="AH21" i="1"/>
  <c r="AH22" i="1" s="1"/>
  <c r="AH253" i="1"/>
  <c r="AH70" i="1"/>
  <c r="AH148" i="1"/>
  <c r="AH149" i="1" s="1"/>
  <c r="AH190" i="1"/>
  <c r="AH191" i="1" s="1"/>
  <c r="AH224" i="1"/>
  <c r="AH296" i="1" l="1"/>
  <c r="AH225" i="1"/>
  <c r="AH254" i="1"/>
  <c r="AH307" i="1"/>
  <c r="AH162" i="1"/>
  <c r="AH40" i="1"/>
  <c r="AH293" i="1"/>
  <c r="AH187" i="1"/>
  <c r="AH198" i="1"/>
  <c r="AH257" i="1"/>
  <c r="AH219" i="1"/>
  <c r="AH304" i="1"/>
  <c r="AH164" i="1"/>
  <c r="AH286" i="1"/>
  <c r="AH185" i="1"/>
  <c r="AH158" i="1"/>
  <c r="AH289" i="1"/>
  <c r="AH291" i="1"/>
  <c r="N46" i="5"/>
  <c r="N37" i="5"/>
  <c r="N36" i="5"/>
  <c r="N34" i="5"/>
  <c r="N40" i="5"/>
  <c r="N9" i="5"/>
  <c r="N24" i="5"/>
  <c r="N51" i="5"/>
  <c r="N20" i="5"/>
  <c r="N33" i="5"/>
  <c r="N18" i="5"/>
  <c r="N53" i="5"/>
  <c r="N3" i="5"/>
  <c r="N41" i="5"/>
  <c r="N44" i="5"/>
  <c r="N17" i="5"/>
  <c r="N15" i="5"/>
  <c r="N8" i="5"/>
  <c r="N47" i="5"/>
  <c r="N19" i="5"/>
  <c r="N7" i="5"/>
  <c r="N27" i="5"/>
  <c r="N16" i="5"/>
  <c r="N11" i="5"/>
  <c r="N12" i="5"/>
  <c r="N45" i="5"/>
  <c r="N14" i="5"/>
  <c r="N52" i="5"/>
  <c r="N13" i="5"/>
  <c r="N5" i="5"/>
  <c r="N32" i="5"/>
  <c r="N39" i="5"/>
  <c r="N48" i="5"/>
  <c r="N26" i="5"/>
  <c r="N4" i="5"/>
  <c r="N10" i="5"/>
  <c r="N54" i="5"/>
  <c r="N30" i="5"/>
  <c r="N23" i="5"/>
  <c r="N31" i="5"/>
  <c r="N28" i="5"/>
  <c r="N42" i="5"/>
  <c r="N2" i="5"/>
  <c r="AH29" i="1"/>
  <c r="AH10" i="1"/>
  <c r="AH56" i="1"/>
  <c r="AH25" i="1"/>
  <c r="AH20" i="1"/>
  <c r="AH85" i="1"/>
  <c r="AH63" i="1"/>
  <c r="AH71" i="1"/>
  <c r="AH33" i="1"/>
  <c r="AH8" i="1"/>
  <c r="AE16" i="1"/>
  <c r="AE193" i="1"/>
  <c r="AE306" i="1"/>
  <c r="AE303" i="1"/>
  <c r="AE298" i="1"/>
  <c r="AE295" i="1"/>
  <c r="AE292" i="1"/>
  <c r="AE290" i="1"/>
  <c r="AE288" i="1"/>
  <c r="AE285" i="1"/>
  <c r="AE279" i="1"/>
  <c r="AE270" i="1"/>
  <c r="AE266" i="1"/>
  <c r="AE262" i="1"/>
  <c r="AE259" i="1"/>
  <c r="AE256" i="1"/>
  <c r="AE253" i="1"/>
  <c r="AE249" i="1"/>
  <c r="AE240" i="1"/>
  <c r="AE235" i="1"/>
  <c r="AE233" i="1"/>
  <c r="AE230" i="1"/>
  <c r="AE224" i="1"/>
  <c r="AE218" i="1"/>
  <c r="AE213" i="1"/>
  <c r="AE210" i="1"/>
  <c r="AE208" i="1"/>
  <c r="AE200" i="1"/>
  <c r="AE197" i="1"/>
  <c r="AE195" i="1"/>
  <c r="AE190" i="1"/>
  <c r="AE186" i="1"/>
  <c r="AE184" i="1"/>
  <c r="AE178" i="1"/>
  <c r="AE173" i="1"/>
  <c r="AE167" i="1"/>
  <c r="AE163" i="1"/>
  <c r="AE161" i="1"/>
  <c r="AE157" i="1"/>
  <c r="AE148" i="1"/>
  <c r="AE141" i="1"/>
  <c r="AE139" i="1"/>
  <c r="AE132" i="1"/>
  <c r="AE130" i="1"/>
  <c r="AE127" i="1"/>
  <c r="AE125" i="1"/>
  <c r="AE123" i="1"/>
  <c r="AE120" i="1"/>
  <c r="AE117" i="1"/>
  <c r="AE113" i="1"/>
  <c r="AE103" i="1"/>
  <c r="AE100" i="1"/>
  <c r="AE95" i="1"/>
  <c r="AE91" i="1"/>
  <c r="AE88" i="1"/>
  <c r="AE84" i="1"/>
  <c r="AE82" i="1"/>
  <c r="AE79" i="1"/>
  <c r="AE70" i="1"/>
  <c r="AE302" i="1"/>
  <c r="AE297" i="1"/>
  <c r="AE287" i="1"/>
  <c r="AE278" i="1"/>
  <c r="AE269" i="1"/>
  <c r="AE265" i="1"/>
  <c r="AE261" i="1"/>
  <c r="AE258" i="1"/>
  <c r="AE252" i="1"/>
  <c r="AE248" i="1"/>
  <c r="AE239" i="1"/>
  <c r="AE234" i="1"/>
  <c r="AE229" i="1"/>
  <c r="AE217" i="1"/>
  <c r="AE212" i="1"/>
  <c r="AE209" i="1"/>
  <c r="AE207" i="1"/>
  <c r="AE199" i="1"/>
  <c r="AE194" i="1"/>
  <c r="AE192" i="1"/>
  <c r="AE189" i="1"/>
  <c r="AE183" i="1"/>
  <c r="AE177" i="1"/>
  <c r="AE172" i="1"/>
  <c r="AE166" i="1"/>
  <c r="AE160" i="1"/>
  <c r="AE147" i="1"/>
  <c r="AE140" i="1"/>
  <c r="AE131" i="1"/>
  <c r="AE129" i="1"/>
  <c r="AE126" i="1"/>
  <c r="AE122" i="1"/>
  <c r="AE119" i="1"/>
  <c r="AE116" i="1"/>
  <c r="AE112" i="1"/>
  <c r="AE102" i="1"/>
  <c r="AE99" i="1"/>
  <c r="AE94" i="1"/>
  <c r="AE90" i="1"/>
  <c r="AE87" i="1"/>
  <c r="AE81" i="1"/>
  <c r="AE78" i="1"/>
  <c r="AE66" i="1"/>
  <c r="AE61" i="1"/>
  <c r="AE58" i="1"/>
  <c r="AE48" i="1"/>
  <c r="AE67" i="1"/>
  <c r="AE64" i="1"/>
  <c r="AE62" i="1"/>
  <c r="AE59" i="1"/>
  <c r="AE55" i="1"/>
  <c r="AE49" i="1"/>
  <c r="AE43" i="1"/>
  <c r="AE42" i="1"/>
  <c r="AE39" i="1"/>
  <c r="AE32" i="1"/>
  <c r="AE28" i="1"/>
  <c r="AE23" i="1"/>
  <c r="AE18" i="1"/>
  <c r="AE15" i="1"/>
  <c r="AE11" i="1"/>
  <c r="AE6" i="1"/>
  <c r="N56" i="5" l="1"/>
  <c r="AH308" i="1"/>
  <c r="X302" i="1"/>
  <c r="AA302" i="1" s="1"/>
  <c r="AI302" i="1" s="1"/>
  <c r="X297" i="1"/>
  <c r="AA297" i="1" s="1"/>
  <c r="X287" i="1"/>
  <c r="AA287" i="1" s="1"/>
  <c r="AI287" i="1" s="1"/>
  <c r="X278" i="1"/>
  <c r="AA278" i="1" s="1"/>
  <c r="AI278" i="1" s="1"/>
  <c r="X269" i="1"/>
  <c r="AA269" i="1" s="1"/>
  <c r="X265" i="1"/>
  <c r="AA265" i="1" s="1"/>
  <c r="X261" i="1"/>
  <c r="AA261" i="1" s="1"/>
  <c r="X258" i="1"/>
  <c r="AA258" i="1" s="1"/>
  <c r="X252" i="1"/>
  <c r="AA252" i="1" s="1"/>
  <c r="AI252" i="1" s="1"/>
  <c r="X248" i="1"/>
  <c r="AA248" i="1" s="1"/>
  <c r="X239" i="1"/>
  <c r="AA239" i="1" s="1"/>
  <c r="X234" i="1"/>
  <c r="AA234" i="1" s="1"/>
  <c r="X229" i="1"/>
  <c r="AA229" i="1" s="1"/>
  <c r="AI229" i="1" s="1"/>
  <c r="X217" i="1"/>
  <c r="AA217" i="1" s="1"/>
  <c r="AI217" i="1" s="1"/>
  <c r="X212" i="1"/>
  <c r="AA212" i="1" s="1"/>
  <c r="X209" i="1"/>
  <c r="AA209" i="1" s="1"/>
  <c r="X207" i="1"/>
  <c r="AA207" i="1" s="1"/>
  <c r="X199" i="1"/>
  <c r="AA199" i="1" s="1"/>
  <c r="X194" i="1"/>
  <c r="AA194" i="1" s="1"/>
  <c r="AI194" i="1" s="1"/>
  <c r="X192" i="1"/>
  <c r="AA192" i="1" s="1"/>
  <c r="X189" i="1"/>
  <c r="AA189" i="1" s="1"/>
  <c r="X183" i="1"/>
  <c r="AA183" i="1" s="1"/>
  <c r="AI183" i="1" s="1"/>
  <c r="X177" i="1"/>
  <c r="AA177" i="1" s="1"/>
  <c r="X172" i="1"/>
  <c r="AA172" i="1" s="1"/>
  <c r="X166" i="1"/>
  <c r="AA166" i="1" s="1"/>
  <c r="X160" i="1"/>
  <c r="AA160" i="1" s="1"/>
  <c r="AI160" i="1" s="1"/>
  <c r="X147" i="1"/>
  <c r="AA147" i="1" s="1"/>
  <c r="X140" i="1"/>
  <c r="AA140" i="1" s="1"/>
  <c r="X131" i="1"/>
  <c r="AA131" i="1" s="1"/>
  <c r="X129" i="1"/>
  <c r="AA129" i="1" s="1"/>
  <c r="X126" i="1"/>
  <c r="AA126" i="1" s="1"/>
  <c r="X122" i="1"/>
  <c r="AA122" i="1" s="1"/>
  <c r="X119" i="1"/>
  <c r="AA119" i="1" s="1"/>
  <c r="X116" i="1"/>
  <c r="AA116" i="1" s="1"/>
  <c r="X112" i="1"/>
  <c r="AA112" i="1" s="1"/>
  <c r="X102" i="1"/>
  <c r="AA102" i="1" s="1"/>
  <c r="X99" i="1"/>
  <c r="AA99" i="1" s="1"/>
  <c r="X94" i="1"/>
  <c r="AA94" i="1" s="1"/>
  <c r="X90" i="1"/>
  <c r="AA90" i="1" s="1"/>
  <c r="X87" i="1"/>
  <c r="AA87" i="1" s="1"/>
  <c r="X81" i="1"/>
  <c r="AA81" i="1" s="1"/>
  <c r="X78" i="1"/>
  <c r="AA78" i="1" s="1"/>
  <c r="X66" i="1"/>
  <c r="AA66" i="1" s="1"/>
  <c r="X61" i="1"/>
  <c r="AA61" i="1" s="1"/>
  <c r="X58" i="1"/>
  <c r="AA58" i="1" s="1"/>
  <c r="X48" i="1"/>
  <c r="AA48" i="1" s="1"/>
  <c r="X42" i="1"/>
  <c r="AA42" i="1" s="1"/>
  <c r="X23" i="1"/>
  <c r="AA23" i="1" s="1"/>
  <c r="X18" i="1"/>
  <c r="AA18" i="1" s="1"/>
  <c r="X15" i="1"/>
  <c r="AA15" i="1" s="1"/>
  <c r="X11" i="1"/>
  <c r="AA11" i="1" s="1"/>
  <c r="X6" i="1"/>
  <c r="AA6" i="1" s="1"/>
  <c r="X3" i="1"/>
  <c r="AA3" i="1" s="1"/>
  <c r="AF213" i="1" l="1"/>
  <c r="AI212" i="1"/>
  <c r="AF210" i="1"/>
  <c r="AI209" i="1"/>
  <c r="AF262" i="1"/>
  <c r="AI261" i="1"/>
  <c r="AF266" i="1"/>
  <c r="AI265" i="1"/>
  <c r="AF173" i="1"/>
  <c r="AI172" i="1"/>
  <c r="AF208" i="1"/>
  <c r="AI208" i="1" s="1"/>
  <c r="AI189" i="1"/>
  <c r="AF270" i="1"/>
  <c r="AI269" i="1"/>
  <c r="AF259" i="1"/>
  <c r="AI258" i="1"/>
  <c r="AF178" i="1"/>
  <c r="AI177" i="1"/>
  <c r="AF235" i="1"/>
  <c r="AI234" i="1"/>
  <c r="AF240" i="1"/>
  <c r="AI239" i="1"/>
  <c r="AF200" i="1"/>
  <c r="AI199" i="1"/>
  <c r="AF249" i="1"/>
  <c r="AI248" i="1"/>
  <c r="AF298" i="1"/>
  <c r="AI297" i="1"/>
  <c r="AF167" i="1"/>
  <c r="AI166" i="1"/>
  <c r="AF306" i="1"/>
  <c r="AF303" i="1"/>
  <c r="AF295" i="1"/>
  <c r="AF292" i="1"/>
  <c r="AF290" i="1"/>
  <c r="AF288" i="1"/>
  <c r="AF285" i="1"/>
  <c r="AF279" i="1"/>
  <c r="AF256" i="1"/>
  <c r="AF253" i="1"/>
  <c r="AF233" i="1"/>
  <c r="AI233" i="1" s="1"/>
  <c r="AF230" i="1"/>
  <c r="AF224" i="1"/>
  <c r="AF218" i="1"/>
  <c r="AF197" i="1"/>
  <c r="AF195" i="1"/>
  <c r="AF190" i="1"/>
  <c r="AF193" i="1"/>
  <c r="AI193" i="1" s="1"/>
  <c r="AF186" i="1"/>
  <c r="AF184" i="1"/>
  <c r="AF163" i="1"/>
  <c r="AF161" i="1"/>
  <c r="AF157" i="1"/>
  <c r="AF148" i="1"/>
  <c r="AI147" i="1"/>
  <c r="Y308" i="1"/>
  <c r="AC302" i="1"/>
  <c r="G298" i="1"/>
  <c r="AC297" i="1"/>
  <c r="G295" i="1"/>
  <c r="AC287" i="1"/>
  <c r="G285" i="1"/>
  <c r="AC278" i="1"/>
  <c r="G270" i="1"/>
  <c r="AC269" i="1"/>
  <c r="G266" i="1"/>
  <c r="AC265" i="1"/>
  <c r="G262" i="1"/>
  <c r="AC261" i="1"/>
  <c r="G259" i="1"/>
  <c r="AC258" i="1"/>
  <c r="G256" i="1"/>
  <c r="AC252" i="1"/>
  <c r="G249" i="1"/>
  <c r="AC248" i="1"/>
  <c r="G240" i="1"/>
  <c r="AC239" i="1"/>
  <c r="G235" i="1"/>
  <c r="AC234" i="1"/>
  <c r="G233" i="1"/>
  <c r="AC229" i="1"/>
  <c r="G224" i="1"/>
  <c r="AC217" i="1"/>
  <c r="G213" i="1"/>
  <c r="AC212" i="1"/>
  <c r="G210" i="1"/>
  <c r="AC209" i="1"/>
  <c r="G208" i="1"/>
  <c r="AC207" i="1"/>
  <c r="G200" i="1"/>
  <c r="AC199" i="1"/>
  <c r="G197" i="1"/>
  <c r="AC194" i="1"/>
  <c r="G193" i="1"/>
  <c r="AC192" i="1"/>
  <c r="G190" i="1"/>
  <c r="AC189" i="1"/>
  <c r="G186" i="1"/>
  <c r="AC183" i="1"/>
  <c r="G178" i="1"/>
  <c r="AC177" i="1"/>
  <c r="G173" i="1"/>
  <c r="AC172" i="1"/>
  <c r="G167" i="1"/>
  <c r="AC166" i="1"/>
  <c r="G163" i="1"/>
  <c r="AD160" i="1"/>
  <c r="AC160" i="1"/>
  <c r="G157" i="1"/>
  <c r="AC147" i="1"/>
  <c r="G141" i="1"/>
  <c r="AC140" i="1"/>
  <c r="G139" i="1"/>
  <c r="AC131" i="1"/>
  <c r="G130" i="1"/>
  <c r="AC129" i="1"/>
  <c r="R129" i="1"/>
  <c r="Q129" i="1"/>
  <c r="N129" i="1"/>
  <c r="G127" i="1"/>
  <c r="AC126" i="1"/>
  <c r="AF126" i="1"/>
  <c r="G125" i="1"/>
  <c r="AC122" i="1"/>
  <c r="AI122" i="1"/>
  <c r="G120" i="1"/>
  <c r="AC119" i="1"/>
  <c r="G117" i="1"/>
  <c r="AC116" i="1"/>
  <c r="G113" i="1"/>
  <c r="AC112" i="1"/>
  <c r="G103" i="1"/>
  <c r="AD102" i="1"/>
  <c r="AC102" i="1"/>
  <c r="G100" i="1"/>
  <c r="AC99" i="1"/>
  <c r="G95" i="1"/>
  <c r="AC94" i="1"/>
  <c r="G91" i="1"/>
  <c r="AC90" i="1"/>
  <c r="G88" i="1"/>
  <c r="AC87" i="1"/>
  <c r="G84" i="1"/>
  <c r="AC81" i="1"/>
  <c r="AI81" i="1"/>
  <c r="G79" i="1"/>
  <c r="AC78" i="1"/>
  <c r="G70" i="1"/>
  <c r="AC66" i="1"/>
  <c r="AI66" i="1"/>
  <c r="G64" i="1"/>
  <c r="AC61" i="1"/>
  <c r="AI61" i="1"/>
  <c r="G59" i="1"/>
  <c r="AC58" i="1"/>
  <c r="G55" i="1"/>
  <c r="AC48" i="1"/>
  <c r="AI48" i="1"/>
  <c r="G43" i="1"/>
  <c r="AC42" i="1"/>
  <c r="G39" i="1"/>
  <c r="AC23" i="1"/>
  <c r="AI23" i="1"/>
  <c r="G21" i="1"/>
  <c r="AC18" i="1"/>
  <c r="AF19" i="1"/>
  <c r="G16" i="1"/>
  <c r="AC15" i="1"/>
  <c r="G12" i="1"/>
  <c r="AC11" i="1"/>
  <c r="G9" i="1"/>
  <c r="AC6" i="1"/>
  <c r="AI6" i="1"/>
  <c r="AC4" i="1"/>
  <c r="G4" i="1"/>
  <c r="AC3" i="1"/>
  <c r="G2" i="1"/>
  <c r="AI230" i="1" l="1"/>
  <c r="AF231" i="1"/>
  <c r="AI259" i="1"/>
  <c r="AF260" i="1"/>
  <c r="AI279" i="1"/>
  <c r="AF280" i="1"/>
  <c r="AI157" i="1"/>
  <c r="AF158" i="1"/>
  <c r="AI197" i="1"/>
  <c r="AF198" i="1"/>
  <c r="AI285" i="1"/>
  <c r="AF286" i="1"/>
  <c r="AI167" i="1"/>
  <c r="AF168" i="1"/>
  <c r="AI240" i="1"/>
  <c r="AF241" i="1"/>
  <c r="AI270" i="1"/>
  <c r="AF271" i="1"/>
  <c r="AI262" i="1"/>
  <c r="AF263" i="1"/>
  <c r="AI303" i="1"/>
  <c r="AF304" i="1"/>
  <c r="AI306" i="1"/>
  <c r="AF307" i="1"/>
  <c r="AI148" i="1"/>
  <c r="AF149" i="1"/>
  <c r="AI218" i="1"/>
  <c r="AF219" i="1"/>
  <c r="AI288" i="1"/>
  <c r="AF289" i="1"/>
  <c r="AI253" i="1"/>
  <c r="AF254" i="1"/>
  <c r="AI256" i="1"/>
  <c r="AF257" i="1"/>
  <c r="AI210" i="1"/>
  <c r="AF211" i="1"/>
  <c r="AI190" i="1"/>
  <c r="AF191" i="1"/>
  <c r="AI266" i="1"/>
  <c r="AF267" i="1"/>
  <c r="AI195" i="1"/>
  <c r="AF196" i="1"/>
  <c r="AI19" i="1"/>
  <c r="AI161" i="1"/>
  <c r="AF162" i="1"/>
  <c r="AI163" i="1"/>
  <c r="AF164" i="1"/>
  <c r="AI224" i="1"/>
  <c r="AF225" i="1"/>
  <c r="AI235" i="1"/>
  <c r="AF236" i="1"/>
  <c r="AI184" i="1"/>
  <c r="AF185" i="1"/>
  <c r="AI292" i="1"/>
  <c r="AF293" i="1"/>
  <c r="AI200" i="1"/>
  <c r="AF201" i="1"/>
  <c r="AI290" i="1"/>
  <c r="AF291" i="1"/>
  <c r="AI298" i="1"/>
  <c r="AF299" i="1"/>
  <c r="AI186" i="1"/>
  <c r="AF187" i="1"/>
  <c r="AI295" i="1"/>
  <c r="AF296" i="1"/>
  <c r="AI249" i="1"/>
  <c r="AF250" i="1"/>
  <c r="AI178" i="1"/>
  <c r="AF179" i="1"/>
  <c r="AI173" i="1"/>
  <c r="AF174" i="1"/>
  <c r="AI213" i="1"/>
  <c r="AF214" i="1"/>
  <c r="AF141" i="1"/>
  <c r="AI140" i="1"/>
  <c r="AF16" i="1"/>
  <c r="AI15" i="1"/>
  <c r="AF79" i="1"/>
  <c r="AI78" i="1"/>
  <c r="AF130" i="1"/>
  <c r="AI129" i="1"/>
  <c r="AF95" i="1"/>
  <c r="AI94" i="1"/>
  <c r="AF88" i="1"/>
  <c r="AI87" i="1"/>
  <c r="AF100" i="1"/>
  <c r="AI99" i="1"/>
  <c r="AF59" i="1"/>
  <c r="AI59" i="1" s="1"/>
  <c r="AI58" i="1"/>
  <c r="AF43" i="1"/>
  <c r="AI43" i="1" s="1"/>
  <c r="AI42" i="1"/>
  <c r="AF91" i="1"/>
  <c r="AI90" i="1"/>
  <c r="AF117" i="1"/>
  <c r="AI116" i="1"/>
  <c r="AF103" i="1"/>
  <c r="AI102" i="1"/>
  <c r="AF127" i="1"/>
  <c r="AI126" i="1"/>
  <c r="AF132" i="1"/>
  <c r="AI131" i="1"/>
  <c r="AF120" i="1"/>
  <c r="AI119" i="1"/>
  <c r="AF113" i="1"/>
  <c r="AI112" i="1"/>
  <c r="AF12" i="1"/>
  <c r="AI11" i="1"/>
  <c r="AF123" i="1"/>
  <c r="AF125" i="1"/>
  <c r="AI125" i="1" s="1"/>
  <c r="AF82" i="1"/>
  <c r="AF84" i="1"/>
  <c r="AF67" i="1"/>
  <c r="AF70" i="1"/>
  <c r="AF62" i="1"/>
  <c r="AI62" i="1" s="1"/>
  <c r="AF64" i="1"/>
  <c r="AI64" i="1" s="1"/>
  <c r="AF49" i="1"/>
  <c r="AI49" i="1" s="1"/>
  <c r="AF55" i="1"/>
  <c r="AI55" i="1" s="1"/>
  <c r="G307" i="1"/>
  <c r="AA308" i="1"/>
  <c r="AF9" i="1"/>
  <c r="AF7" i="1"/>
  <c r="AF32" i="1"/>
  <c r="AF28" i="1"/>
  <c r="AF24" i="1"/>
  <c r="AF39" i="1"/>
  <c r="AI3" i="1"/>
  <c r="AI82" i="1" l="1"/>
  <c r="AF83" i="1"/>
  <c r="AI120" i="1"/>
  <c r="AF121" i="1"/>
  <c r="AI117" i="1"/>
  <c r="AF118" i="1"/>
  <c r="AI100" i="1"/>
  <c r="AF101" i="1"/>
  <c r="AI79" i="1"/>
  <c r="AF80" i="1"/>
  <c r="AI67" i="1"/>
  <c r="AF68" i="1"/>
  <c r="AI39" i="1"/>
  <c r="AF40" i="1"/>
  <c r="AI132" i="1"/>
  <c r="AF133" i="1"/>
  <c r="AI16" i="1"/>
  <c r="AF17" i="1"/>
  <c r="AI103" i="1"/>
  <c r="AF104" i="1"/>
  <c r="AI91" i="1"/>
  <c r="AF92" i="1"/>
  <c r="AI28" i="1"/>
  <c r="AF29" i="1"/>
  <c r="AI70" i="1"/>
  <c r="AF71" i="1"/>
  <c r="AI113" i="1"/>
  <c r="AF114" i="1"/>
  <c r="AI84" i="1"/>
  <c r="AF85" i="1"/>
  <c r="AI24" i="1"/>
  <c r="AF25" i="1"/>
  <c r="AI123" i="1"/>
  <c r="AF124" i="1"/>
  <c r="AI88" i="1"/>
  <c r="AF89" i="1"/>
  <c r="AI32" i="1"/>
  <c r="AF33" i="1"/>
  <c r="AI12" i="1"/>
  <c r="AF13" i="1"/>
  <c r="AI127" i="1"/>
  <c r="AF128" i="1"/>
  <c r="AI95" i="1"/>
  <c r="AF96" i="1"/>
  <c r="AI141" i="1"/>
  <c r="AF142" i="1"/>
  <c r="AI7" i="1"/>
  <c r="AF8" i="1"/>
  <c r="AI9" i="1"/>
  <c r="AF10" i="1"/>
  <c r="AF139" i="1"/>
  <c r="AI139" i="1" s="1"/>
  <c r="AI130" i="1"/>
  <c r="AF21" i="1"/>
  <c r="AI18" i="1"/>
  <c r="AF4" i="1"/>
  <c r="AI21" i="1" l="1"/>
  <c r="AF22" i="1"/>
  <c r="AF20" i="1"/>
  <c r="AI4" i="1"/>
  <c r="AF5" i="1"/>
  <c r="AF3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tc={61BAB182-D5EA-4E8B-9932-342879BF5B93}</author>
  </authors>
  <commentList>
    <comment ref="B95" authorId="0" shapeId="0" xr:uid="{61BAB182-D5EA-4E8B-9932-342879BF5B9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tc={F0D47A98-3F4D-4355-AB09-0A77DB472A9F}</author>
  </authors>
  <commentList>
    <comment ref="AE96" authorId="0" shapeId="0" xr:uid="{F0D47A98-3F4D-4355-AB09-0A77DB472A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tc={96288A0C-6306-49A0-9761-7608F8D0FE80}</author>
    <author>tc={2C7BB5D0-6EB4-430B-90DE-A9E4D6271E25}</author>
    <author>tc={99BA0942-890E-4575-9BEC-F4F8B35B4512}</author>
  </authors>
  <commentList>
    <comment ref="D95" authorId="0" shapeId="0" xr:uid="{96288A0C-6306-49A0-9761-7608F8D0FE8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  <comment ref="D367" authorId="1" shapeId="0" xr:uid="{2C7BB5D0-6EB4-430B-90DE-A9E4D6271E2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  <comment ref="D572" authorId="2" shapeId="0" xr:uid="{99BA0942-890E-4575-9BEC-F4F8B35B451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tc={1E3831FF-42E3-4AC1-B61D-FC47E07B14AF}</author>
  </authors>
  <commentList>
    <comment ref="D59" authorId="0" shapeId="0" xr:uid="{1E3831FF-42E3-4AC1-B61D-FC47E07B14A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sharedStrings.xml><?xml version="1.0" encoding="utf-8"?>
<sst xmlns="http://schemas.openxmlformats.org/spreadsheetml/2006/main" count="5640" uniqueCount="978">
  <si>
    <t>Seccion</t>
  </si>
  <si>
    <t>NAEG</t>
  </si>
  <si>
    <t>Nombre/NPG</t>
  </si>
  <si>
    <t>Nom_prod</t>
  </si>
  <si>
    <t>VALOR</t>
  </si>
  <si>
    <t>Participacion</t>
  </si>
  <si>
    <t>VAB</t>
  </si>
  <si>
    <t>VAB2022</t>
  </si>
  <si>
    <t>VAB2023</t>
  </si>
  <si>
    <t>VBP2022</t>
  </si>
  <si>
    <t>VBP2023</t>
  </si>
  <si>
    <t>SECCIÓN</t>
  </si>
  <si>
    <t>NPG/NombreNAEG</t>
  </si>
  <si>
    <t>Glosa_NPG</t>
  </si>
  <si>
    <t>PRODUCCIÓN</t>
  </si>
  <si>
    <t>ESTRUCTURA %</t>
  </si>
  <si>
    <t>Porcentaje VBP</t>
  </si>
  <si>
    <t>CIIU correl</t>
  </si>
  <si>
    <t>CIIU_Clase</t>
  </si>
  <si>
    <t>C</t>
  </si>
  <si>
    <t>AE029</t>
  </si>
  <si>
    <t>Elaboración y conservación de carne de ganado bovino</t>
  </si>
  <si>
    <t>Industrias manufactureras</t>
  </si>
  <si>
    <t>P2101</t>
  </si>
  <si>
    <t>Carne y despojos comestibles de ganado bovino</t>
  </si>
  <si>
    <t>AE030</t>
  </si>
  <si>
    <t>Elaboración y conservación de carne de ganado porcino</t>
  </si>
  <si>
    <t>10101</t>
  </si>
  <si>
    <t>AE031</t>
  </si>
  <si>
    <t>Elaboración y conservación de carne de aves de corral</t>
  </si>
  <si>
    <t>21111</t>
  </si>
  <si>
    <t>P2102</t>
  </si>
  <si>
    <t>Carne y despojos comestibles de ganado porcino</t>
  </si>
  <si>
    <t>AE032</t>
  </si>
  <si>
    <t>Elaboración de productos cárnicos y elaboración de otros productos de origen animal n.c.p.</t>
  </si>
  <si>
    <t>10102</t>
  </si>
  <si>
    <t>P2104</t>
  </si>
  <si>
    <t>Carne y despojos de otros animales y conservas y preparados de carne</t>
  </si>
  <si>
    <t>AE033</t>
  </si>
  <si>
    <t>Elaboración y conservación de pescado, crustáceos y moluscos</t>
  </si>
  <si>
    <t>21113</t>
  </si>
  <si>
    <t>Carne de cerdo, fresca o refrigerada</t>
  </si>
  <si>
    <t>AE034</t>
  </si>
  <si>
    <t>Elaboración y conservación de frutas, legumbres y hortalizas</t>
  </si>
  <si>
    <t>NO</t>
  </si>
  <si>
    <t>P2103</t>
  </si>
  <si>
    <t>Carne y despojos comestibles de aves</t>
  </si>
  <si>
    <t>AE035</t>
  </si>
  <si>
    <t>Elaboración de aceites y grasas de origen vegetal y animal</t>
  </si>
  <si>
    <t>10103</t>
  </si>
  <si>
    <t>AE036</t>
  </si>
  <si>
    <t>Elaboración de productos lácteos</t>
  </si>
  <si>
    <t>21121</t>
  </si>
  <si>
    <t>Carne de pollo, fresca o refrigerada</t>
  </si>
  <si>
    <t>AE037</t>
  </si>
  <si>
    <t>Elaboración de harina de trigo</t>
  </si>
  <si>
    <t>10104</t>
  </si>
  <si>
    <t>AE038</t>
  </si>
  <si>
    <t>Beneficios de arroz</t>
  </si>
  <si>
    <t>21174</t>
  </si>
  <si>
    <t>Embutidos y productos similares de carne, despojos o sangre</t>
  </si>
  <si>
    <t>P2202</t>
  </si>
  <si>
    <t>Crustáceos, muloscos y demás invertebrados acuáticos congelados, preparados o en conserva y sus productos</t>
  </si>
  <si>
    <t>AE039</t>
  </si>
  <si>
    <t>Elaboración de otros productos de molinería n.c.p. por cuenta propia</t>
  </si>
  <si>
    <t>1020</t>
  </si>
  <si>
    <t>P2201</t>
  </si>
  <si>
    <t>Pescado congelado, preparado o en conserva y sus productos</t>
  </si>
  <si>
    <t>AE040</t>
  </si>
  <si>
    <t>Elaboración de almidones y productos derivados del almidón</t>
  </si>
  <si>
    <t>21250</t>
  </si>
  <si>
    <t>Crustáceos, congelados</t>
  </si>
  <si>
    <t>AE041</t>
  </si>
  <si>
    <t>Elaboración de productos de panadería</t>
  </si>
  <si>
    <t>Pescado congelado (excepto filetes y carne de pescado)</t>
  </si>
  <si>
    <t>P2303</t>
  </si>
  <si>
    <t>Jugos de frutas</t>
  </si>
  <si>
    <t>AE042</t>
  </si>
  <si>
    <t>Elaboración de tortillas de maíz</t>
  </si>
  <si>
    <t>1030</t>
  </si>
  <si>
    <t>P2301</t>
  </si>
  <si>
    <t>Vegetales preparados o en conserva, legumbres y papas</t>
  </si>
  <si>
    <t>AE043</t>
  </si>
  <si>
    <t>Elaboración de azúcar</t>
  </si>
  <si>
    <t>P2304</t>
  </si>
  <si>
    <t>Otras frutas y nueces preparadas y preservadas (excepto por azúcar)</t>
  </si>
  <si>
    <t>AE044</t>
  </si>
  <si>
    <t>Elaboración de cacao y chocolate y de productos de confitería</t>
  </si>
  <si>
    <t>Frijoles estén o no desenvainados, cocidos en agua o vapor, Congelados.</t>
  </si>
  <si>
    <t>Frijoles, preparados o conservados, sin congelar. (excepto en vinagre o ácido acético).</t>
  </si>
  <si>
    <t>Otros vegetales y legumbres, conservados por algo que no sea vinagre, ácido acético o azúcar, n.c.p.</t>
  </si>
  <si>
    <t>P3401</t>
  </si>
  <si>
    <t>Bebidas no alcohólicas</t>
  </si>
  <si>
    <t>AE045</t>
  </si>
  <si>
    <t>Elaboración de macarrones, fideos, alcuzcuz y productos farináceos similares</t>
  </si>
  <si>
    <t>AE046</t>
  </si>
  <si>
    <t xml:space="preserve">Elaboración de otros productos alimenticios n.c.p  incluyendo comidas y platos preparados </t>
  </si>
  <si>
    <t>P2401</t>
  </si>
  <si>
    <t>Aceites de origen vegetal</t>
  </si>
  <si>
    <t>AE047</t>
  </si>
  <si>
    <t>Elaboración de alimentos preparados para animales</t>
  </si>
  <si>
    <t>1040</t>
  </si>
  <si>
    <t>AE048</t>
  </si>
  <si>
    <t>Destilación, rectificación y mezcla de bebidas alcohólicas</t>
  </si>
  <si>
    <t>P2503</t>
  </si>
  <si>
    <t>Otros productos lácteos n.c.p.</t>
  </si>
  <si>
    <t>AE049</t>
  </si>
  <si>
    <t>Elaboración de vinos</t>
  </si>
  <si>
    <t>1050</t>
  </si>
  <si>
    <t>P2501</t>
  </si>
  <si>
    <t>Leche líquida y crema procesadas</t>
  </si>
  <si>
    <t>AE050</t>
  </si>
  <si>
    <t>Elaboración de bebidas malteadas y de malta</t>
  </si>
  <si>
    <t>AE051</t>
  </si>
  <si>
    <t>Elaboración de bebidas no alcohólicas; producción de aguas minerales y otras aguas embotelladas</t>
  </si>
  <si>
    <t>P2601</t>
  </si>
  <si>
    <t>Harina de trigo</t>
  </si>
  <si>
    <t>AE052</t>
  </si>
  <si>
    <t>Elaboración de productos de tabaco</t>
  </si>
  <si>
    <t>10611</t>
  </si>
  <si>
    <t>AE053</t>
  </si>
  <si>
    <t>Hilatura, tejedura y acabado de productos textiles</t>
  </si>
  <si>
    <t>P2602</t>
  </si>
  <si>
    <t>Arroz sin cáscara</t>
  </si>
  <si>
    <t>AE054</t>
  </si>
  <si>
    <t>Fabricación de otros productos textiles</t>
  </si>
  <si>
    <t>10612</t>
  </si>
  <si>
    <t>P2603</t>
  </si>
  <si>
    <t>Otros productos de molinería n.c.p.</t>
  </si>
  <si>
    <t>AE055</t>
  </si>
  <si>
    <t>Fabricación de prendas de vestir</t>
  </si>
  <si>
    <t>AE056</t>
  </si>
  <si>
    <t>Curtido, adobo, teñido de cueros y pieles; fabricación de maletas, bolsos de mano y artículos similares, y  artículos de talabartería y guarnicionería</t>
  </si>
  <si>
    <t>AE057</t>
  </si>
  <si>
    <t>Fabricación de calzado de cualquier material y de cualquier uso; partes de calzado de cuero</t>
  </si>
  <si>
    <t>10613</t>
  </si>
  <si>
    <t>P3101</t>
  </si>
  <si>
    <t>Productos alimenticios n.c.p.</t>
  </si>
  <si>
    <t>AE058</t>
  </si>
  <si>
    <t>Aserrado y acepilladura de madera</t>
  </si>
  <si>
    <t>AE059</t>
  </si>
  <si>
    <t>Fabricación de productos de madera, productos de corcho, paja y materiales trenzables</t>
  </si>
  <si>
    <t>P6212</t>
  </si>
  <si>
    <t>Servicios de manufactura</t>
  </si>
  <si>
    <t>AE060</t>
  </si>
  <si>
    <t>Fabricación de papel y productos de papel</t>
  </si>
  <si>
    <t>1062</t>
  </si>
  <si>
    <t>AE061</t>
  </si>
  <si>
    <t>Impresión y actividades de servicios relacionados con la impresión y reproducción de grabaciones.</t>
  </si>
  <si>
    <t>P2701</t>
  </si>
  <si>
    <t>Pan</t>
  </si>
  <si>
    <t>AE062</t>
  </si>
  <si>
    <t>Fabricación de coque y productos de la refinación del petróleo</t>
  </si>
  <si>
    <t>10711</t>
  </si>
  <si>
    <t>P2702</t>
  </si>
  <si>
    <t>Otros productos de panadería y repostería n.c.p.</t>
  </si>
  <si>
    <t>AE063</t>
  </si>
  <si>
    <t xml:space="preserve">Fabricación de alcoholes </t>
  </si>
  <si>
    <t>AE064</t>
  </si>
  <si>
    <t>Fabricación de abonos , compuestos de nitrógeno, plaguicidas y otros productos químicos de uso agropecuario</t>
  </si>
  <si>
    <t>P2703</t>
  </si>
  <si>
    <t>Tortillas de maíz, incluso tostadas, horneadas o fritas</t>
  </si>
  <si>
    <t>AE065</t>
  </si>
  <si>
    <t>Fabricación de plásticos y caucho sintético en formas primarias</t>
  </si>
  <si>
    <t>10712</t>
  </si>
  <si>
    <t>AE066</t>
  </si>
  <si>
    <t>Fabricación de pinturas, barnices y productos de revestimiento similares, tintas de imprenta y masillas</t>
  </si>
  <si>
    <t>P2801</t>
  </si>
  <si>
    <t>Azúcar de caña sin refinar, refinada y los demás azúcares n.c.p.</t>
  </si>
  <si>
    <t>AE067</t>
  </si>
  <si>
    <t>Fabricación de jabones y detergentes, preparados para limpiar y pulir, perfumes y preparados de tocador</t>
  </si>
  <si>
    <t>1072</t>
  </si>
  <si>
    <t>AE068</t>
  </si>
  <si>
    <t>Fabricación de otras sustancias químicas básicas, otros productos químicos y fibras artificiales</t>
  </si>
  <si>
    <t>P2901</t>
  </si>
  <si>
    <t>Cacao, chocolate y productos de confitería</t>
  </si>
  <si>
    <t>AE069</t>
  </si>
  <si>
    <t>Fabricación de productos farmacéuticos, sustancias químicas medicinales y productos botánicos de uso farmacéutico</t>
  </si>
  <si>
    <t>1073</t>
  </si>
  <si>
    <t>AE070</t>
  </si>
  <si>
    <t>Fabricación de productos de caucho</t>
  </si>
  <si>
    <t>P3001</t>
  </si>
  <si>
    <t>Macarrones, fideos y productos farináceos similares</t>
  </si>
  <si>
    <t>AE071</t>
  </si>
  <si>
    <t>Fabricación de productos de plástico</t>
  </si>
  <si>
    <t>1074</t>
  </si>
  <si>
    <t>AE072</t>
  </si>
  <si>
    <t>Fabricación de vidrio y productos de vidrio</t>
  </si>
  <si>
    <t>AE073</t>
  </si>
  <si>
    <t>Fabricación de productos refractarios y no refractarios de arcilla, cerámica, porcelana y otros minerales no metálicos</t>
  </si>
  <si>
    <t>1075, 1079</t>
  </si>
  <si>
    <t>AE074</t>
  </si>
  <si>
    <t>Fabricación de cemento, cal y yeso</t>
  </si>
  <si>
    <t>P3201</t>
  </si>
  <si>
    <t>Preparados para alimentación animal</t>
  </si>
  <si>
    <t>AE075</t>
  </si>
  <si>
    <t>Fabricación de artículos de hormigón, cemento y yeso</t>
  </si>
  <si>
    <t>1080</t>
  </si>
  <si>
    <t>AE076</t>
  </si>
  <si>
    <t>Fabricación de otros productos minerales no metálicos</t>
  </si>
  <si>
    <t>P3301</t>
  </si>
  <si>
    <t>Aguardientes, licores y demás bebidas espirituosas</t>
  </si>
  <si>
    <t>AE077</t>
  </si>
  <si>
    <t>Fabricación de metales comunes</t>
  </si>
  <si>
    <t>1101</t>
  </si>
  <si>
    <t>AE078</t>
  </si>
  <si>
    <t>Fabricación de productos elaborados de metal, excepto maquinaria y equipo</t>
  </si>
  <si>
    <t>P3302</t>
  </si>
  <si>
    <t>Vinos</t>
  </si>
  <si>
    <t>AE079</t>
  </si>
  <si>
    <t>Fabricación, reparación e instalación de maquinaria y equipo industrial, n.c.p.</t>
  </si>
  <si>
    <t>1102</t>
  </si>
  <si>
    <t>AE080</t>
  </si>
  <si>
    <t>Fabricación de muebles</t>
  </si>
  <si>
    <t>P3303</t>
  </si>
  <si>
    <t>Cerveza de malta</t>
  </si>
  <si>
    <t>AE081</t>
  </si>
  <si>
    <t>Otras industrias manufactureras</t>
  </si>
  <si>
    <t>1103</t>
  </si>
  <si>
    <t>P5401</t>
  </si>
  <si>
    <t xml:space="preserve">Servicios de Comercio </t>
  </si>
  <si>
    <t>1104</t>
  </si>
  <si>
    <t>P3501</t>
  </si>
  <si>
    <t>Productos del tabaco</t>
  </si>
  <si>
    <t>1200</t>
  </si>
  <si>
    <t>P3601</t>
  </si>
  <si>
    <t>Hilados e hilos, tejidos y telas textiles</t>
  </si>
  <si>
    <t>1311, 1312, 1313</t>
  </si>
  <si>
    <t>P3701</t>
  </si>
  <si>
    <t>Otros productos textiles (artículos textiles excepto prendas de vestir)</t>
  </si>
  <si>
    <t>1391, 1392, 1393, 1394, 1399</t>
  </si>
  <si>
    <t>P3702</t>
  </si>
  <si>
    <t>Prendas de vestir, adobo y teñido de pieles</t>
  </si>
  <si>
    <t>NPG</t>
  </si>
  <si>
    <t>DESCRIPCIÓN NPG</t>
  </si>
  <si>
    <t>Producción</t>
  </si>
  <si>
    <t>Importación</t>
  </si>
  <si>
    <t>OFERTA
TOTAL pb.</t>
  </si>
  <si>
    <t>1410, 1420, 1430</t>
  </si>
  <si>
    <t>P3801</t>
  </si>
  <si>
    <t>Cuero de piel curtida o adobada y cuero artificial o regenerado</t>
  </si>
  <si>
    <t>1511 ,1512</t>
  </si>
  <si>
    <t>P3802</t>
  </si>
  <si>
    <t>Artículos de cuero</t>
  </si>
  <si>
    <t>P3803</t>
  </si>
  <si>
    <t>Calzado y sus partes, de cualquier material y de cualquier uso</t>
  </si>
  <si>
    <t>1520</t>
  </si>
  <si>
    <t>P3901</t>
  </si>
  <si>
    <t>Madera aserrada y acepillada</t>
  </si>
  <si>
    <t>1610</t>
  </si>
  <si>
    <t>P3902</t>
  </si>
  <si>
    <t>Productos de madera, corcho, paja, materiales trenzables</t>
  </si>
  <si>
    <t>1621, 1622, 1623, 1629</t>
  </si>
  <si>
    <t>P4002</t>
  </si>
  <si>
    <t>Envases de papel y cartón</t>
  </si>
  <si>
    <t>1701, 1702, 1709</t>
  </si>
  <si>
    <t>P4001</t>
  </si>
  <si>
    <t>Pasta de papel y papel</t>
  </si>
  <si>
    <t>P4004</t>
  </si>
  <si>
    <t>Productos de la impresión</t>
  </si>
  <si>
    <t xml:space="preserve">1811, 1812, </t>
  </si>
  <si>
    <t>P0101</t>
  </si>
  <si>
    <t>Trigo</t>
  </si>
  <si>
    <t>1910, 1920</t>
  </si>
  <si>
    <t>P4201</t>
  </si>
  <si>
    <t>Alcoholes</t>
  </si>
  <si>
    <t>20111</t>
  </si>
  <si>
    <t>P4202</t>
  </si>
  <si>
    <t>Abonos, fertilizantes y pesticidas</t>
  </si>
  <si>
    <t>2012, 2021</t>
  </si>
  <si>
    <t>2013</t>
  </si>
  <si>
    <t>P4204</t>
  </si>
  <si>
    <t>Pinturas y barnices y productos relacionados, colores artisticos, tinta</t>
  </si>
  <si>
    <t>2022</t>
  </si>
  <si>
    <t>P4205</t>
  </si>
  <si>
    <t>Jabón, preparados de limpieza, perfumes y preparados de toilet</t>
  </si>
  <si>
    <t>2023</t>
  </si>
  <si>
    <t>P4206</t>
  </si>
  <si>
    <t>Productos Químicos Básicos excepto alcoholes</t>
  </si>
  <si>
    <t>20112,2029,2030</t>
  </si>
  <si>
    <t>P4207</t>
  </si>
  <si>
    <t>Productos químicos n.c.p. y fibras sintéticas o artificiales</t>
  </si>
  <si>
    <t>P4208</t>
  </si>
  <si>
    <t>Productos Farmaceúticos</t>
  </si>
  <si>
    <t>2100</t>
  </si>
  <si>
    <t>P4301</t>
  </si>
  <si>
    <t>Productos de caucho</t>
  </si>
  <si>
    <t>2211, 2219</t>
  </si>
  <si>
    <t>P4302</t>
  </si>
  <si>
    <t>Productos de plástico</t>
  </si>
  <si>
    <t>2220</t>
  </si>
  <si>
    <t>P4401</t>
  </si>
  <si>
    <t>Vidrio y productos de vidrio</t>
  </si>
  <si>
    <t>2310</t>
  </si>
  <si>
    <t>P4403</t>
  </si>
  <si>
    <t>Productos refractarios y productos estructurales de arcilla no refractarios</t>
  </si>
  <si>
    <t>2391, 2392, 2393</t>
  </si>
  <si>
    <t>P4402</t>
  </si>
  <si>
    <t>Productos no estructurales de cerámica</t>
  </si>
  <si>
    <t>P4404</t>
  </si>
  <si>
    <t>Cemento, cal y yeso</t>
  </si>
  <si>
    <t>2394</t>
  </si>
  <si>
    <t>P4405</t>
  </si>
  <si>
    <t>Artículos de hormigón, cemento y yeso</t>
  </si>
  <si>
    <t>2395</t>
  </si>
  <si>
    <t>P4406</t>
  </si>
  <si>
    <t xml:space="preserve">Piedras talladas para construcción </t>
  </si>
  <si>
    <t>2396, 2399</t>
  </si>
  <si>
    <t>P4501</t>
  </si>
  <si>
    <t>Métales básicos de hierro y acero</t>
  </si>
  <si>
    <t>2410, 2431, 2420, 2432</t>
  </si>
  <si>
    <t>P4602</t>
  </si>
  <si>
    <t>Otros productos elaborados de metal</t>
  </si>
  <si>
    <t>2511, 2512, 2513, 2520, 2591, 2592, 2593, 2599</t>
  </si>
  <si>
    <t>P4601</t>
  </si>
  <si>
    <t>Productos metálicos estructurales y sus partes de hierro o de acero</t>
  </si>
  <si>
    <t>P6207</t>
  </si>
  <si>
    <t>Servicio de mantenimiento, reparación e instalación de productos metálicos elaborados, maquinaria y equipo</t>
  </si>
  <si>
    <t>261-309, 331-332</t>
  </si>
  <si>
    <t>P4603</t>
  </si>
  <si>
    <t>Maquinaria para usos generales, sus partes y piezas</t>
  </si>
  <si>
    <t>P4610</t>
  </si>
  <si>
    <t>Equipo de transporte</t>
  </si>
  <si>
    <t>P4604</t>
  </si>
  <si>
    <t>Maquinaria para usos especiales, partes y piezas; excepto electrodomesticos</t>
  </si>
  <si>
    <t>P4701</t>
  </si>
  <si>
    <t>Muebles</t>
  </si>
  <si>
    <t>3100</t>
  </si>
  <si>
    <t>P4804</t>
  </si>
  <si>
    <t>Otros artículos n.c.p.</t>
  </si>
  <si>
    <t>3211, 3212, 3220, 3230, 3240, 3250, 3290</t>
  </si>
  <si>
    <t>P4801</t>
  </si>
  <si>
    <t>Joyas y artículos conexos</t>
  </si>
  <si>
    <t>Total Suma</t>
  </si>
  <si>
    <t>21491</t>
  </si>
  <si>
    <t>Piñas, preparadas o conservados</t>
  </si>
  <si>
    <t>21493</t>
  </si>
  <si>
    <t>Otras frutas, sin cocer o cocidos, congelados</t>
  </si>
  <si>
    <t>21492</t>
  </si>
  <si>
    <t>Melocotones, preparados o conservados</t>
  </si>
  <si>
    <t>21494</t>
  </si>
  <si>
    <t>Compotas, jaleas y mermeladas, purés y pastas de frutas u otros frutos</t>
  </si>
  <si>
    <t>21495</t>
  </si>
  <si>
    <t>Mantequilla de maní, pastas de almendra y otras mezclas de nueces y semillas tosdados, salados o preparados de otro modo n.c.p</t>
  </si>
  <si>
    <t>21499</t>
  </si>
  <si>
    <t>Otras preparaciones y conservas de frutas y nueces, n.c.p.</t>
  </si>
  <si>
    <t>21431</t>
  </si>
  <si>
    <t>21435</t>
  </si>
  <si>
    <t>21439</t>
  </si>
  <si>
    <t>Jugo de naranja</t>
  </si>
  <si>
    <t>Jugo de manzana</t>
  </si>
  <si>
    <t>Otros jugos de frutas, n.c.p.</t>
  </si>
  <si>
    <t>24490</t>
  </si>
  <si>
    <t>Otras bebidas calóricas no alcohólicas (Bebidas gaseosas, jugos y refrescos artificiales, bebidas deportivas, agua mineral con sabor)</t>
  </si>
  <si>
    <t>24410</t>
  </si>
  <si>
    <t>Aguas embotelladas, no endulzadas ni saborizadas (Agua pura, agua con gas o mineral sin sabor, hielo)</t>
  </si>
  <si>
    <t>21535</t>
  </si>
  <si>
    <t>21539</t>
  </si>
  <si>
    <t>21545</t>
  </si>
  <si>
    <t>21549</t>
  </si>
  <si>
    <t>Aceite de palma, crudo</t>
  </si>
  <si>
    <t>Los demás aceites vegetales, crudo, n.c.p.</t>
  </si>
  <si>
    <t>Aceite de palma, refinado</t>
  </si>
  <si>
    <t>Otros aceites vegetales, refinados, n.c.p.</t>
  </si>
  <si>
    <t>22110</t>
  </si>
  <si>
    <t>22120</t>
  </si>
  <si>
    <t>Leche liquida procesada</t>
  </si>
  <si>
    <t>Crema fresca</t>
  </si>
  <si>
    <t>22229</t>
  </si>
  <si>
    <t>22251</t>
  </si>
  <si>
    <t>22270</t>
  </si>
  <si>
    <t>22290</t>
  </si>
  <si>
    <t>Leche y crema, n.c.p.</t>
  </si>
  <si>
    <t>Quesos de leche de bovino, frescos o procesados</t>
  </si>
  <si>
    <t>Helados y productos similares</t>
  </si>
  <si>
    <t>Productos lácteos n.c.p.</t>
  </si>
  <si>
    <t>23110</t>
  </si>
  <si>
    <t>23130</t>
  </si>
  <si>
    <t>23140</t>
  </si>
  <si>
    <t xml:space="preserve">Harina de trigo o de morcajo (tranquillón)                                                                                                    </t>
  </si>
  <si>
    <t>Grañones (Avena), sémola y pellets de cereales excepto trigo y arroz</t>
  </si>
  <si>
    <t>Otros productos de cereales incluyendo hojuelas de maíz</t>
  </si>
  <si>
    <t>Otros productos de cereales de arroz</t>
  </si>
  <si>
    <t>23161</t>
  </si>
  <si>
    <t>Arroz, semi- o totalmente molido</t>
  </si>
  <si>
    <t>22260</t>
  </si>
  <si>
    <t>Caseina</t>
  </si>
  <si>
    <t>23911</t>
  </si>
  <si>
    <t>23912</t>
  </si>
  <si>
    <t>23921</t>
  </si>
  <si>
    <t>23928</t>
  </si>
  <si>
    <t>23992</t>
  </si>
  <si>
    <t>23995</t>
  </si>
  <si>
    <t>23996</t>
  </si>
  <si>
    <t>Café, descafeinado o tostado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</si>
  <si>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</si>
  <si>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Pimienta procesada</t>
  </si>
  <si>
    <t>Vainilla procesada, triturada o pulverizada</t>
  </si>
  <si>
    <t>Sopas y caldos y preparaciones de los mismos</t>
  </si>
  <si>
    <t>Salsas; condimentos mixtos; harinas de mostaza y sustancias en polvo; mostaza preparada</t>
  </si>
  <si>
    <t>Levaduras (activas o inactivas); otros microorganismos unicelulares, muertos; polvos de hornear preparados</t>
  </si>
  <si>
    <t xml:space="preserve">Servicios de elaboración de almidones y productos elaborados de almidones </t>
  </si>
  <si>
    <t>88162</t>
  </si>
  <si>
    <t>23490</t>
  </si>
  <si>
    <t>Pan y productos de panadería</t>
  </si>
  <si>
    <t>23420</t>
  </si>
  <si>
    <t>23430</t>
  </si>
  <si>
    <t>Pan de especias, galletas dulces, obleas y barquillos</t>
  </si>
  <si>
    <t>Los demás productos de panadería y repostería n.c.p. incluso tortillas de harina de trigo (Pasteles)</t>
  </si>
  <si>
    <t>P102</t>
  </si>
  <si>
    <t>Servicios de comercio</t>
  </si>
  <si>
    <t>P103</t>
  </si>
  <si>
    <t>Mantenimiento y reparación de vehículos automotores y motocicletas</t>
  </si>
  <si>
    <t>P104</t>
  </si>
  <si>
    <t>Servicio de transporte de pasajeros por vía terrestre</t>
  </si>
  <si>
    <t>P105</t>
  </si>
  <si>
    <t>Servicio de transporte de carga por vía terrestre</t>
  </si>
  <si>
    <t>P5402</t>
  </si>
  <si>
    <t>Mantenimiento y Reparación de Vehículos automotores y Motocicletas</t>
  </si>
  <si>
    <t>P5501</t>
  </si>
  <si>
    <t>P5502</t>
  </si>
  <si>
    <t>23511</t>
  </si>
  <si>
    <t>23520</t>
  </si>
  <si>
    <t>Azúcar de caña en bruto (sin refinar) sin adición de aromatizantes ni colorantes</t>
  </si>
  <si>
    <t>Azúcar refinada</t>
  </si>
  <si>
    <t>23650</t>
  </si>
  <si>
    <t>23660</t>
  </si>
  <si>
    <t>23670</t>
  </si>
  <si>
    <t>Chocolate y demás preparaciones alimenticias que contengan cacao (excepto cacao en polvo edulcorado) a granel</t>
  </si>
  <si>
    <t>Chocolate y demás preparaciones alimenticias que contengan cacao (excepto cacao en polvo edulcorado), en bloques, tabletas, o barras excepto a granel</t>
  </si>
  <si>
    <t>Artículos de confitería preparados con azúcar (incluyendo chocolate blanco) que no contengan cacao; vegetales, frutas, frutos secos, cascara de frutas y otras partes de plantas, conservadas por azúcar (Dulces).</t>
  </si>
  <si>
    <t>23710</t>
  </si>
  <si>
    <t>Pastas alimenticias sin cocer, rellenar ni preparar de otra forma</t>
  </si>
  <si>
    <t>23999</t>
  </si>
  <si>
    <t>Otros productos alimenticios n.c.p.</t>
  </si>
  <si>
    <t>23311</t>
  </si>
  <si>
    <t>23319</t>
  </si>
  <si>
    <t>Alimentos para perros o gatos, acondicionados para la venta al por menor (Concentrados).</t>
  </si>
  <si>
    <t xml:space="preserve">Alimentos preparados para otros animales y premezclas para la fabricación de alimentos para animales (Concentrados). </t>
  </si>
  <si>
    <t>24131</t>
  </si>
  <si>
    <t>Aguardientes, licores, y otras bebidas destiladas de un grado alcohólico por volumen de alrededor de un 40%</t>
  </si>
  <si>
    <t>24211</t>
  </si>
  <si>
    <t>Vino de uvas frescas, excepto vino espumoso; mosto (zumo) de uva</t>
  </si>
  <si>
    <t>24310</t>
  </si>
  <si>
    <t>Cerveza de malta (con o sin alcohol)</t>
  </si>
  <si>
    <t>26360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</si>
  <si>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</si>
  <si>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26420</t>
  </si>
  <si>
    <t>Hilados de algodón (excepto hilo de coser), que contiene 85% o más en peso de algodón</t>
  </si>
  <si>
    <t>26610</t>
  </si>
  <si>
    <t>26690</t>
  </si>
  <si>
    <t>26720</t>
  </si>
  <si>
    <t>26730</t>
  </si>
  <si>
    <t>Tejidos de algodón con un contenido 85% o más en peso de algodón, de peso no superior 200 g/m2</t>
  </si>
  <si>
    <t>Otros tejidos de algodón</t>
  </si>
  <si>
    <t>Otros tejidos de hilados de filamentos sintéticos o artificiales, que contienen 85% o más en peso de tales filamentos</t>
  </si>
  <si>
    <t>Otros tejidos de hilados de filamentos artificiales o sintéticos</t>
  </si>
  <si>
    <t>Ropa de cama, mantelería, toallas de baño y paños de cocina</t>
  </si>
  <si>
    <t>Cortinas (incluyendo cortinajes de paño) y persianas; cortinas y cenefas (rodapiés) para camas</t>
  </si>
  <si>
    <t>Colchas, edredones, cojines, pufs, almohadas, sacos de dormir y artículos similares, con resortes o rellenos o guarnecidos interiormente con cualquier material o de caucho celular o plástico</t>
  </si>
  <si>
    <t>Otros artículos confeccionados con materias textiles (incluyendo paños para pisos -trapeadores-, paños para platos, limpia polvo y artículos similares para limpieza, chalecos salvavidas y cinturones salvavidas)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</si>
  <si>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</si>
  <si>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28221</t>
  </si>
  <si>
    <t>28222</t>
  </si>
  <si>
    <t>28224</t>
  </si>
  <si>
    <t>28225</t>
  </si>
  <si>
    <t>28231</t>
  </si>
  <si>
    <t>28232</t>
  </si>
  <si>
    <t>28233</t>
  </si>
  <si>
    <t>28234</t>
  </si>
  <si>
    <t>Trajes, abrigos, chaquetas, pantalones largos, pantalones cortos y artículos análogos para hombres o niños, de punto o ganchillo</t>
  </si>
  <si>
    <t>Camisas, calzoncillos (ropa interior), pijamas, batas y artículos similares para hombres o niños, de punto o ganchillo</t>
  </si>
  <si>
    <t>Blusas, camisas (Incluso los Güipiles típicos), enaguas, bragas, camisones, batas y artículos similares para mujeres o niñas, de punto o ganchillo</t>
  </si>
  <si>
    <t>Camisetas y T-shirts (playeras) de todo tipo, de punto o ganchillo</t>
  </si>
  <si>
    <t>Trajes, abrigos, chaquetas, pantalones largos, pantalones cortos y artículos similares para hombres o niños, de tejidos que no sean de punto o ganchillo</t>
  </si>
  <si>
    <t>Camisas, camisetas, calzoncillos, pijamas, batas y artículos análogos para hombres o niños, de tejidos que no sean de punto o ganchillo</t>
  </si>
  <si>
    <t>Trajes sastre, abrigos, chaquetas, vestidos, faldas, pantalones largos, pantalones cortos y artículos análogos para mujeres o niñas, de tejidos que no sean de punto o ganchillo</t>
  </si>
  <si>
    <t>Blusas, camisas, camisetas, enaguas, bragas, camisones, batas y artículos análogos para mujeres o niñas, de tejidos que no sean de punto o ganchillo</t>
  </si>
  <si>
    <t>88221</t>
  </si>
  <si>
    <t>88223</t>
  </si>
  <si>
    <t>Servicios de fabricación de prendas de vestir, excepto prendas de piel</t>
  </si>
  <si>
    <t>Servicios de fabricación de prendas de vestir de punto y ganchillo</t>
  </si>
  <si>
    <t>Otros cueros de bovinos y equinos depilados</t>
  </si>
  <si>
    <t>29220</t>
  </si>
  <si>
    <t>29230</t>
  </si>
  <si>
    <t>29120</t>
  </si>
  <si>
    <t>Consignas, bolsos de mano y artículos similares, de cuero, cuero artificial, plástico, materias textiles, fibra vulcanizada o cartón, juegos de viaje para aseo personal, costura o limpieza del calzado o ropa</t>
  </si>
  <si>
    <t>Correas para relojes de bolsillo o pulsera, excepto de metal</t>
  </si>
  <si>
    <t>29310</t>
  </si>
  <si>
    <t>29320</t>
  </si>
  <si>
    <t>29330</t>
  </si>
  <si>
    <t>29490</t>
  </si>
  <si>
    <t xml:space="preserve">Calzado impermeable con suela y parte superior de caucho o de plástico, excepto el calzado con puntera metálica de protección </t>
  </si>
  <si>
    <t>Calzado con suela y parte superior de caucho o de plástico, excepto el impermeable y el calzado deportivo</t>
  </si>
  <si>
    <t>Calzado con la parte superior de cuero, excepto el calzado deportivo, calzado con puntera metálica de protección y calzado especial diverso</t>
  </si>
  <si>
    <t>Otro calzado de deporte, excepto las botas de patinaje</t>
  </si>
  <si>
    <t>31100</t>
  </si>
  <si>
    <t>31210</t>
  </si>
  <si>
    <t>31310</t>
  </si>
  <si>
    <t>Madera aserrada o desbastada longitudinalmente, cortadas o desenrolladas, de un espesor superior a 6 mm, traviesas de ferrocarril o tranvía (durmientes) de madera sin impregnar</t>
  </si>
  <si>
    <t>Madera con librado continuo a lo largo de cualquiera de sus bordes o caras (incluidas las tablillas y frisos para parqués, sin ensamblar, listones y molduras)</t>
  </si>
  <si>
    <t>Madera sin elaborar, tratada con pintura colorantes, creosota u otros preservativos</t>
  </si>
  <si>
    <t>31430</t>
  </si>
  <si>
    <t>31600</t>
  </si>
  <si>
    <t>31440</t>
  </si>
  <si>
    <t>Las demás madera contrachapada, madera chapada y madera estratificada similar, con excepción de bambú</t>
  </si>
  <si>
    <t>Tableros de partículas (aglomerados) y Tableros similares de madera u otras materias leñosas</t>
  </si>
  <si>
    <t>Tableros de fibra de madera u otros materiales leñosos</t>
  </si>
  <si>
    <t>Obras y piezas de carpintería para edificios y construcción (incluso tableros de madera celular, tableros armados para pisos de parqué, tablillas y ripias)</t>
  </si>
  <si>
    <t>32153</t>
  </si>
  <si>
    <t>32199</t>
  </si>
  <si>
    <t>Los demás artículos de papel n.c.p.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</si>
  <si>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</si>
  <si>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</si>
  <si>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</si>
  <si>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32700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</si>
  <si>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</si>
  <si>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24110</t>
  </si>
  <si>
    <t>Alcohol etílico sin desnaturalizar con grado alcohólico volumétrico de 80% o más</t>
  </si>
  <si>
    <t>34659</t>
  </si>
  <si>
    <t>34649</t>
  </si>
  <si>
    <t>Fertilizantes n.c.p.</t>
  </si>
  <si>
    <t>Otros fertilizantes minerales o químicos que contienen al menos dos nutrientes (nitrógeno, fosfato, potasio), n.c.p.</t>
  </si>
  <si>
    <t>34629</t>
  </si>
  <si>
    <t>Otros fertilizantes fosfatados, n.c.p.</t>
  </si>
  <si>
    <t>34641</t>
  </si>
  <si>
    <t>34661</t>
  </si>
  <si>
    <t>34663</t>
  </si>
  <si>
    <t>Herbicidas, inhibidores de germinación y reguladores del crecimiento de las plantas</t>
  </si>
  <si>
    <t>Insecticidas</t>
  </si>
  <si>
    <t>Fertilizantes minerales que contienen tres nutrientes: nitrógeno, fosfatos y potasio</t>
  </si>
  <si>
    <t>35110</t>
  </si>
  <si>
    <t>Pinturas y barnices y productos relacionados</t>
  </si>
  <si>
    <t>35321</t>
  </si>
  <si>
    <t>Jabón, productos orgánicos tensoactivos y preparados para usar como jabón, papel, guata, fieltro y telas sin tejer, impregnados, recubiertos o revestidos de jabón o detergente</t>
  </si>
  <si>
    <t>35322</t>
  </si>
  <si>
    <t>Detergentes y preparaciones para lavar</t>
  </si>
  <si>
    <t>35323</t>
  </si>
  <si>
    <t>Perfumes y preparaciones de tocador</t>
  </si>
  <si>
    <t>34210</t>
  </si>
  <si>
    <t>34240</t>
  </si>
  <si>
    <t>34280</t>
  </si>
  <si>
    <t>34310</t>
  </si>
  <si>
    <t>34340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</si>
  <si>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</si>
  <si>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Materias colorantes n.c.p.; productos inorgánicos de los tipos utilizados como luminóforos</t>
  </si>
  <si>
    <t>Hidrógeno, nitrógeno, oxígeno, dióxido de carbono y gases nobles, compuestos oxigenados inorgánicos de elementos no metálicos n.c.p.</t>
  </si>
  <si>
    <t>Fosfatos de triamonio, sus sales y peroxisales de ácidos inorgánicos y metales n.c.p.</t>
  </si>
  <si>
    <t>Peróxido de hidrógeno; fosfuros, carburos, hidruros, nitruros, azidas siliciuros y boruros</t>
  </si>
  <si>
    <t>35420</t>
  </si>
  <si>
    <t>35450</t>
  </si>
  <si>
    <t>35460</t>
  </si>
  <si>
    <t>35490</t>
  </si>
  <si>
    <t>Pegamentos y gelatina, peptonas y sus derivados y productos semejantes; caseinatos y otros derivados de la caseína; albuminatos y otros derivados de las albúminas</t>
  </si>
  <si>
    <t>Explosivos preparados, mechas de seguridad, cordones detonantes, fulminantes o detonadores, equipos de encendido, detonadores eléctricos (pólvora)</t>
  </si>
  <si>
    <t>Artículos pirotécnicos</t>
  </si>
  <si>
    <t>Otros productos químicos n.c.p.</t>
  </si>
  <si>
    <t>35260</t>
  </si>
  <si>
    <t>35270</t>
  </si>
  <si>
    <t>Medicamentos, para usos terapéuticos o profilácticos</t>
  </si>
  <si>
    <t>Otros productos farmacéuticos</t>
  </si>
  <si>
    <t>36120</t>
  </si>
  <si>
    <t>36260</t>
  </si>
  <si>
    <t>36270</t>
  </si>
  <si>
    <t>Neumáticos recauchutados (recauchados), de caucho</t>
  </si>
  <si>
    <t>Prendas y accesorios de vestir (incluso guantes) de caucho vulcanizado no endurecido</t>
  </si>
  <si>
    <t>Artículos de caucho vulcanizado n.c.p.; caucho endurecido; artículos de caucho endurecido</t>
  </si>
  <si>
    <t>36320</t>
  </si>
  <si>
    <t>36410</t>
  </si>
  <si>
    <t>36490</t>
  </si>
  <si>
    <t>36920</t>
  </si>
  <si>
    <t>36950</t>
  </si>
  <si>
    <t>36960</t>
  </si>
  <si>
    <t>36990</t>
  </si>
  <si>
    <t>Tubos, caños y mangueras y accesorios, de plástico</t>
  </si>
  <si>
    <t>Sacos y bolsas de plástico</t>
  </si>
  <si>
    <t>Otros artículos para el transporte o envasado, de plástico; tapones, tapas, cápsulas y demás dispositivos de cierre, de plástico</t>
  </si>
  <si>
    <t>Planchas, hojas, películas, cintas, tiras y otras formas planas autoadhesivas, de plásticos</t>
  </si>
  <si>
    <t>Artículos para la construcción, de plástico, n.c.p.</t>
  </si>
  <si>
    <t>Partes n.c.p. de lámparas, accesorios para alumbrado, señales iluminadas, rótulos iluminados y similares, de plásticos</t>
  </si>
  <si>
    <t>Artículos plásticos n.c.p.</t>
  </si>
  <si>
    <t>37113</t>
  </si>
  <si>
    <t>37191</t>
  </si>
  <si>
    <t>Vidrio templado y vidrio pulido o pulimentado, en planchas</t>
  </si>
  <si>
    <t>Botellas, tarros, frascos y otros recipientes de vidrio, del tipo de los utilizados para el transporte o envasado de mercancías, excepto ampollas; tapones, tapas y demás dispositivos de cierre, de vidrio</t>
  </si>
  <si>
    <t>37350</t>
  </si>
  <si>
    <t>37370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</si>
  <si>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</si>
  <si>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Baldosas y losas para pavimentos, chimeneas o muros; cubos de mosaicos de cerámicos y artículos similares</t>
  </si>
  <si>
    <t>37210</t>
  </si>
  <si>
    <t>Lavaderos, bañeras, inodoros, cisternas de descarga de agua y artefactos sanitarios similares de cerámicos</t>
  </si>
  <si>
    <t>37440</t>
  </si>
  <si>
    <t>Cemento Portland, cemento alumináceo, cemento de escorias y cementos hidráulicos similares, excepto en forma de clinkers (CEMENTO GRIS)</t>
  </si>
  <si>
    <t>37510</t>
  </si>
  <si>
    <t>37540</t>
  </si>
  <si>
    <t>Hormigones (Concreto) y morteros, no refractarios</t>
  </si>
  <si>
    <t>Azulejos, baldosas, ladrillos y artículos similares, de cemento, hormigón o piedra artificial (Block)</t>
  </si>
  <si>
    <t>37610</t>
  </si>
  <si>
    <t>37690</t>
  </si>
  <si>
    <t>Mármol, travertino y alabastro, labrados, y sus manufacturas (excepto adoquines, encintados, losas para pavimento, baldosas, cubos y artículos análogos); gravilla, lasca y polvo artificialmente coloreados de mármol, travertino y alabastro</t>
  </si>
  <si>
    <t>Otros artículos de piedra de construcción o de talla labrada y sus manufacturas; otros tipos de gravilla, lasca y polvo artificialmente coloreados de piedra natural; artículos de pizarra aglomerada (Adoquín)</t>
  </si>
  <si>
    <t>41211</t>
  </si>
  <si>
    <t>41231</t>
  </si>
  <si>
    <t>41241</t>
  </si>
  <si>
    <t>41242</t>
  </si>
  <si>
    <t>41251</t>
  </si>
  <si>
    <t>41262</t>
  </si>
  <si>
    <t>41283</t>
  </si>
  <si>
    <t>Productos laminados planos de hierro o acero no aleado, sin otra elaboración que el laminado en caliente, de un ancho de 600 mm o más</t>
  </si>
  <si>
    <t>Productos laminados planos de hierro o acero no aleado, revestidos, enchapados, recubiertos o con mayor elaboración</t>
  </si>
  <si>
    <t>Barras y varillas, laminadas en caliente, enrolladas irregularmente, de hierro o acero no aleado</t>
  </si>
  <si>
    <t>Otras barras y varillas de hierro o acero no aleado, sin otra elaboración que el forjado, laminado, estirado o la extrusión en caliente, incluso las sometidas a torsión después del laminado</t>
  </si>
  <si>
    <t>Ángulos, perfiles y secciones, sin otra elaboración que el laminado o extrusión en caliente o extrudidos, de hierro o acero no aleado</t>
  </si>
  <si>
    <t>Ángulos, perfiles y secciones, de hierro o acero no aleados, moldeado o acabado en frío, con mayor elaboración</t>
  </si>
  <si>
    <t>Otros tubos y cañerías, de sección transversal circular, sin soldadura</t>
  </si>
  <si>
    <t>42210</t>
  </si>
  <si>
    <t>42912</t>
  </si>
  <si>
    <t>42931</t>
  </si>
  <si>
    <t>42945</t>
  </si>
  <si>
    <t>42993</t>
  </si>
  <si>
    <t>Depósitos, cisternas, cubas y recipientes similares (excepto para gas comprimido o licuado), de hierro, acero o aluminio, de una capacidad superior a 300 litros, sin dispositivos mecánicos o térmicos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</si>
  <si>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</si>
  <si>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Cisternas, barriles, tambores, bidones, cajas y recipientes similares (excepto para gas comprimido o licuado) de hierro, acero o aluminio, de una capacidad no superior a 300 litros, sin dispositivos mecánicos o térmicos</t>
  </si>
  <si>
    <t>Resortes y hojas para resortes, de hierro o acero</t>
  </si>
  <si>
    <t>Cajas fuertes blindadas o reforzadas, cofres de seguridad, puertas y casilleros de seguridad para habitaciones o cámaras blindadas, cajas de dinero o documentos y artículos similares, de metales comunes</t>
  </si>
  <si>
    <t>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</si>
  <si>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</si>
  <si>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87310</t>
  </si>
  <si>
    <t>Servicios de instalación de productos metálicos elaborados, excepto maquinaria y equipo</t>
  </si>
  <si>
    <t>43913</t>
  </si>
  <si>
    <t>Equipo de refrigeración o congelación y bombas de calor, excepto equipo para uso doméstico</t>
  </si>
  <si>
    <t>49129</t>
  </si>
  <si>
    <t>49229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</si>
  <si>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</si>
  <si>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Otros tipos de remolques y semi-remolques (incluidos los de uso  para transporte de mercancías), con excepción de los de uso  para fines agrícolas con sistema de carga o descarga automática</t>
  </si>
  <si>
    <t>44160</t>
  </si>
  <si>
    <t>Remolques y semirremolques, autocargadores o autodescargadores, para uso agrícola</t>
  </si>
  <si>
    <t>38122</t>
  </si>
  <si>
    <t>38140</t>
  </si>
  <si>
    <t>38150</t>
  </si>
  <si>
    <t>Otros muebles de madera, del tipo utilizado en oficinas</t>
  </si>
  <si>
    <t>Otros muebles n.c.p.</t>
  </si>
  <si>
    <t>Somieres; colchones, con resortes o rellenos con cualquier material, incluidos los de caucho o plástico celular, estén o no recubiertos</t>
  </si>
  <si>
    <t>38997</t>
  </si>
  <si>
    <t>38998</t>
  </si>
  <si>
    <t>Bisutería (joyas de fantasía)</t>
  </si>
  <si>
    <t xml:space="preserve">Fósforos o cerillas </t>
  </si>
  <si>
    <t>38240</t>
  </si>
  <si>
    <t>Joyas y otros artículos de metales preciosos o de metales revestidos con metales preciosos; artículos de perlas naturales o cultivadas, de piedras preciosas o semipreciosas (naturales, sintéticas o reconstituidas)</t>
  </si>
  <si>
    <t>1010</t>
  </si>
  <si>
    <t>1061</t>
  </si>
  <si>
    <t>1071</t>
  </si>
  <si>
    <t>1410</t>
  </si>
  <si>
    <t>1391</t>
  </si>
  <si>
    <t>1311</t>
  </si>
  <si>
    <t>2011</t>
  </si>
  <si>
    <t>Carne de ganado bovino, fresca o refrigerada</t>
  </si>
  <si>
    <t>Otras carnes de mamíferos, fresca o refrigerada</t>
  </si>
  <si>
    <t>21119</t>
  </si>
  <si>
    <t>21221</t>
  </si>
  <si>
    <t>Filetes y carne de pescado (este o no picada), frescos o refrigerados</t>
  </si>
  <si>
    <t>code</t>
  </si>
  <si>
    <t>NOMBRE</t>
  </si>
  <si>
    <t>1079</t>
  </si>
  <si>
    <t>1512</t>
  </si>
  <si>
    <t>VALOR AGREGADO</t>
  </si>
  <si>
    <t>Participacion 2022</t>
  </si>
  <si>
    <t>Participacion 2023</t>
  </si>
  <si>
    <t>Partic. 2023 VAB</t>
  </si>
  <si>
    <t>1075</t>
  </si>
  <si>
    <t>1621</t>
  </si>
  <si>
    <t>1701</t>
  </si>
  <si>
    <t>1811</t>
  </si>
  <si>
    <t>1910</t>
  </si>
  <si>
    <t>2012</t>
  </si>
  <si>
    <t>2211</t>
  </si>
  <si>
    <t>2391</t>
  </si>
  <si>
    <t>2396</t>
  </si>
  <si>
    <t>2410</t>
  </si>
  <si>
    <t>2511</t>
  </si>
  <si>
    <t>261-309</t>
  </si>
  <si>
    <t>3211</t>
  </si>
  <si>
    <t>23490A</t>
  </si>
  <si>
    <t>23490B</t>
  </si>
  <si>
    <t>23140A</t>
  </si>
  <si>
    <t>23140B</t>
  </si>
  <si>
    <t/>
  </si>
  <si>
    <t>1511</t>
  </si>
  <si>
    <t>11</t>
  </si>
  <si>
    <t>2392</t>
  </si>
  <si>
    <t>2511-2512-2599</t>
  </si>
  <si>
    <t>2819-2821-2930</t>
  </si>
  <si>
    <t>2011-2029</t>
  </si>
  <si>
    <t>C1010.21111</t>
  </si>
  <si>
    <t>C1010</t>
  </si>
  <si>
    <t>C1010.21113</t>
  </si>
  <si>
    <t>C1010.21119</t>
  </si>
  <si>
    <t>C1010.21121</t>
  </si>
  <si>
    <t>C1010.21174</t>
  </si>
  <si>
    <t>C1030</t>
  </si>
  <si>
    <t>C1030.21431</t>
  </si>
  <si>
    <t>C1030.21435</t>
  </si>
  <si>
    <t>C1030.21439</t>
  </si>
  <si>
    <t>C1030.21311</t>
  </si>
  <si>
    <t>C1030.21395</t>
  </si>
  <si>
    <t>C1030.21399</t>
  </si>
  <si>
    <t>C1030.21491</t>
  </si>
  <si>
    <t>C1030.21492</t>
  </si>
  <si>
    <t>C1030.21493</t>
  </si>
  <si>
    <t>C1030.21494</t>
  </si>
  <si>
    <t>C1030.21495</t>
  </si>
  <si>
    <t>C1030.21499</t>
  </si>
  <si>
    <t>C1030.24410</t>
  </si>
  <si>
    <t>C1040</t>
  </si>
  <si>
    <t>C1040.21535</t>
  </si>
  <si>
    <t>C1040.21539</t>
  </si>
  <si>
    <t>C1040.21545</t>
  </si>
  <si>
    <t>C1040.21549</t>
  </si>
  <si>
    <t>C1050</t>
  </si>
  <si>
    <t>C1050.22229</t>
  </si>
  <si>
    <t>C1050.22251</t>
  </si>
  <si>
    <t>C1050.22260</t>
  </si>
  <si>
    <t>C1050.22270</t>
  </si>
  <si>
    <t>C1050.22290</t>
  </si>
  <si>
    <t>C1050.22110</t>
  </si>
  <si>
    <t>C1050.22120</t>
  </si>
  <si>
    <t>C1061</t>
  </si>
  <si>
    <t>C1061.23110</t>
  </si>
  <si>
    <t>C1061.23161</t>
  </si>
  <si>
    <t>C1061.23140</t>
  </si>
  <si>
    <t>C1061.23130</t>
  </si>
  <si>
    <t>C1062</t>
  </si>
  <si>
    <t>C1062.88162</t>
  </si>
  <si>
    <t>C1071</t>
  </si>
  <si>
    <t>C1071.23420</t>
  </si>
  <si>
    <t>C1071.23430</t>
  </si>
  <si>
    <t>C1072</t>
  </si>
  <si>
    <t>C1072.23511</t>
  </si>
  <si>
    <t>C1072.23520</t>
  </si>
  <si>
    <t>C1073</t>
  </si>
  <si>
    <t>C1073.23650</t>
  </si>
  <si>
    <t>C1073.23660</t>
  </si>
  <si>
    <t>C1073.23670</t>
  </si>
  <si>
    <t>C1074</t>
  </si>
  <si>
    <t>C1074.23710</t>
  </si>
  <si>
    <t>C1079</t>
  </si>
  <si>
    <t>C1079.23911</t>
  </si>
  <si>
    <t>C1079.23912</t>
  </si>
  <si>
    <t>C1079.23921</t>
  </si>
  <si>
    <t>C1079.23928</t>
  </si>
  <si>
    <t>C1079.23992</t>
  </si>
  <si>
    <t>C1079.23995</t>
  </si>
  <si>
    <t>C1079.23996</t>
  </si>
  <si>
    <t>C1079.23999</t>
  </si>
  <si>
    <t>C1080</t>
  </si>
  <si>
    <t>C1080.23311</t>
  </si>
  <si>
    <t>C1080.23319</t>
  </si>
  <si>
    <t>C1103</t>
  </si>
  <si>
    <t>C1103.24310</t>
  </si>
  <si>
    <t>C1104</t>
  </si>
  <si>
    <t>C1104.24490</t>
  </si>
  <si>
    <t>C1311</t>
  </si>
  <si>
    <t>C1311.26360</t>
  </si>
  <si>
    <t>C1311.26420</t>
  </si>
  <si>
    <t>C1311.26610</t>
  </si>
  <si>
    <t>C1311.26690</t>
  </si>
  <si>
    <t>C1311.26720</t>
  </si>
  <si>
    <t>C1311.26730</t>
  </si>
  <si>
    <t>C1391</t>
  </si>
  <si>
    <t>C1391.27120</t>
  </si>
  <si>
    <t>C1391.27130</t>
  </si>
  <si>
    <t>C1391.27180</t>
  </si>
  <si>
    <t>C1391.27190</t>
  </si>
  <si>
    <t>C1391.27911</t>
  </si>
  <si>
    <t>C1410</t>
  </si>
  <si>
    <t>C1410.28221</t>
  </si>
  <si>
    <t>C1410.28222</t>
  </si>
  <si>
    <t>C1410.28224</t>
  </si>
  <si>
    <t>C1410.28225</t>
  </si>
  <si>
    <t>C1410.28231</t>
  </si>
  <si>
    <t>C1410.28232</t>
  </si>
  <si>
    <t>C1410.28233</t>
  </si>
  <si>
    <t>C1410.28234</t>
  </si>
  <si>
    <t>C1410.88221</t>
  </si>
  <si>
    <t>C1410.88223</t>
  </si>
  <si>
    <t>C1520</t>
  </si>
  <si>
    <t>C1520.29310</t>
  </si>
  <si>
    <t>C1520.29320</t>
  </si>
  <si>
    <t>C1520.29330</t>
  </si>
  <si>
    <t>C1520.29490</t>
  </si>
  <si>
    <t>C1610</t>
  </si>
  <si>
    <t>C1610.31100</t>
  </si>
  <si>
    <t>C1610.31210</t>
  </si>
  <si>
    <t>C1610.31310</t>
  </si>
  <si>
    <t>C1621</t>
  </si>
  <si>
    <t>C1621.31420</t>
  </si>
  <si>
    <t>C1621.31430</t>
  </si>
  <si>
    <t>C1621.31440</t>
  </si>
  <si>
    <t>C1622.31600</t>
  </si>
  <si>
    <t>C1702-1709.1702</t>
  </si>
  <si>
    <t>C1702.32153</t>
  </si>
  <si>
    <t>C1709.32193</t>
  </si>
  <si>
    <t>C1709.32199</t>
  </si>
  <si>
    <t>C1811.1811</t>
  </si>
  <si>
    <t>C1811.32690</t>
  </si>
  <si>
    <t>C2011</t>
  </si>
  <si>
    <t>C2011.24110</t>
  </si>
  <si>
    <t>C2012.2021</t>
  </si>
  <si>
    <t>C2012.34641</t>
  </si>
  <si>
    <t>C2012.34644</t>
  </si>
  <si>
    <t>C2012.34649</t>
  </si>
  <si>
    <t>C2012.34659</t>
  </si>
  <si>
    <t>C2021.34661</t>
  </si>
  <si>
    <t>C2021.34663</t>
  </si>
  <si>
    <t>C2022</t>
  </si>
  <si>
    <t>C2022.35110</t>
  </si>
  <si>
    <t>C2023</t>
  </si>
  <si>
    <t>C2023.35321</t>
  </si>
  <si>
    <t>C2023.35322</t>
  </si>
  <si>
    <t>C2023.35323</t>
  </si>
  <si>
    <t>C.2011-2029</t>
  </si>
  <si>
    <t>C2011.34210</t>
  </si>
  <si>
    <t>C2011.34240</t>
  </si>
  <si>
    <t>C2011.34280</t>
  </si>
  <si>
    <t>C2011.34310</t>
  </si>
  <si>
    <t>C2011.34340</t>
  </si>
  <si>
    <t>C2029.35420</t>
  </si>
  <si>
    <t>C2029.35450</t>
  </si>
  <si>
    <t>C2029.35460</t>
  </si>
  <si>
    <t>C2029.35490</t>
  </si>
  <si>
    <t>C2029.38998</t>
  </si>
  <si>
    <t>C2100</t>
  </si>
  <si>
    <t>C2100.35260</t>
  </si>
  <si>
    <t>C2100.35270</t>
  </si>
  <si>
    <t>C2220</t>
  </si>
  <si>
    <t>C2220.36320</t>
  </si>
  <si>
    <t>C2220.36410</t>
  </si>
  <si>
    <t>C2220.36490</t>
  </si>
  <si>
    <t>C2220.36920</t>
  </si>
  <si>
    <t>C2220.36950</t>
  </si>
  <si>
    <t>C2220.36960</t>
  </si>
  <si>
    <t>C2220.36990</t>
  </si>
  <si>
    <t>C2310</t>
  </si>
  <si>
    <t>C2310.37113</t>
  </si>
  <si>
    <t>C2310.37191</t>
  </si>
  <si>
    <t>C2392</t>
  </si>
  <si>
    <t>C2392.37210</t>
  </si>
  <si>
    <t>C2392.37350</t>
  </si>
  <si>
    <t>C2392.37370</t>
  </si>
  <si>
    <t>C2394</t>
  </si>
  <si>
    <t>C2394.37440</t>
  </si>
  <si>
    <t>C2395</t>
  </si>
  <si>
    <t>C2395.37510</t>
  </si>
  <si>
    <t>C2395.37540</t>
  </si>
  <si>
    <t>C2410</t>
  </si>
  <si>
    <t>C2410.41211</t>
  </si>
  <si>
    <t>C2410.41231</t>
  </si>
  <si>
    <t>C2410.41241</t>
  </si>
  <si>
    <t>C2410.41242</t>
  </si>
  <si>
    <t>C2410.41251</t>
  </si>
  <si>
    <t>C2410.41262</t>
  </si>
  <si>
    <t>C2410.41283</t>
  </si>
  <si>
    <t>C.2511-2512-2599</t>
  </si>
  <si>
    <t>C2512.42210</t>
  </si>
  <si>
    <t>C2599.42912</t>
  </si>
  <si>
    <t>C2599.42931</t>
  </si>
  <si>
    <t>C2599.42945</t>
  </si>
  <si>
    <t>C2599.42993</t>
  </si>
  <si>
    <t>C2511.42190</t>
  </si>
  <si>
    <t>C.2819-2821-2930</t>
  </si>
  <si>
    <t>C2819.87310</t>
  </si>
  <si>
    <t>C2819.43913</t>
  </si>
  <si>
    <t>C2930.49129</t>
  </si>
  <si>
    <t>C2920.49229</t>
  </si>
  <si>
    <t>C2821.44160</t>
  </si>
  <si>
    <t>C3100</t>
  </si>
  <si>
    <t>C3100.38122</t>
  </si>
  <si>
    <t>C3100.38140</t>
  </si>
  <si>
    <t>C3100.38150</t>
  </si>
  <si>
    <t>C3212.38997</t>
  </si>
  <si>
    <t>C3211.38240</t>
  </si>
  <si>
    <t>C3211-3212</t>
  </si>
  <si>
    <t>3211-3212</t>
  </si>
  <si>
    <t>nivel</t>
  </si>
  <si>
    <t>codigo</t>
  </si>
  <si>
    <t>Clases</t>
  </si>
  <si>
    <t>producto_codigo</t>
  </si>
  <si>
    <t>C1020.21221</t>
  </si>
  <si>
    <t>C1020.21250</t>
  </si>
  <si>
    <t>C1040.21550</t>
  </si>
  <si>
    <t>C1040.21590</t>
  </si>
  <si>
    <t>C1061.23140A</t>
  </si>
  <si>
    <t>C1061.23140B</t>
  </si>
  <si>
    <t>C1061.39120</t>
  </si>
  <si>
    <t>C1071.23490A</t>
  </si>
  <si>
    <t>C1071.23490B</t>
  </si>
  <si>
    <t>C1072.23540</t>
  </si>
  <si>
    <t>C1075.21176</t>
  </si>
  <si>
    <t>C1101.24131</t>
  </si>
  <si>
    <t>C1104.24410</t>
  </si>
  <si>
    <t>C1312.26610</t>
  </si>
  <si>
    <t>C1312.26690</t>
  </si>
  <si>
    <t>C1312.26720</t>
  </si>
  <si>
    <t>C1312.26730</t>
  </si>
  <si>
    <t>C1392.27120</t>
  </si>
  <si>
    <t>C1392.27180</t>
  </si>
  <si>
    <t>C1392.27190</t>
  </si>
  <si>
    <t>C1399.27911</t>
  </si>
  <si>
    <t>C1709.32700</t>
  </si>
  <si>
    <t>C2211.36120</t>
  </si>
  <si>
    <t>C2219.36260</t>
  </si>
  <si>
    <t>C2219.36270</t>
  </si>
  <si>
    <t>Eliminar</t>
  </si>
  <si>
    <t>gaseosas</t>
  </si>
  <si>
    <t xml:space="preserve">agua </t>
  </si>
  <si>
    <t>24490A</t>
  </si>
  <si>
    <t>C1104.24490A</t>
  </si>
  <si>
    <t>24490B</t>
  </si>
  <si>
    <t>24490C</t>
  </si>
  <si>
    <t>Refrescos artificiales</t>
  </si>
  <si>
    <t>Otras bebidas calóricas no alcohólicas (Bebidas hidratantes y bebidas energizantes)</t>
  </si>
  <si>
    <t>C1104.24490B</t>
  </si>
  <si>
    <t>C1104.24490C</t>
  </si>
  <si>
    <t>Eliminado</t>
  </si>
  <si>
    <t>agregado</t>
  </si>
  <si>
    <t>Otros platos y comidas preparadas</t>
  </si>
  <si>
    <t>C1075.23997</t>
  </si>
  <si>
    <t>hidratantes</t>
  </si>
  <si>
    <t>21311</t>
  </si>
  <si>
    <t>21395</t>
  </si>
  <si>
    <t>21399</t>
  </si>
  <si>
    <t>27120</t>
  </si>
  <si>
    <t>27180</t>
  </si>
  <si>
    <t>27190</t>
  </si>
  <si>
    <t>27911</t>
  </si>
  <si>
    <t>31420</t>
  </si>
  <si>
    <t>32690</t>
  </si>
  <si>
    <t>34644</t>
  </si>
  <si>
    <t>Despojos comestibles de aves de corral, frescos, refrigerados o congelados</t>
  </si>
  <si>
    <t>C1010.21160</t>
  </si>
  <si>
    <t>C10</t>
  </si>
  <si>
    <t>ELABORACIÓN DE PRODUCTOS ALIMENTICIOS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</si>
  <si>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</si>
  <si>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</si>
  <si>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</si>
  <si>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</si>
  <si>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</si>
  <si>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</si>
  <si>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</si>
  <si>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CUEROS Y PRODUCTOS CONEXOS</t>
  </si>
  <si>
    <t>C16</t>
  </si>
  <si>
    <t>PRODUCCIÓN DE MADERA Y FABRICACIÓN DE PRODUCTOS DE MADERA Y CORCHO, EXCEPTO MUEBLES; FABRICACIÓN DE ARTÍCULOS DE PAJA Y
DE MATERIALES TRENZABLES</t>
  </si>
  <si>
    <t>C17</t>
  </si>
  <si>
    <t>FABRICACIÓN DE PAPEL Y DE PRODUCTOS DE PAPEL</t>
  </si>
  <si>
    <t>C18</t>
  </si>
  <si>
    <t>IMPRESIÓN Y REPRODUCCIÓN DE GRABACIONES</t>
  </si>
  <si>
    <t>C20</t>
  </si>
  <si>
    <t>FABRICACIÓN DE SUBSTANCIAS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</si>
  <si>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</si>
  <si>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</si>
  <si>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</si>
  <si>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</si>
  <si>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</si>
  <si>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</si>
  <si>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</si>
  <si>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</si>
  <si>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</si>
  <si>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</si>
  <si>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C28</t>
  </si>
  <si>
    <t>FABRICACIÓN DE MAQUINARIA Y EQUIPO N.C.P.</t>
  </si>
  <si>
    <t>C31</t>
  </si>
  <si>
    <t>FABRICACIÓN DE MUEBLES</t>
  </si>
  <si>
    <t>C32</t>
  </si>
  <si>
    <t>OTRAS INDUSTRIAS MANUFACTURERAS</t>
  </si>
  <si>
    <t>T</t>
  </si>
  <si>
    <t>Codigo_CIIU_CCP</t>
  </si>
  <si>
    <t>Nombre</t>
  </si>
  <si>
    <t>Ponderacion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</si>
</sst>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_ ;_ * \-#,##0.0_ ;_ * &quot;-&quot;??_ ;_ @_ "/>
    <numFmt numFmtId="165" formatCode="_ * #,##0.00_ ;_ * \-#,##0.00_ ;_ * &quot;-&quot;??_ ;_ @_ "/>
    <numFmt numFmtId="166" formatCode="#,##0.0"/>
    <numFmt numFmtId="167" formatCode="0.000%"/>
    <numFmt numFmtId="168" formatCode="0.0000%"/>
    <numFmt numFmtId="169" formatCode="0.0"/>
    <numFmt numFmtId="170" formatCode="0.0000"/>
    <numFmt numFmtId="171" formatCode="0.00000%"/>
    <numFmt numFmtId="172" formatCode="0.000000000000000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 Unicode MS"/>
      <family val="2"/>
    </font>
    <font>
      <sz val="11"/>
      <color theme="1"/>
      <name val="Arial Unicode MS"/>
    </font>
    <font>
      <b/>
      <sz val="11"/>
      <color theme="0"/>
      <name val="Arial Unicode MS"/>
      <family val="2"/>
    </font>
    <font>
      <b/>
      <sz val="11"/>
      <color theme="1"/>
      <name val="Arial Unicode MS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rial Unicode M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64" fontId="4" fillId="2" borderId="3" xfId="1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164" fontId="0" fillId="4" borderId="8" xfId="1" applyNumberFormat="1" applyFont="1" applyFill="1" applyBorder="1" applyAlignment="1">
      <alignment vertical="center"/>
    </xf>
    <xf numFmtId="165" fontId="0" fillId="4" borderId="8" xfId="1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166" fontId="6" fillId="2" borderId="2" xfId="0" applyNumberFormat="1" applyFont="1" applyFill="1" applyBorder="1" applyAlignment="1">
      <alignment vertical="center"/>
    </xf>
    <xf numFmtId="164" fontId="6" fillId="2" borderId="3" xfId="1" applyNumberFormat="1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167" fontId="0" fillId="4" borderId="8" xfId="2" applyNumberFormat="1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64" fontId="0" fillId="0" borderId="14" xfId="1" applyNumberFormat="1" applyFont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164" fontId="2" fillId="4" borderId="8" xfId="1" applyNumberFormat="1" applyFont="1" applyFill="1" applyBorder="1" applyAlignment="1">
      <alignment vertical="center"/>
    </xf>
    <xf numFmtId="167" fontId="0" fillId="0" borderId="0" xfId="2" applyNumberFormat="1" applyFont="1"/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164" fontId="0" fillId="0" borderId="17" xfId="1" applyNumberFormat="1" applyFont="1" applyBorder="1" applyAlignment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43" fontId="5" fillId="3" borderId="20" xfId="1" applyFont="1" applyFill="1" applyBorder="1" applyAlignment="1">
      <alignment horizontal="center" vertical="center"/>
    </xf>
    <xf numFmtId="43" fontId="5" fillId="3" borderId="21" xfId="1" applyFont="1" applyFill="1" applyBorder="1" applyAlignment="1">
      <alignment horizontal="center" vertical="center"/>
    </xf>
    <xf numFmtId="43" fontId="5" fillId="3" borderId="23" xfId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66" fontId="3" fillId="2" borderId="2" xfId="0" applyNumberFormat="1" applyFont="1" applyFill="1" applyBorder="1" applyAlignment="1">
      <alignment vertical="center"/>
    </xf>
    <xf numFmtId="9" fontId="6" fillId="2" borderId="2" xfId="2" applyFont="1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164" fontId="0" fillId="4" borderId="17" xfId="1" applyNumberFormat="1" applyFont="1" applyFill="1" applyBorder="1" applyAlignment="1">
      <alignment vertical="center"/>
    </xf>
    <xf numFmtId="165" fontId="0" fillId="4" borderId="0" xfId="1" applyNumberFormat="1" applyFont="1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26" xfId="0" applyFill="1" applyBorder="1" applyAlignment="1">
      <alignment vertical="center"/>
    </xf>
    <xf numFmtId="164" fontId="0" fillId="4" borderId="24" xfId="1" applyNumberFormat="1" applyFont="1" applyFill="1" applyBorder="1" applyAlignment="1">
      <alignment vertical="center"/>
    </xf>
    <xf numFmtId="164" fontId="2" fillId="4" borderId="24" xfId="1" applyNumberFormat="1" applyFont="1" applyFill="1" applyBorder="1" applyAlignment="1">
      <alignment vertical="center"/>
    </xf>
    <xf numFmtId="0" fontId="7" fillId="5" borderId="14" xfId="0" applyFont="1" applyFill="1" applyBorder="1"/>
    <xf numFmtId="0" fontId="7" fillId="0" borderId="14" xfId="0" applyFont="1" applyBorder="1"/>
    <xf numFmtId="164" fontId="2" fillId="4" borderId="17" xfId="1" applyNumberFormat="1" applyFont="1" applyFill="1" applyBorder="1" applyAlignment="1">
      <alignment vertical="center"/>
    </xf>
    <xf numFmtId="0" fontId="2" fillId="0" borderId="0" xfId="0" applyFont="1"/>
    <xf numFmtId="164" fontId="2" fillId="0" borderId="11" xfId="1" applyNumberFormat="1" applyFont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2" fillId="6" borderId="12" xfId="0" applyFont="1" applyFill="1" applyBorder="1" applyAlignment="1">
      <alignment vertical="center"/>
    </xf>
    <xf numFmtId="0" fontId="2" fillId="6" borderId="0" xfId="0" applyFont="1" applyFill="1"/>
    <xf numFmtId="0" fontId="0" fillId="0" borderId="26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164" fontId="0" fillId="0" borderId="24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1" applyNumberFormat="1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0" xfId="0" applyFont="1"/>
    <xf numFmtId="0" fontId="9" fillId="6" borderId="0" xfId="0" applyFont="1" applyFill="1"/>
    <xf numFmtId="167" fontId="0" fillId="4" borderId="0" xfId="2" applyNumberFormat="1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1" fontId="5" fillId="3" borderId="0" xfId="0" applyNumberFormat="1" applyFont="1" applyFill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4" borderId="8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left"/>
    </xf>
    <xf numFmtId="1" fontId="8" fillId="0" borderId="16" xfId="0" applyNumberFormat="1" applyFont="1" applyBorder="1" applyAlignment="1">
      <alignment horizontal="left" vertical="center"/>
    </xf>
    <xf numFmtId="1" fontId="9" fillId="6" borderId="0" xfId="0" applyNumberFormat="1" applyFont="1" applyFill="1" applyAlignment="1">
      <alignment horizontal="left"/>
    </xf>
    <xf numFmtId="1" fontId="2" fillId="6" borderId="0" xfId="0" applyNumberFormat="1" applyFont="1" applyFill="1" applyAlignment="1">
      <alignment horizontal="left"/>
    </xf>
    <xf numFmtId="1" fontId="6" fillId="2" borderId="2" xfId="2" applyNumberFormat="1" applyFont="1" applyFill="1" applyBorder="1" applyAlignment="1">
      <alignment horizontal="left" vertical="center"/>
    </xf>
    <xf numFmtId="1" fontId="5" fillId="3" borderId="0" xfId="0" applyNumberFormat="1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1" fontId="8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" fontId="9" fillId="6" borderId="0" xfId="0" applyNumberFormat="1" applyFont="1" applyFill="1"/>
    <xf numFmtId="1" fontId="2" fillId="6" borderId="0" xfId="0" applyNumberFormat="1" applyFont="1" applyFill="1"/>
    <xf numFmtId="1" fontId="0" fillId="4" borderId="9" xfId="2" applyNumberFormat="1" applyFont="1" applyFill="1" applyBorder="1" applyAlignment="1">
      <alignment vertical="center"/>
    </xf>
    <xf numFmtId="1" fontId="8" fillId="0" borderId="27" xfId="0" applyNumberFormat="1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167" fontId="6" fillId="2" borderId="0" xfId="2" applyNumberFormat="1" applyFont="1" applyFill="1" applyBorder="1" applyAlignment="1">
      <alignment horizontal="right" vertical="center"/>
    </xf>
    <xf numFmtId="167" fontId="0" fillId="0" borderId="0" xfId="2" applyNumberFormat="1" applyFont="1" applyBorder="1"/>
    <xf numFmtId="0" fontId="8" fillId="0" borderId="0" xfId="0" applyFont="1" applyAlignment="1">
      <alignment vertical="center"/>
    </xf>
    <xf numFmtId="168" fontId="0" fillId="0" borderId="0" xfId="2" applyNumberFormat="1" applyFont="1" applyBorder="1"/>
    <xf numFmtId="49" fontId="0" fillId="0" borderId="0" xfId="0" applyNumberFormat="1" applyAlignment="1">
      <alignment horizontal="left"/>
    </xf>
    <xf numFmtId="0" fontId="5" fillId="3" borderId="5" xfId="0" applyFont="1" applyFill="1" applyBorder="1" applyAlignment="1">
      <alignment horizontal="center" vertical="center"/>
    </xf>
    <xf numFmtId="166" fontId="6" fillId="2" borderId="28" xfId="0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169" fontId="0" fillId="0" borderId="0" xfId="1" applyNumberFormat="1" applyFont="1" applyAlignment="1">
      <alignment vertical="center"/>
    </xf>
    <xf numFmtId="170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164" fontId="0" fillId="0" borderId="0" xfId="0" applyNumberFormat="1"/>
    <xf numFmtId="167" fontId="0" fillId="0" borderId="0" xfId="2" applyNumberFormat="1" applyFont="1" applyBorder="1" applyAlignment="1">
      <alignment vertical="center"/>
    </xf>
    <xf numFmtId="1" fontId="0" fillId="7" borderId="0" xfId="0" applyNumberFormat="1" applyFill="1" applyAlignment="1">
      <alignment horizontal="left"/>
    </xf>
    <xf numFmtId="0" fontId="0" fillId="7" borderId="0" xfId="0" applyFill="1"/>
    <xf numFmtId="167" fontId="0" fillId="7" borderId="0" xfId="2" applyNumberFormat="1" applyFont="1" applyFill="1"/>
    <xf numFmtId="1" fontId="2" fillId="7" borderId="0" xfId="0" applyNumberFormat="1" applyFont="1" applyFill="1" applyAlignment="1">
      <alignment horizontal="left"/>
    </xf>
    <xf numFmtId="0" fontId="2" fillId="7" borderId="0" xfId="0" applyFont="1" applyFill="1"/>
    <xf numFmtId="168" fontId="0" fillId="7" borderId="0" xfId="2" applyNumberFormat="1" applyFont="1" applyFill="1"/>
    <xf numFmtId="0" fontId="0" fillId="8" borderId="0" xfId="0" applyFill="1"/>
    <xf numFmtId="167" fontId="0" fillId="8" borderId="8" xfId="2" applyNumberFormat="1" applyFont="1" applyFill="1" applyBorder="1" applyAlignment="1">
      <alignment vertical="center"/>
    </xf>
    <xf numFmtId="1" fontId="0" fillId="9" borderId="0" xfId="0" applyNumberFormat="1" applyFill="1" applyAlignment="1">
      <alignment horizontal="left"/>
    </xf>
    <xf numFmtId="0" fontId="0" fillId="9" borderId="0" xfId="0" applyFill="1"/>
    <xf numFmtId="1" fontId="8" fillId="9" borderId="0" xfId="0" applyNumberFormat="1" applyFont="1" applyFill="1" applyAlignment="1">
      <alignment horizontal="left"/>
    </xf>
    <xf numFmtId="0" fontId="8" fillId="9" borderId="0" xfId="0" applyFont="1" applyFill="1"/>
    <xf numFmtId="1" fontId="2" fillId="9" borderId="0" xfId="0" applyNumberFormat="1" applyFont="1" applyFill="1" applyAlignment="1">
      <alignment horizontal="left"/>
    </xf>
    <xf numFmtId="0" fontId="2" fillId="9" borderId="0" xfId="0" applyFont="1" applyFill="1"/>
    <xf numFmtId="1" fontId="9" fillId="9" borderId="0" xfId="0" applyNumberFormat="1" applyFont="1" applyFill="1" applyAlignment="1">
      <alignment horizontal="left"/>
    </xf>
    <xf numFmtId="0" fontId="9" fillId="9" borderId="0" xfId="0" applyFont="1" applyFill="1"/>
    <xf numFmtId="43" fontId="0" fillId="0" borderId="0" xfId="0" applyNumberFormat="1"/>
    <xf numFmtId="171" fontId="0" fillId="7" borderId="0" xfId="2" applyNumberFormat="1" applyFont="1" applyFill="1"/>
    <xf numFmtId="171" fontId="8" fillId="0" borderId="0" xfId="2" applyNumberFormat="1" applyFont="1"/>
    <xf numFmtId="171" fontId="8" fillId="0" borderId="16" xfId="2" applyNumberFormat="1" applyFont="1" applyBorder="1" applyAlignment="1">
      <alignment vertical="center"/>
    </xf>
    <xf numFmtId="171" fontId="0" fillId="0" borderId="0" xfId="2" applyNumberFormat="1" applyFont="1"/>
    <xf numFmtId="171" fontId="0" fillId="0" borderId="0" xfId="0" applyNumberFormat="1"/>
    <xf numFmtId="2" fontId="0" fillId="0" borderId="0" xfId="0" applyNumberFormat="1"/>
    <xf numFmtId="1" fontId="10" fillId="7" borderId="0" xfId="0" applyNumberFormat="1" applyFont="1" applyFill="1" applyAlignment="1">
      <alignment horizontal="left"/>
    </xf>
    <xf numFmtId="0" fontId="10" fillId="7" borderId="0" xfId="0" applyFont="1" applyFill="1"/>
    <xf numFmtId="171" fontId="10" fillId="7" borderId="0" xfId="2" applyNumberFormat="1" applyFont="1" applyFill="1"/>
    <xf numFmtId="0" fontId="10" fillId="0" borderId="0" xfId="0" applyFont="1"/>
    <xf numFmtId="167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72" fontId="0" fillId="0" borderId="0" xfId="0" applyNumberFormat="1"/>
    <xf numFmtId="1" fontId="0" fillId="4" borderId="8" xfId="2" quotePrefix="1" applyNumberFormat="1" applyFont="1" applyFill="1" applyBorder="1" applyAlignment="1">
      <alignment horizontal="left" vertical="center"/>
    </xf>
    <xf numFmtId="1" fontId="0" fillId="10" borderId="0" xfId="0" applyNumberFormat="1" applyFill="1" applyAlignment="1">
      <alignment horizontal="left"/>
    </xf>
    <xf numFmtId="0" fontId="0" fillId="10" borderId="0" xfId="0" applyFill="1"/>
    <xf numFmtId="171" fontId="0" fillId="10" borderId="0" xfId="2" applyNumberFormat="1" applyFont="1" applyFill="1"/>
    <xf numFmtId="1" fontId="0" fillId="10" borderId="8" xfId="2" applyNumberFormat="1" applyFont="1" applyFill="1" applyBorder="1" applyAlignment="1">
      <alignment horizontal="left" vertical="center"/>
    </xf>
    <xf numFmtId="167" fontId="0" fillId="10" borderId="8" xfId="2" applyNumberFormat="1" applyFont="1" applyFill="1" applyBorder="1" applyAlignment="1">
      <alignment vertical="center"/>
    </xf>
    <xf numFmtId="0" fontId="5" fillId="11" borderId="29" xfId="0" applyFont="1" applyFill="1" applyBorder="1" applyAlignment="1">
      <alignment horizontal="left" vertical="center"/>
    </xf>
    <xf numFmtId="167" fontId="5" fillId="11" borderId="29" xfId="0" applyNumberFormat="1" applyFont="1" applyFill="1" applyBorder="1" applyAlignment="1">
      <alignment horizontal="right" vertical="center"/>
    </xf>
    <xf numFmtId="0" fontId="5" fillId="11" borderId="5" xfId="0" quotePrefix="1" applyFont="1" applyFill="1" applyBorder="1" applyAlignment="1">
      <alignment horizontal="left" vertical="center"/>
    </xf>
    <xf numFmtId="0" fontId="5" fillId="11" borderId="29" xfId="0" applyFont="1" applyFill="1" applyBorder="1" applyAlignment="1">
      <alignment horizontal="left" vertical="center" wrapText="1"/>
    </xf>
    <xf numFmtId="0" fontId="11" fillId="11" borderId="29" xfId="0" applyFont="1" applyFill="1" applyBorder="1" applyAlignment="1">
      <alignment horizontal="left" vertical="center" wrapText="1"/>
    </xf>
    <xf numFmtId="167" fontId="6" fillId="2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5" fillId="11" borderId="5" xfId="0" applyFont="1" applyFill="1" applyBorder="1" applyAlignment="1">
      <alignment horizontal="left" vertical="center" wrapText="1"/>
    </xf>
    <xf numFmtId="167" fontId="5" fillId="11" borderId="29" xfId="0" applyNumberFormat="1" applyFont="1" applyFill="1" applyBorder="1" applyAlignment="1">
      <alignment horizontal="right" vertical="center" wrapText="1"/>
    </xf>
    <xf numFmtId="0" fontId="5" fillId="11" borderId="5" xfId="0" quotePrefix="1" applyFont="1" applyFill="1" applyBorder="1" applyAlignment="1">
      <alignment horizontal="left" vertical="center" wrapText="1"/>
    </xf>
    <xf numFmtId="0" fontId="11" fillId="11" borderId="29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10">
    <dxf>
      <fill>
        <patternFill patternType="solid">
          <fgColor rgb="FFCAEDFB"/>
          <bgColor rgb="FF00000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tednations-my.sharepoint.com/personal/ernestina_perez_un_org/Documents/0Escritorio/ESCRITORIO/AT%20Paises/AT%20Guatemala/2025/AT%20Mayo/IPP/MATRIZ_COU%20%20con%20VAB.xlsx" TargetMode="External"/><Relationship Id="rId1" Type="http://schemas.openxmlformats.org/officeDocument/2006/relationships/externalLinkPath" Target="MATRIZ_COU%20%20con%20V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% SECCION_ECONOMIA 2022"/>
      <sheetName val="OFERTA_UTILIZACIÓN 2022"/>
      <sheetName val="% SECCION_ECONOMIA 2023"/>
      <sheetName val="OFERTA_UTILIZACIÓN 2023"/>
    </sheetNames>
    <sheetDataSet>
      <sheetData sheetId="0">
        <row r="81">
          <cell r="C81" t="str">
            <v>AE029</v>
          </cell>
          <cell r="D81" t="str">
            <v>Elaboración y conservación de carne de ganado bovino</v>
          </cell>
          <cell r="F81">
            <v>9298.8396443836882</v>
          </cell>
          <cell r="G81">
            <v>100</v>
          </cell>
          <cell r="I81">
            <v>2293.4968473362023</v>
          </cell>
        </row>
        <row r="82">
          <cell r="C82" t="str">
            <v>AE029</v>
          </cell>
          <cell r="D82" t="str">
            <v>P2101</v>
          </cell>
          <cell r="E82" t="str">
            <v>Carne y despojos comestibles de ganado bovino</v>
          </cell>
          <cell r="F82">
            <v>8904.6478325257722</v>
          </cell>
          <cell r="G82">
            <v>95.760849450759153</v>
          </cell>
        </row>
        <row r="83">
          <cell r="C83" t="str">
            <v>AE030</v>
          </cell>
          <cell r="D83" t="str">
            <v>Elaboración y conservación de carne de ganado porcino</v>
          </cell>
          <cell r="F83">
            <v>2340.48297879141</v>
          </cell>
          <cell r="G83">
            <v>100</v>
          </cell>
          <cell r="I83">
            <v>663.60340220959324</v>
          </cell>
        </row>
        <row r="84">
          <cell r="C84" t="str">
            <v>AE030</v>
          </cell>
          <cell r="D84" t="str">
            <v>P2102</v>
          </cell>
          <cell r="E84" t="str">
            <v>Carne y despojos comestibles de ganado porcino</v>
          </cell>
          <cell r="F84">
            <v>1769.5300020838727</v>
          </cell>
          <cell r="G84">
            <v>75.605335228612986</v>
          </cell>
        </row>
        <row r="85">
          <cell r="C85" t="str">
            <v>AE030</v>
          </cell>
          <cell r="D85" t="str">
            <v>P2104</v>
          </cell>
          <cell r="E85" t="str">
            <v>Carne y despojos de otros animales y conservas y preparados de carne</v>
          </cell>
          <cell r="F85">
            <v>238.67365333890947</v>
          </cell>
          <cell r="G85">
            <v>10.197623973414109</v>
          </cell>
        </row>
        <row r="86">
          <cell r="C86" t="str">
            <v>AE031</v>
          </cell>
          <cell r="D86" t="str">
            <v>Elaboración y conservación de carne de aves de corral</v>
          </cell>
          <cell r="F86">
            <v>13487.919419543732</v>
          </cell>
          <cell r="G86">
            <v>100</v>
          </cell>
          <cell r="I86">
            <v>3651.4040455195518</v>
          </cell>
        </row>
        <row r="87">
          <cell r="C87" t="str">
            <v>AE031</v>
          </cell>
          <cell r="D87" t="str">
            <v>P2103</v>
          </cell>
          <cell r="E87" t="str">
            <v>Carne y despojos comestibles de aves</v>
          </cell>
          <cell r="F87">
            <v>12872.662512351295</v>
          </cell>
          <cell r="G87">
            <v>95.438459498053192</v>
          </cell>
        </row>
        <row r="88">
          <cell r="C88" t="str">
            <v>AE032</v>
          </cell>
          <cell r="D88" t="str">
            <v>Elaboración de productos cárnicos y elaboración de otros productos de origen animal n.c.p.</v>
          </cell>
          <cell r="F88">
            <v>3804.6624030937569</v>
          </cell>
          <cell r="G88">
            <v>100</v>
          </cell>
          <cell r="I88">
            <v>1198.4314170979824</v>
          </cell>
        </row>
        <row r="89">
          <cell r="C89" t="str">
            <v>AE032</v>
          </cell>
          <cell r="D89" t="str">
            <v>P2104</v>
          </cell>
          <cell r="E89" t="str">
            <v>Carne y despojos de otros animales y conservas y preparados de carne</v>
          </cell>
          <cell r="F89">
            <v>3603.9197009061836</v>
          </cell>
          <cell r="G89">
            <v>94.723770970471918</v>
          </cell>
        </row>
        <row r="90">
          <cell r="C90" t="str">
            <v>AE033</v>
          </cell>
          <cell r="D90" t="str">
            <v>Elaboración y conservación de pescado, crustáceos y moluscos</v>
          </cell>
          <cell r="F90">
            <v>1491.6421119058491</v>
          </cell>
          <cell r="G90">
            <v>100</v>
          </cell>
          <cell r="I90">
            <v>353.14674514522858</v>
          </cell>
        </row>
        <row r="91">
          <cell r="C91" t="str">
            <v>AE033</v>
          </cell>
          <cell r="D91" t="str">
            <v>P2202</v>
          </cell>
          <cell r="E91" t="str">
            <v>Crustáceos, muloscos y demás invertebrados acuáticos congelados, preparados o en conserva y sus productos</v>
          </cell>
          <cell r="F91">
            <v>745.05685835623672</v>
          </cell>
          <cell r="G91">
            <v>49.94876803285532</v>
          </cell>
        </row>
        <row r="92">
          <cell r="C92" t="str">
            <v>AE033</v>
          </cell>
          <cell r="D92" t="str">
            <v>P2201</v>
          </cell>
          <cell r="E92" t="str">
            <v>Pescado congelado, preparado o en conserva y sus productos</v>
          </cell>
          <cell r="F92">
            <v>743.18318429215969</v>
          </cell>
          <cell r="G92">
            <v>49.82315653066442</v>
          </cell>
        </row>
        <row r="93">
          <cell r="C93" t="str">
            <v>AE034</v>
          </cell>
          <cell r="D93" t="str">
            <v>Elaboración y conservación de frutas, legumbres y hortalizas</v>
          </cell>
          <cell r="F93">
            <v>5901.3351995864268</v>
          </cell>
          <cell r="G93">
            <v>100</v>
          </cell>
          <cell r="I93">
            <v>1683.6569498450417</v>
          </cell>
        </row>
        <row r="94">
          <cell r="C94" t="str">
            <v>AE034</v>
          </cell>
          <cell r="D94" t="str">
            <v>P2303</v>
          </cell>
          <cell r="E94" t="str">
            <v>Jugos de frutas</v>
          </cell>
          <cell r="F94">
            <v>1940.2444613754376</v>
          </cell>
          <cell r="G94">
            <v>32.878058875750902</v>
          </cell>
        </row>
        <row r="95">
          <cell r="C95" t="str">
            <v>AE034</v>
          </cell>
          <cell r="D95" t="str">
            <v>P2301</v>
          </cell>
          <cell r="E95" t="str">
            <v>Vegetales preparados o en conserva, legumbres y papas</v>
          </cell>
          <cell r="F95">
            <v>1392.5097715427228</v>
          </cell>
          <cell r="G95">
            <v>23.596520523699649</v>
          </cell>
        </row>
        <row r="96">
          <cell r="C96" t="str">
            <v>AE034</v>
          </cell>
          <cell r="D96" t="str">
            <v>P2304</v>
          </cell>
          <cell r="E96" t="str">
            <v>Otras frutas y nueces preparadas y preservadas (excepto por azúcar)</v>
          </cell>
          <cell r="F96">
            <v>1083.1775736150867</v>
          </cell>
          <cell r="G96">
            <v>18.354788145079389</v>
          </cell>
        </row>
        <row r="97">
          <cell r="C97" t="str">
            <v>AE034</v>
          </cell>
          <cell r="D97" t="str">
            <v>P3401</v>
          </cell>
          <cell r="E97" t="str">
            <v>Bebidas no alcohólicas</v>
          </cell>
          <cell r="F97">
            <v>670.59578865742958</v>
          </cell>
          <cell r="G97">
            <v>11.363458708538126</v>
          </cell>
        </row>
        <row r="98">
          <cell r="C98" t="str">
            <v>AE035</v>
          </cell>
          <cell r="D98" t="str">
            <v>Elaboración de aceites y grasas de origen vegetal y animal</v>
          </cell>
          <cell r="F98">
            <v>15864.34442747215</v>
          </cell>
          <cell r="G98">
            <v>100</v>
          </cell>
          <cell r="I98">
            <v>5881.5027195020648</v>
          </cell>
        </row>
        <row r="99">
          <cell r="C99" t="str">
            <v>AE035</v>
          </cell>
          <cell r="D99" t="str">
            <v>P2401</v>
          </cell>
          <cell r="E99" t="str">
            <v>Aceites de origen vegetal</v>
          </cell>
          <cell r="F99">
            <v>12982.824730678154</v>
          </cell>
          <cell r="G99">
            <v>81.836503172459544</v>
          </cell>
        </row>
        <row r="100">
          <cell r="C100" t="str">
            <v>AE036</v>
          </cell>
          <cell r="D100" t="str">
            <v>Elaboración de productos lácteos</v>
          </cell>
          <cell r="F100">
            <v>4950.6646427537808</v>
          </cell>
          <cell r="G100">
            <v>100</v>
          </cell>
          <cell r="I100">
            <v>2004.8728096294944</v>
          </cell>
        </row>
        <row r="101">
          <cell r="C101" t="str">
            <v>AE036</v>
          </cell>
          <cell r="D101" t="str">
            <v>P2503</v>
          </cell>
          <cell r="E101" t="str">
            <v>Otros productos lácteos n.c.p.</v>
          </cell>
          <cell r="F101">
            <v>3340.5071829020808</v>
          </cell>
          <cell r="G101">
            <v>67.475933515139928</v>
          </cell>
        </row>
        <row r="102">
          <cell r="C102" t="str">
            <v>AE036</v>
          </cell>
          <cell r="D102" t="str">
            <v>P2501</v>
          </cell>
          <cell r="E102" t="str">
            <v>Leche líquida y crema procesadas</v>
          </cell>
          <cell r="F102">
            <v>1560.7598771317005</v>
          </cell>
          <cell r="G102">
            <v>31.526269496281937</v>
          </cell>
        </row>
        <row r="103">
          <cell r="C103" t="str">
            <v>AE037</v>
          </cell>
          <cell r="D103" t="str">
            <v>Elaboración de harina de trigo</v>
          </cell>
          <cell r="F103">
            <v>3945.6109500818343</v>
          </cell>
          <cell r="G103">
            <v>100</v>
          </cell>
          <cell r="I103">
            <v>974.22887396186206</v>
          </cell>
        </row>
        <row r="104">
          <cell r="C104" t="str">
            <v>AE037</v>
          </cell>
          <cell r="D104" t="str">
            <v>P2601</v>
          </cell>
          <cell r="E104" t="str">
            <v>Harina de trigo</v>
          </cell>
          <cell r="F104">
            <v>3450.3240786082069</v>
          </cell>
          <cell r="G104">
            <v>87.447143731610069</v>
          </cell>
        </row>
        <row r="105">
          <cell r="C105" t="str">
            <v>AE038</v>
          </cell>
          <cell r="D105" t="str">
            <v>Beneficios de arroz</v>
          </cell>
          <cell r="F105">
            <v>1520.33015374405</v>
          </cell>
          <cell r="G105">
            <v>100</v>
          </cell>
          <cell r="I105">
            <v>765.900937209821</v>
          </cell>
        </row>
        <row r="106">
          <cell r="C106" t="str">
            <v>AE038</v>
          </cell>
          <cell r="D106" t="str">
            <v>P2602</v>
          </cell>
          <cell r="E106" t="str">
            <v>Arroz sin cáscara</v>
          </cell>
          <cell r="F106">
            <v>967.800986927233</v>
          </cell>
          <cell r="G106">
            <v>63.657290789363884</v>
          </cell>
        </row>
        <row r="107">
          <cell r="C107" t="str">
            <v>AE038</v>
          </cell>
          <cell r="D107" t="str">
            <v>P2603</v>
          </cell>
          <cell r="E107" t="str">
            <v>Otros productos de molinería n.c.p.</v>
          </cell>
          <cell r="F107">
            <v>386.30193112372262</v>
          </cell>
          <cell r="G107">
            <v>25.409081716388631</v>
          </cell>
        </row>
        <row r="108">
          <cell r="C108" t="str">
            <v>AE039</v>
          </cell>
          <cell r="D108" t="str">
            <v>Elaboración de otros productos de molinería n.c.p. por cuenta propia</v>
          </cell>
          <cell r="F108">
            <v>2366.5371905558918</v>
          </cell>
          <cell r="G108">
            <v>100</v>
          </cell>
          <cell r="I108">
            <v>899.59999198330388</v>
          </cell>
        </row>
        <row r="109">
          <cell r="C109" t="str">
            <v>AE039</v>
          </cell>
          <cell r="D109" t="str">
            <v>P2603</v>
          </cell>
          <cell r="E109" t="str">
            <v>Otros productos de molinería n.c.p.</v>
          </cell>
          <cell r="F109">
            <v>1827.8865945315831</v>
          </cell>
          <cell r="G109">
            <v>77.238870440156433</v>
          </cell>
        </row>
        <row r="110">
          <cell r="C110" t="str">
            <v>AE039</v>
          </cell>
          <cell r="D110" t="str">
            <v>P3101</v>
          </cell>
          <cell r="E110" t="str">
            <v>Productos alimenticios n.c.p.</v>
          </cell>
          <cell r="F110">
            <v>319.81572529933311</v>
          </cell>
          <cell r="G110">
            <v>13.514079836801951</v>
          </cell>
        </row>
        <row r="111">
          <cell r="C111" t="str">
            <v>AE040</v>
          </cell>
          <cell r="D111" t="str">
            <v>Elaboración de almidones y productos derivados del almidón</v>
          </cell>
          <cell r="F111">
            <v>2091.5041076723992</v>
          </cell>
          <cell r="G111">
            <v>100</v>
          </cell>
          <cell r="I111">
            <v>1181.3967791707048</v>
          </cell>
        </row>
        <row r="112">
          <cell r="C112" t="str">
            <v>AE040</v>
          </cell>
          <cell r="D112" t="str">
            <v>P6212</v>
          </cell>
          <cell r="E112" t="str">
            <v>Servicios de manufactura</v>
          </cell>
          <cell r="F112">
            <v>2021.8558307581347</v>
          </cell>
          <cell r="G112">
            <v>96.669943096990863</v>
          </cell>
        </row>
        <row r="113">
          <cell r="C113" t="str">
            <v>AE041</v>
          </cell>
          <cell r="D113" t="str">
            <v>Elaboración de productos de panadería</v>
          </cell>
          <cell r="F113">
            <v>12936.486303296619</v>
          </cell>
          <cell r="G113">
            <v>100</v>
          </cell>
          <cell r="I113">
            <v>5985.6467383188892</v>
          </cell>
        </row>
        <row r="114">
          <cell r="C114" t="str">
            <v>AE041</v>
          </cell>
          <cell r="D114" t="str">
            <v>P2701</v>
          </cell>
          <cell r="E114" t="str">
            <v>Pan</v>
          </cell>
          <cell r="F114">
            <v>10246.002565375236</v>
          </cell>
          <cell r="G114">
            <v>79.202360866445147</v>
          </cell>
        </row>
        <row r="115">
          <cell r="C115" t="str">
            <v>AE041</v>
          </cell>
          <cell r="D115" t="str">
            <v>P2702</v>
          </cell>
          <cell r="E115" t="str">
            <v>Otros productos de panadería y repostería n.c.p.</v>
          </cell>
          <cell r="F115">
            <v>2525.6825228109574</v>
          </cell>
          <cell r="G115">
            <v>19.523713499911757</v>
          </cell>
        </row>
        <row r="116">
          <cell r="C116" t="str">
            <v>AE042</v>
          </cell>
          <cell r="D116" t="str">
            <v>Elaboración de tortillas de maíz</v>
          </cell>
          <cell r="F116">
            <v>10633.24960188697</v>
          </cell>
          <cell r="G116">
            <v>100</v>
          </cell>
          <cell r="I116">
            <v>5629.0697314511908</v>
          </cell>
        </row>
        <row r="117">
          <cell r="C117" t="str">
            <v>AE042</v>
          </cell>
          <cell r="D117" t="str">
            <v>P2703</v>
          </cell>
          <cell r="E117" t="str">
            <v>Tortillas de maíz, incluso tostadas, horneadas o fritas</v>
          </cell>
          <cell r="F117">
            <v>10581.927533079841</v>
          </cell>
          <cell r="G117">
            <v>99.517343514648417</v>
          </cell>
        </row>
        <row r="118">
          <cell r="C118" t="str">
            <v>AE043</v>
          </cell>
          <cell r="D118" t="str">
            <v>Elaboración de azúcar</v>
          </cell>
          <cell r="F118">
            <v>13926.703018197051</v>
          </cell>
          <cell r="G118">
            <v>100</v>
          </cell>
          <cell r="I118">
            <v>4028.7624489067166</v>
          </cell>
        </row>
        <row r="119">
          <cell r="C119" t="str">
            <v>AE043</v>
          </cell>
          <cell r="D119" t="str">
            <v>P2801</v>
          </cell>
          <cell r="E119" t="str">
            <v>Azúcar de caña sin refinar, refinada y los demás azúcares n.c.p.</v>
          </cell>
          <cell r="F119">
            <v>12219.085600297092</v>
          </cell>
          <cell r="G119">
            <v>87.738537860190348</v>
          </cell>
        </row>
        <row r="120">
          <cell r="C120" t="str">
            <v>AE044</v>
          </cell>
          <cell r="D120" t="str">
            <v>Elaboración de cacao y chocolate y de productos de confitería</v>
          </cell>
          <cell r="F120">
            <v>2058.1049198310357</v>
          </cell>
          <cell r="G120">
            <v>100</v>
          </cell>
          <cell r="I120">
            <v>665.01541447940258</v>
          </cell>
        </row>
        <row r="121">
          <cell r="C121" t="str">
            <v>AE044</v>
          </cell>
          <cell r="D121" t="str">
            <v>P2901</v>
          </cell>
          <cell r="E121" t="str">
            <v>Cacao, chocolate y productos de confitería</v>
          </cell>
          <cell r="F121">
            <v>1874.9165041829406</v>
          </cell>
          <cell r="G121">
            <v>91.09917021805019</v>
          </cell>
        </row>
        <row r="122">
          <cell r="C122" t="str">
            <v>AE045</v>
          </cell>
          <cell r="D122" t="str">
            <v>Elaboración de macarrones, fideos, alcuzcuz y productos farináceos similares</v>
          </cell>
          <cell r="F122">
            <v>1155.3669533160687</v>
          </cell>
          <cell r="G122">
            <v>100</v>
          </cell>
          <cell r="I122">
            <v>471.95034198907513</v>
          </cell>
        </row>
        <row r="123">
          <cell r="C123" t="str">
            <v>AE045</v>
          </cell>
          <cell r="D123" t="str">
            <v>P3001</v>
          </cell>
          <cell r="E123" t="str">
            <v>Macarrones, fideos y productos farináceos similares</v>
          </cell>
          <cell r="F123">
            <v>1101.7418991776758</v>
          </cell>
          <cell r="G123">
            <v>95.358612778002581</v>
          </cell>
        </row>
        <row r="124">
          <cell r="C124" t="str">
            <v>AE046</v>
          </cell>
          <cell r="D124" t="str">
            <v xml:space="preserve">Elaboración de otros productos alimenticios n.c.p  incluyendo comidas y platos preparados </v>
          </cell>
          <cell r="F124">
            <v>8185.5011525767268</v>
          </cell>
          <cell r="G124">
            <v>100</v>
          </cell>
          <cell r="I124">
            <v>3023.1300940517722</v>
          </cell>
        </row>
        <row r="125">
          <cell r="C125" t="str">
            <v>AE046</v>
          </cell>
          <cell r="D125" t="str">
            <v>P3101</v>
          </cell>
          <cell r="E125" t="str">
            <v>Productos alimenticios n.c.p.</v>
          </cell>
          <cell r="F125">
            <v>7822.1232879446334</v>
          </cell>
          <cell r="G125">
            <v>95.560713292212967</v>
          </cell>
        </row>
        <row r="126">
          <cell r="C126" t="str">
            <v>AE047</v>
          </cell>
          <cell r="D126" t="str">
            <v>Elaboración de alimentos preparados para animales</v>
          </cell>
          <cell r="F126">
            <v>7267.5921563897145</v>
          </cell>
          <cell r="G126">
            <v>100</v>
          </cell>
          <cell r="I126">
            <v>2724.8798051861431</v>
          </cell>
        </row>
        <row r="127">
          <cell r="C127" t="str">
            <v>AE047</v>
          </cell>
          <cell r="D127" t="str">
            <v>P3201</v>
          </cell>
          <cell r="E127" t="str">
            <v>Preparados para alimentación animal</v>
          </cell>
          <cell r="F127">
            <v>7162.7511675951937</v>
          </cell>
          <cell r="G127">
            <v>98.557417827824253</v>
          </cell>
        </row>
        <row r="128">
          <cell r="C128" t="str">
            <v>AE048</v>
          </cell>
          <cell r="D128" t="str">
            <v>Destilación, rectificación y mezcla de bebidas alcohólicas</v>
          </cell>
          <cell r="F128">
            <v>878.1311479969014</v>
          </cell>
          <cell r="G128">
            <v>100</v>
          </cell>
          <cell r="I128">
            <v>240.86267546609474</v>
          </cell>
        </row>
        <row r="129">
          <cell r="C129" t="str">
            <v>AE048</v>
          </cell>
          <cell r="D129" t="str">
            <v>P3301</v>
          </cell>
          <cell r="E129" t="str">
            <v>Aguardientes, licores y demás bebidas espirituosas</v>
          </cell>
          <cell r="F129">
            <v>799.91634450329082</v>
          </cell>
          <cell r="G129">
            <v>91.09303847471692</v>
          </cell>
        </row>
        <row r="130">
          <cell r="C130" t="str">
            <v>AE049</v>
          </cell>
          <cell r="D130" t="str">
            <v>Elaboración de vinos</v>
          </cell>
          <cell r="F130">
            <v>34.667856858564441</v>
          </cell>
          <cell r="G130">
            <v>100</v>
          </cell>
          <cell r="I130">
            <v>13.349359091360686</v>
          </cell>
        </row>
        <row r="131">
          <cell r="C131" t="str">
            <v>AE049</v>
          </cell>
          <cell r="D131" t="str">
            <v>P3302</v>
          </cell>
          <cell r="E131" t="str">
            <v>Vinos</v>
          </cell>
          <cell r="F131">
            <v>32.035334722564535</v>
          </cell>
          <cell r="G131">
            <v>92.406446851503134</v>
          </cell>
        </row>
        <row r="132">
          <cell r="C132" t="str">
            <v>AE050</v>
          </cell>
          <cell r="D132" t="str">
            <v>Elaboración de bebidas malteadas y de malta</v>
          </cell>
          <cell r="F132">
            <v>3029.7594103614033</v>
          </cell>
          <cell r="G132">
            <v>100</v>
          </cell>
          <cell r="I132">
            <v>658.64412518399376</v>
          </cell>
        </row>
        <row r="133">
          <cell r="C133" t="str">
            <v>AE050</v>
          </cell>
          <cell r="D133" t="str">
            <v>P3303</v>
          </cell>
          <cell r="E133" t="str">
            <v>Cerveza de malta</v>
          </cell>
          <cell r="F133">
            <v>2573.7402812742039</v>
          </cell>
          <cell r="G133">
            <v>84.948668612838688</v>
          </cell>
        </row>
        <row r="134">
          <cell r="C134" t="str">
            <v>AE050</v>
          </cell>
          <cell r="D134" t="str">
            <v>P5401</v>
          </cell>
          <cell r="E134" t="str">
            <v xml:space="preserve">Servicios de Comercio </v>
          </cell>
          <cell r="F134">
            <v>368.268524007949</v>
          </cell>
          <cell r="G134">
            <v>12.155041840897205</v>
          </cell>
        </row>
        <row r="135">
          <cell r="C135" t="str">
            <v>AE051</v>
          </cell>
          <cell r="D135" t="str">
            <v>Elaboración de bebidas no alcohólicas; producción de aguas minerales y otras aguas embotelladas</v>
          </cell>
          <cell r="F135">
            <v>14340.218678954658</v>
          </cell>
          <cell r="G135">
            <v>100</v>
          </cell>
          <cell r="I135">
            <v>3733.6506540269183</v>
          </cell>
        </row>
        <row r="136">
          <cell r="C136" t="str">
            <v>AE051</v>
          </cell>
          <cell r="D136" t="str">
            <v>P3401</v>
          </cell>
          <cell r="E136" t="str">
            <v>Bebidas no alcohólicas</v>
          </cell>
          <cell r="F136">
            <v>11621.953178657766</v>
          </cell>
          <cell r="G136">
            <v>81.044462702049657</v>
          </cell>
        </row>
        <row r="137">
          <cell r="C137" t="str">
            <v>AE052</v>
          </cell>
          <cell r="D137" t="str">
            <v>Elaboración de productos de tabaco</v>
          </cell>
          <cell r="F137">
            <v>440.11407276109418</v>
          </cell>
          <cell r="G137">
            <v>100</v>
          </cell>
          <cell r="I137">
            <v>136.43915626828903</v>
          </cell>
        </row>
        <row r="138">
          <cell r="C138" t="str">
            <v>AE052</v>
          </cell>
          <cell r="D138" t="str">
            <v>P3501</v>
          </cell>
          <cell r="E138" t="str">
            <v>Productos del tabaco</v>
          </cell>
          <cell r="F138">
            <v>404.96309744396495</v>
          </cell>
          <cell r="G138">
            <v>92.013212598132455</v>
          </cell>
        </row>
        <row r="139">
          <cell r="C139" t="str">
            <v>AE053</v>
          </cell>
          <cell r="D139" t="str">
            <v>Hilatura, tejedura y acabado de productos textiles</v>
          </cell>
          <cell r="F139">
            <v>3739.5654325200658</v>
          </cell>
          <cell r="G139">
            <v>100</v>
          </cell>
          <cell r="I139">
            <v>1009.9897097161256</v>
          </cell>
        </row>
        <row r="140">
          <cell r="C140" t="str">
            <v>AE053</v>
          </cell>
          <cell r="D140" t="str">
            <v>P3601</v>
          </cell>
          <cell r="E140" t="str">
            <v>Hilados e hilos, tejidos y telas textiles</v>
          </cell>
          <cell r="F140">
            <v>2822.1039207318322</v>
          </cell>
          <cell r="G140">
            <v>75.466092829669705</v>
          </cell>
        </row>
        <row r="141">
          <cell r="C141" t="str">
            <v>AE053</v>
          </cell>
          <cell r="D141" t="str">
            <v>P6212</v>
          </cell>
          <cell r="E141" t="str">
            <v>Servicios de manufactura</v>
          </cell>
          <cell r="F141">
            <v>675.26920073212455</v>
          </cell>
          <cell r="G141">
            <v>18.057424396424203</v>
          </cell>
        </row>
        <row r="142">
          <cell r="C142" t="str">
            <v>AE054</v>
          </cell>
          <cell r="D142" t="str">
            <v>Fabricación de otros productos textiles</v>
          </cell>
          <cell r="F142">
            <v>4636.9259037490119</v>
          </cell>
          <cell r="G142">
            <v>100</v>
          </cell>
          <cell r="I142">
            <v>1823.3050436465455</v>
          </cell>
        </row>
        <row r="143">
          <cell r="C143" t="str">
            <v>AE054</v>
          </cell>
          <cell r="D143" t="str">
            <v>P3701</v>
          </cell>
          <cell r="E143" t="str">
            <v>Otros productos textiles (artículos textiles excepto prendas de vestir)</v>
          </cell>
          <cell r="F143">
            <v>4047.3121755161419</v>
          </cell>
          <cell r="G143">
            <v>87.284383221302718</v>
          </cell>
        </row>
        <row r="144">
          <cell r="C144" t="str">
            <v>AE055</v>
          </cell>
          <cell r="D144" t="str">
            <v>Fabricación de prendas de vestir</v>
          </cell>
          <cell r="F144">
            <v>16131.452404454198</v>
          </cell>
          <cell r="G144">
            <v>100</v>
          </cell>
          <cell r="I144">
            <v>7713.4459698159008</v>
          </cell>
        </row>
        <row r="145">
          <cell r="C145" t="str">
            <v>AE055</v>
          </cell>
          <cell r="D145" t="str">
            <v>P3702</v>
          </cell>
          <cell r="E145" t="str">
            <v>Prendas de vestir, adobo y teñido de pieles</v>
          </cell>
          <cell r="F145">
            <v>10425.586937494412</v>
          </cell>
          <cell r="G145">
            <v>64.628941499500144</v>
          </cell>
        </row>
        <row r="146">
          <cell r="C146" t="str">
            <v>AE055</v>
          </cell>
          <cell r="D146" t="str">
            <v>P6212</v>
          </cell>
          <cell r="E146" t="str">
            <v>Servicios de manufactura</v>
          </cell>
          <cell r="F146">
            <v>5233.0026408781259</v>
          </cell>
          <cell r="G146">
            <v>32.439748819103201</v>
          </cell>
        </row>
        <row r="147">
          <cell r="C147" t="str">
            <v>AE056</v>
          </cell>
          <cell r="D147" t="str">
            <v>Curtido, adobo, teñido de cueros y pieles; fabricación de maletas, bolsos de mano y artículos similares, y  artículos de talabartería y guarnicionería</v>
          </cell>
          <cell r="F147">
            <v>1007.8272822403886</v>
          </cell>
          <cell r="G147">
            <v>100</v>
          </cell>
          <cell r="I147">
            <v>347.35198911100792</v>
          </cell>
        </row>
        <row r="148">
          <cell r="C148" t="str">
            <v>AE056</v>
          </cell>
          <cell r="D148" t="str">
            <v>P3801</v>
          </cell>
          <cell r="E148" t="str">
            <v>Cuero de piel curtida o adobada y cuero artificial o regenerado</v>
          </cell>
          <cell r="F148">
            <v>709.80405900522192</v>
          </cell>
          <cell r="G148">
            <v>70.429137165977039</v>
          </cell>
        </row>
        <row r="149">
          <cell r="C149" t="str">
            <v>AE056</v>
          </cell>
          <cell r="D149" t="str">
            <v>P3802</v>
          </cell>
          <cell r="E149" t="str">
            <v>Artículos de cuero</v>
          </cell>
          <cell r="F149">
            <v>297.65845994331244</v>
          </cell>
          <cell r="G149">
            <v>29.534669797946041</v>
          </cell>
        </row>
        <row r="150">
          <cell r="C150" t="str">
            <v>AE057</v>
          </cell>
          <cell r="D150" t="str">
            <v>Fabricación de calzado de cualquier material y de cualquier uso; partes de calzado de cuero</v>
          </cell>
          <cell r="F150">
            <v>1929.7278903444708</v>
          </cell>
          <cell r="G150">
            <v>100</v>
          </cell>
          <cell r="I150">
            <v>688.59840803848465</v>
          </cell>
        </row>
        <row r="151">
          <cell r="C151" t="str">
            <v>AE057</v>
          </cell>
          <cell r="D151" t="str">
            <v>P3803</v>
          </cell>
          <cell r="E151" t="str">
            <v>Calzado y sus partes, de cualquier material y de cualquier uso</v>
          </cell>
          <cell r="F151">
            <v>1703.3215227388341</v>
          </cell>
          <cell r="G151">
            <v>88.267445957615223</v>
          </cell>
        </row>
        <row r="152">
          <cell r="C152" t="str">
            <v>AE058</v>
          </cell>
          <cell r="D152" t="str">
            <v>Aserrado y acepilladura de madera</v>
          </cell>
          <cell r="F152">
            <v>3338.2264209096793</v>
          </cell>
          <cell r="G152">
            <v>100</v>
          </cell>
          <cell r="I152">
            <v>1220.3556449615762</v>
          </cell>
        </row>
        <row r="153">
          <cell r="C153" t="str">
            <v>AE058</v>
          </cell>
          <cell r="D153" t="str">
            <v>P3901</v>
          </cell>
          <cell r="E153" t="str">
            <v>Madera aserrada y acepillada</v>
          </cell>
          <cell r="F153">
            <v>3293.7218535576731</v>
          </cell>
          <cell r="G153">
            <v>98.666819989403876</v>
          </cell>
        </row>
        <row r="154">
          <cell r="C154" t="str">
            <v>AE059</v>
          </cell>
          <cell r="D154" t="str">
            <v>Fabricación de productos de madera, productos de corcho, paja y materiales trenzables</v>
          </cell>
          <cell r="F154">
            <v>1948.8467814103271</v>
          </cell>
          <cell r="G154">
            <v>100</v>
          </cell>
          <cell r="I154">
            <v>806.12846037661529</v>
          </cell>
        </row>
        <row r="155">
          <cell r="C155" t="str">
            <v>AE059</v>
          </cell>
          <cell r="D155" t="str">
            <v>P3902</v>
          </cell>
          <cell r="E155" t="str">
            <v>Productos de madera, corcho, paja, materiales trenzables</v>
          </cell>
          <cell r="F155">
            <v>1880.5783708613476</v>
          </cell>
          <cell r="G155">
            <v>96.496984206240384</v>
          </cell>
        </row>
        <row r="156">
          <cell r="C156" t="str">
            <v>AE060</v>
          </cell>
          <cell r="D156" t="str">
            <v>Fabricación de papel y productos de papel</v>
          </cell>
          <cell r="F156">
            <v>8977.2815823287692</v>
          </cell>
          <cell r="G156">
            <v>100</v>
          </cell>
          <cell r="I156">
            <v>2599.6730538096081</v>
          </cell>
        </row>
        <row r="157">
          <cell r="C157" t="str">
            <v>AE060</v>
          </cell>
          <cell r="D157" t="str">
            <v>P4002</v>
          </cell>
          <cell r="E157" t="str">
            <v>Envases de papel y cartón</v>
          </cell>
          <cell r="F157">
            <v>4945.0143363447924</v>
          </cell>
          <cell r="G157">
            <v>55.083649666049816</v>
          </cell>
        </row>
        <row r="158">
          <cell r="C158" t="str">
            <v>AE060</v>
          </cell>
          <cell r="D158" t="str">
            <v>P4001</v>
          </cell>
          <cell r="E158" t="str">
            <v>Pasta de papel y papel</v>
          </cell>
          <cell r="F158">
            <v>3835.5570210545989</v>
          </cell>
          <cell r="G158">
            <v>42.725149989777066</v>
          </cell>
        </row>
        <row r="159">
          <cell r="C159" t="str">
            <v>AE061</v>
          </cell>
          <cell r="D159" t="str">
            <v>Impresión y actividades de servicios relacionados con la impresión y reproducción de grabaciones.</v>
          </cell>
          <cell r="F159">
            <v>2875.8252344252123</v>
          </cell>
          <cell r="G159">
            <v>100</v>
          </cell>
          <cell r="I159">
            <v>974.77201474931667</v>
          </cell>
        </row>
        <row r="160">
          <cell r="C160" t="str">
            <v>AE061</v>
          </cell>
          <cell r="D160" t="str">
            <v>P4004</v>
          </cell>
          <cell r="E160" t="str">
            <v>Productos de la impresión</v>
          </cell>
          <cell r="F160">
            <v>2419.4202668551993</v>
          </cell>
          <cell r="G160">
            <v>84.129600015098475</v>
          </cell>
        </row>
        <row r="161">
          <cell r="C161" t="str">
            <v>AE062</v>
          </cell>
          <cell r="D161" t="str">
            <v>Fabricación de coque y productos de la refinación del petróleo</v>
          </cell>
          <cell r="F161">
            <v>0</v>
          </cell>
          <cell r="G161">
            <v>0</v>
          </cell>
          <cell r="I161">
            <v>0</v>
          </cell>
        </row>
        <row r="162">
          <cell r="C162" t="str">
            <v>AE062</v>
          </cell>
          <cell r="D162" t="str">
            <v>P0101</v>
          </cell>
          <cell r="E162" t="str">
            <v>Trigo</v>
          </cell>
          <cell r="F162">
            <v>0</v>
          </cell>
          <cell r="G162">
            <v>0</v>
          </cell>
        </row>
        <row r="163">
          <cell r="C163" t="str">
            <v>AE063</v>
          </cell>
          <cell r="D163" t="str">
            <v xml:space="preserve">Fabricación de alcoholes </v>
          </cell>
          <cell r="F163">
            <v>2066.3512157835544</v>
          </cell>
          <cell r="G163">
            <v>100</v>
          </cell>
          <cell r="I163">
            <v>682.1159479201026</v>
          </cell>
        </row>
        <row r="164">
          <cell r="C164" t="str">
            <v>AE063</v>
          </cell>
          <cell r="D164" t="str">
            <v>P4201</v>
          </cell>
          <cell r="E164" t="str">
            <v>Alcoholes</v>
          </cell>
          <cell r="F164">
            <v>1662.3763965464318</v>
          </cell>
          <cell r="G164">
            <v>80.449847240323251</v>
          </cell>
        </row>
        <row r="165">
          <cell r="C165" t="str">
            <v>AE063</v>
          </cell>
          <cell r="D165" t="str">
            <v>P3301</v>
          </cell>
          <cell r="E165" t="str">
            <v>Aguardientes, licores y demás bebidas espirituosas</v>
          </cell>
          <cell r="F165">
            <v>395.44741149151218</v>
          </cell>
          <cell r="G165">
            <v>19.137473265480654</v>
          </cell>
        </row>
        <row r="166">
          <cell r="C166" t="str">
            <v>AE064</v>
          </cell>
          <cell r="D166" t="str">
            <v>Fabricación de abonos , compuestos de nitrógeno, plaguicidas y otros productos químicos de uso agropecuario</v>
          </cell>
          <cell r="F166">
            <v>7866.4176404272966</v>
          </cell>
          <cell r="G166">
            <v>100</v>
          </cell>
          <cell r="I166">
            <v>3265.1851949527281</v>
          </cell>
        </row>
        <row r="167">
          <cell r="C167" t="str">
            <v>AE064</v>
          </cell>
          <cell r="D167" t="str">
            <v>P4202</v>
          </cell>
          <cell r="E167" t="str">
            <v>Abonos, fertilizantes y pesticidas</v>
          </cell>
          <cell r="F167">
            <v>7641.5353947355561</v>
          </cell>
          <cell r="G167">
            <v>97.141236888618522</v>
          </cell>
        </row>
        <row r="168">
          <cell r="C168" t="str">
            <v>AE065</v>
          </cell>
          <cell r="D168" t="str">
            <v>Fabricación de plásticos y caucho sintético en formas primarias</v>
          </cell>
          <cell r="F168">
            <v>0</v>
          </cell>
          <cell r="G168">
            <v>0</v>
          </cell>
          <cell r="I168">
            <v>0</v>
          </cell>
        </row>
        <row r="169">
          <cell r="C169" t="str">
            <v>AE065</v>
          </cell>
          <cell r="D169" t="str">
            <v>P0101</v>
          </cell>
          <cell r="E169" t="str">
            <v>Trigo</v>
          </cell>
          <cell r="F169">
            <v>0</v>
          </cell>
          <cell r="G169">
            <v>0</v>
          </cell>
        </row>
        <row r="170">
          <cell r="C170" t="str">
            <v>AE066</v>
          </cell>
          <cell r="D170" t="str">
            <v>Fabricación de pinturas, barnices y productos de revestimiento similares, tintas de imprenta y masillas</v>
          </cell>
          <cell r="F170">
            <v>1628.8204080522182</v>
          </cell>
          <cell r="G170">
            <v>100</v>
          </cell>
          <cell r="I170">
            <v>642.92717669458852</v>
          </cell>
        </row>
        <row r="171">
          <cell r="C171" t="str">
            <v>AE066</v>
          </cell>
          <cell r="D171" t="str">
            <v>P4204</v>
          </cell>
          <cell r="E171" t="str">
            <v>Pinturas y barnices y productos relacionados, colores artisticos, tinta</v>
          </cell>
          <cell r="F171">
            <v>1585.5088713735486</v>
          </cell>
          <cell r="G171">
            <v>97.340926202511014</v>
          </cell>
        </row>
        <row r="172">
          <cell r="C172" t="str">
            <v>AE067</v>
          </cell>
          <cell r="D172" t="str">
            <v>Fabricación de jabones y detergentes, preparados para limpiar y pulir, perfumes y preparados de tocador</v>
          </cell>
          <cell r="F172">
            <v>7377.2438715911121</v>
          </cell>
          <cell r="G172">
            <v>100</v>
          </cell>
          <cell r="I172">
            <v>2797.538719193627</v>
          </cell>
        </row>
        <row r="173">
          <cell r="C173" t="str">
            <v>AE067</v>
          </cell>
          <cell r="D173" t="str">
            <v>P4205</v>
          </cell>
          <cell r="E173" t="str">
            <v>Jabón, preparados de limpieza, perfumes y preparados de toilet</v>
          </cell>
          <cell r="F173">
            <v>7204.2104712162554</v>
          </cell>
          <cell r="G173">
            <v>97.654498029525811</v>
          </cell>
        </row>
        <row r="174">
          <cell r="C174" t="str">
            <v>AE068</v>
          </cell>
          <cell r="D174" t="str">
            <v>Fabricación de otras sustancias químicas básicas, otros productos químicos y fibras artificiales</v>
          </cell>
          <cell r="F174">
            <v>2889.9206611490831</v>
          </cell>
          <cell r="G174">
            <v>100</v>
          </cell>
          <cell r="I174">
            <v>1268.0804276893725</v>
          </cell>
        </row>
        <row r="175">
          <cell r="C175" t="str">
            <v>AE068</v>
          </cell>
          <cell r="D175" t="str">
            <v>P4206</v>
          </cell>
          <cell r="E175" t="str">
            <v>Productos Químicos Básicos excepto alcoholes</v>
          </cell>
          <cell r="F175">
            <v>1625.4978667797056</v>
          </cell>
          <cell r="G175">
            <v>56.247145073296899</v>
          </cell>
        </row>
        <row r="176">
          <cell r="C176" t="str">
            <v>AE068</v>
          </cell>
          <cell r="D176" t="str">
            <v>P4207</v>
          </cell>
          <cell r="E176" t="str">
            <v>Productos químicos n.c.p. y fibras sintéticas o artificiales</v>
          </cell>
          <cell r="F176">
            <v>799.51279563260505</v>
          </cell>
          <cell r="G176">
            <v>27.665562116667409</v>
          </cell>
        </row>
        <row r="177">
          <cell r="C177" t="str">
            <v>AE069</v>
          </cell>
          <cell r="D177" t="str">
            <v>Fabricación de productos farmacéuticos, sustancias químicas medicinales y productos botánicos de uso farmacéutico</v>
          </cell>
          <cell r="F177">
            <v>6160.5907210755067</v>
          </cell>
          <cell r="G177">
            <v>100</v>
          </cell>
          <cell r="I177">
            <v>2201.879717185122</v>
          </cell>
        </row>
        <row r="178">
          <cell r="C178" t="str">
            <v>AE069</v>
          </cell>
          <cell r="D178" t="str">
            <v>P4208</v>
          </cell>
          <cell r="E178" t="str">
            <v>Productos Farmaceúticos</v>
          </cell>
          <cell r="F178">
            <v>4950.6422810597414</v>
          </cell>
          <cell r="G178">
            <v>80.35986328589388</v>
          </cell>
        </row>
        <row r="179">
          <cell r="C179" t="str">
            <v>AE069</v>
          </cell>
          <cell r="D179" t="str">
            <v>P4202</v>
          </cell>
          <cell r="E179" t="str">
            <v>Abonos, fertilizantes y pesticidas</v>
          </cell>
          <cell r="F179">
            <v>687.15225030026295</v>
          </cell>
          <cell r="G179">
            <v>11.153999371350883</v>
          </cell>
        </row>
        <row r="180">
          <cell r="C180" t="str">
            <v>AE070</v>
          </cell>
          <cell r="D180" t="str">
            <v>Fabricación de productos de caucho</v>
          </cell>
          <cell r="F180">
            <v>1392.4107228206426</v>
          </cell>
          <cell r="G180">
            <v>100</v>
          </cell>
          <cell r="I180">
            <v>412.53986055599853</v>
          </cell>
        </row>
        <row r="181">
          <cell r="C181" t="str">
            <v>AE070</v>
          </cell>
          <cell r="D181" t="str">
            <v>P4301</v>
          </cell>
          <cell r="E181" t="str">
            <v>Productos de caucho</v>
          </cell>
          <cell r="F181">
            <v>1189.9988982588056</v>
          </cell>
          <cell r="G181">
            <v>85.463209867286423</v>
          </cell>
        </row>
        <row r="182">
          <cell r="C182" t="str">
            <v>AE071</v>
          </cell>
          <cell r="D182" t="str">
            <v>Fabricación de productos de plástico</v>
          </cell>
          <cell r="F182">
            <v>15371.64777371978</v>
          </cell>
          <cell r="G182">
            <v>100</v>
          </cell>
          <cell r="I182">
            <v>5894.757392317244</v>
          </cell>
        </row>
        <row r="183">
          <cell r="C183" t="str">
            <v>AE071</v>
          </cell>
          <cell r="D183" t="str">
            <v>P4302</v>
          </cell>
          <cell r="E183" t="str">
            <v>Productos de plástico</v>
          </cell>
          <cell r="F183">
            <v>14544.411711554671</v>
          </cell>
          <cell r="G183">
            <v>94.618429498629297</v>
          </cell>
        </row>
        <row r="184">
          <cell r="C184" t="str">
            <v>AE072</v>
          </cell>
          <cell r="D184" t="str">
            <v>Fabricación de vidrio y productos de vidrio</v>
          </cell>
          <cell r="F184">
            <v>1306.7459380271307</v>
          </cell>
          <cell r="G184">
            <v>100</v>
          </cell>
          <cell r="I184">
            <v>498.44563923866042</v>
          </cell>
        </row>
        <row r="185">
          <cell r="C185" t="str">
            <v>AE072</v>
          </cell>
          <cell r="D185" t="str">
            <v>P4401</v>
          </cell>
          <cell r="E185" t="str">
            <v>Vidrio y productos de vidrio</v>
          </cell>
          <cell r="F185">
            <v>1285.7628380776298</v>
          </cell>
          <cell r="G185">
            <v>98.394247930000816</v>
          </cell>
        </row>
        <row r="186">
          <cell r="C186" t="str">
            <v>AE073</v>
          </cell>
          <cell r="D186" t="str">
            <v>Fabricación de productos refractarios y no refractarios de arcilla, cerámica, porcelana y otros minerales no metálicos</v>
          </cell>
          <cell r="F186">
            <v>2402.5001688866214</v>
          </cell>
          <cell r="G186">
            <v>100</v>
          </cell>
          <cell r="I186">
            <v>1101.6198419111633</v>
          </cell>
        </row>
        <row r="187">
          <cell r="C187" t="str">
            <v>AE073</v>
          </cell>
          <cell r="D187" t="str">
            <v>P4403</v>
          </cell>
          <cell r="E187" t="str">
            <v>Productos refractarios y productos estructurales de arcilla no refractarios</v>
          </cell>
          <cell r="F187">
            <v>1850.7718620965443</v>
          </cell>
          <cell r="G187">
            <v>77.035243787484859</v>
          </cell>
        </row>
        <row r="188">
          <cell r="C188" t="str">
            <v>AE073</v>
          </cell>
          <cell r="D188" t="str">
            <v>P4402</v>
          </cell>
          <cell r="E188" t="str">
            <v>Productos no estructurales de cerámica</v>
          </cell>
          <cell r="F188">
            <v>526.92432485883</v>
          </cell>
          <cell r="G188">
            <v>21.93233247941955</v>
          </cell>
        </row>
        <row r="189">
          <cell r="C189" t="str">
            <v>AE074</v>
          </cell>
          <cell r="D189" t="str">
            <v>Fabricación de cemento, cal y yeso</v>
          </cell>
          <cell r="F189">
            <v>8721.4612251677354</v>
          </cell>
          <cell r="G189">
            <v>100</v>
          </cell>
          <cell r="I189">
            <v>4490.8048446499633</v>
          </cell>
        </row>
        <row r="190">
          <cell r="C190" t="str">
            <v>AE074</v>
          </cell>
          <cell r="D190" t="str">
            <v>P4404</v>
          </cell>
          <cell r="E190" t="str">
            <v>Cemento, cal y yeso</v>
          </cell>
          <cell r="F190">
            <v>8508.5892526832195</v>
          </cell>
          <cell r="G190">
            <v>97.559216661191755</v>
          </cell>
        </row>
        <row r="191">
          <cell r="C191" t="str">
            <v>AE075</v>
          </cell>
          <cell r="D191" t="str">
            <v>Fabricación de artículos de hormigón, cemento y yeso</v>
          </cell>
          <cell r="F191">
            <v>3852.4829076107053</v>
          </cell>
          <cell r="G191">
            <v>100</v>
          </cell>
          <cell r="I191">
            <v>954.18889804385481</v>
          </cell>
        </row>
        <row r="192">
          <cell r="C192" t="str">
            <v>AE075</v>
          </cell>
          <cell r="D192" t="str">
            <v>P4405</v>
          </cell>
          <cell r="E192" t="str">
            <v>Artículos de hormigón, cemento y yeso</v>
          </cell>
          <cell r="F192">
            <v>3794.1783592998731</v>
          </cell>
          <cell r="G192">
            <v>98.486572174125683</v>
          </cell>
        </row>
        <row r="193">
          <cell r="C193" t="str">
            <v>AE076</v>
          </cell>
          <cell r="D193" t="str">
            <v>Fabricación de otros productos minerales no metálicos</v>
          </cell>
          <cell r="F193">
            <v>106.96510811492782</v>
          </cell>
          <cell r="G193">
            <v>100</v>
          </cell>
          <cell r="I193">
            <v>42.833634985445812</v>
          </cell>
        </row>
        <row r="194">
          <cell r="C194" t="str">
            <v>AE076</v>
          </cell>
          <cell r="D194" t="str">
            <v>P4406</v>
          </cell>
          <cell r="E194" t="str">
            <v xml:space="preserve">Piedras talladas para construcción </v>
          </cell>
          <cell r="F194">
            <v>84.072049702739776</v>
          </cell>
          <cell r="G194">
            <v>78.597639159499778</v>
          </cell>
        </row>
        <row r="195">
          <cell r="C195" t="str">
            <v>AE077</v>
          </cell>
          <cell r="D195" t="str">
            <v>Fabricación de metales comunes</v>
          </cell>
          <cell r="F195">
            <v>16180.225770206425</v>
          </cell>
          <cell r="G195">
            <v>100</v>
          </cell>
          <cell r="I195">
            <v>5364.9640139019011</v>
          </cell>
        </row>
        <row r="196">
          <cell r="C196" t="str">
            <v>AE077</v>
          </cell>
          <cell r="D196" t="str">
            <v>P4501</v>
          </cell>
          <cell r="E196" t="str">
            <v>Métales básicos de hierro y acero</v>
          </cell>
          <cell r="F196">
            <v>15336.787155729302</v>
          </cell>
          <cell r="G196">
            <v>94.787225923446655</v>
          </cell>
        </row>
        <row r="197">
          <cell r="C197" t="str">
            <v>AE078</v>
          </cell>
          <cell r="D197" t="str">
            <v>Fabricación de productos elaborados de metal, excepto maquinaria y equipo</v>
          </cell>
          <cell r="F197">
            <v>6438.1343358258109</v>
          </cell>
          <cell r="G197">
            <v>100</v>
          </cell>
          <cell r="I197">
            <v>1477.7477806931174</v>
          </cell>
        </row>
        <row r="198">
          <cell r="C198" t="str">
            <v>AE078</v>
          </cell>
          <cell r="D198" t="str">
            <v>P4602</v>
          </cell>
          <cell r="E198" t="str">
            <v>Otros productos elaborados de metal</v>
          </cell>
          <cell r="F198">
            <v>4008.4519942159791</v>
          </cell>
          <cell r="G198">
            <v>62.261080386447397</v>
          </cell>
        </row>
        <row r="199">
          <cell r="C199" t="str">
            <v>AE078</v>
          </cell>
          <cell r="D199" t="str">
            <v>P4601</v>
          </cell>
          <cell r="E199" t="str">
            <v>Productos metálicos estructurales y sus partes de hierro o de acero</v>
          </cell>
          <cell r="F199">
            <v>2162.1095957702273</v>
          </cell>
          <cell r="G199">
            <v>33.582859303492562</v>
          </cell>
        </row>
        <row r="200">
          <cell r="C200" t="str">
            <v>AE079</v>
          </cell>
          <cell r="D200" t="str">
            <v>Fabricación, reparación e instalación de maquinaria y equipo industrial, n.c.p.</v>
          </cell>
          <cell r="F200">
            <v>9182.8126362122694</v>
          </cell>
          <cell r="G200">
            <v>100</v>
          </cell>
          <cell r="I200">
            <v>2897.0784764291157</v>
          </cell>
        </row>
        <row r="201">
          <cell r="C201" t="str">
            <v>AE079</v>
          </cell>
          <cell r="D201" t="str">
            <v>P6207</v>
          </cell>
          <cell r="E201" t="str">
            <v>Servicio de mantenimiento, reparación e instalación de productos metálicos elaborados, maquinaria y equipo</v>
          </cell>
          <cell r="F201">
            <v>5165.8367065969996</v>
          </cell>
          <cell r="G201">
            <v>56.255495034556283</v>
          </cell>
        </row>
        <row r="202">
          <cell r="C202" t="str">
            <v>AE079</v>
          </cell>
          <cell r="D202" t="str">
            <v>P4603</v>
          </cell>
          <cell r="E202" t="str">
            <v>Maquinaria para usos generales, sus partes y piezas</v>
          </cell>
          <cell r="F202">
            <v>1729.0049478832491</v>
          </cell>
          <cell r="G202">
            <v>18.828707677917187</v>
          </cell>
        </row>
        <row r="203">
          <cell r="C203" t="str">
            <v>AE079</v>
          </cell>
          <cell r="D203" t="str">
            <v>P4610</v>
          </cell>
          <cell r="E203" t="str">
            <v>Equipo de transporte</v>
          </cell>
          <cell r="F203">
            <v>1009.6467405574847</v>
          </cell>
          <cell r="G203">
            <v>10.994961789549745</v>
          </cell>
        </row>
        <row r="204">
          <cell r="C204" t="str">
            <v>AE079</v>
          </cell>
          <cell r="D204" t="str">
            <v>P4604</v>
          </cell>
          <cell r="E204" t="str">
            <v>Maquinaria para usos especiales, partes y piezas; excepto electrodomesticos</v>
          </cell>
          <cell r="F204">
            <v>841.89557412000022</v>
          </cell>
          <cell r="G204">
            <v>9.1681667422898183</v>
          </cell>
        </row>
        <row r="205">
          <cell r="C205" t="str">
            <v>AE080</v>
          </cell>
          <cell r="D205" t="str">
            <v>Fabricación de muebles</v>
          </cell>
          <cell r="F205">
            <v>9233.8962785053245</v>
          </cell>
          <cell r="G205">
            <v>100</v>
          </cell>
          <cell r="I205">
            <v>3485.72406075855</v>
          </cell>
        </row>
        <row r="206">
          <cell r="C206" t="str">
            <v>AE080</v>
          </cell>
          <cell r="D206" t="str">
            <v>P4701</v>
          </cell>
          <cell r="E206" t="str">
            <v>Muebles</v>
          </cell>
          <cell r="F206">
            <v>8381.0069490246187</v>
          </cell>
          <cell r="G206">
            <v>90.763494588237222</v>
          </cell>
        </row>
        <row r="207">
          <cell r="C207" t="str">
            <v>AE081</v>
          </cell>
          <cell r="D207" t="str">
            <v>Otras industrias manufactureras</v>
          </cell>
          <cell r="F207">
            <v>2015.2722334135103</v>
          </cell>
          <cell r="G207">
            <v>100</v>
          </cell>
          <cell r="I207">
            <v>824.95014759750165</v>
          </cell>
        </row>
        <row r="208">
          <cell r="C208" t="str">
            <v>AE081</v>
          </cell>
          <cell r="D208" t="str">
            <v>P4804</v>
          </cell>
          <cell r="E208" t="str">
            <v>Otros artículos n.c.p.</v>
          </cell>
          <cell r="F208">
            <v>1407.8449223281104</v>
          </cell>
          <cell r="G208">
            <v>69.858796195662023</v>
          </cell>
        </row>
        <row r="209">
          <cell r="C209" t="str">
            <v>AE081</v>
          </cell>
          <cell r="D209" t="str">
            <v>P4801</v>
          </cell>
          <cell r="E209" t="str">
            <v>Joyas y artículos conexos</v>
          </cell>
          <cell r="F209">
            <v>269.28323503164512</v>
          </cell>
          <cell r="G209">
            <v>13.362126990432827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rnestina Brigida Perez Ardiles" id="{A4963337-EB9F-474B-B61F-1ADC3C9EE7EA}" userId="S::ernestina.perez@un.org::4ee0888e-bef9-487c-81f9-dcc9061b9f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5" dT="2025-05-22T21:10:17.61" personId="{A4963337-EB9F-474B-B61F-1ADC3C9EE7EA}" id="{61BAB182-D5EA-4E8B-9932-342879BF5B93}">
    <text>Incluye Chocolate para cobertura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96" dT="2025-05-22T21:10:17.61" personId="{A4963337-EB9F-474B-B61F-1ADC3C9EE7EA}" id="{F0D47A98-3F4D-4355-AB09-0A77DB472A9F}">
    <text>Incluye Chocolate para cobertura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95" dT="2025-05-22T21:10:17.61" personId="{A4963337-EB9F-474B-B61F-1ADC3C9EE7EA}" id="{96288A0C-6306-49A0-9761-7608F8D0FE80}">
    <text>Incluye Chocolate para cobertura</text>
  </threadedComment>
  <threadedComment ref="D367" dT="2025-05-22T21:10:17.61" personId="{A4963337-EB9F-474B-B61F-1ADC3C9EE7EA}" id="{2C7BB5D0-6EB4-430B-90DE-A9E4D6271E25}">
    <text>Incluye Chocolate para cobertura</text>
  </threadedComment>
  <threadedComment ref="D572" dT="2025-05-22T21:10:17.61" personId="{A4963337-EB9F-474B-B61F-1ADC3C9EE7EA}" id="{99BA0942-890E-4575-9BEC-F4F8B35B4512}">
    <text>Incluye Chocolate para cobertura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59" dT="2025-05-22T21:10:17.61" personId="{A4963337-EB9F-474B-B61F-1ADC3C9EE7EA}" id="{1E3831FF-42E3-4AC1-B61D-FC47E07B14AF}">
    <text>Incluye Chocolate para cobertura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58F-0361-4E15-898D-0B9B9434FAA1}">
  <dimension ref="A1:C306"/>
  <sheetViews>
    <sheetView topLeftCell="A61" workbookViewId="0">
      <selection activeCell="B69" sqref="B69"/>
    </sheetView>
  </sheetViews>
  <sheetFormatPr defaultRowHeight="14.5"/>
  <cols>
    <col min="1" max="1" width="10.6328125" customWidth="1"/>
    <col min="2" max="2" width="110.26953125" customWidth="1"/>
    <col min="3" max="3" width="14.36328125" customWidth="1"/>
  </cols>
  <sheetData>
    <row r="1" spans="1:3">
      <c r="A1" s="81" t="s">
        <v>661</v>
      </c>
      <c r="B1" s="8" t="s">
        <v>662</v>
      </c>
      <c r="C1" s="8" t="s">
        <v>5</v>
      </c>
    </row>
    <row r="2" spans="1:3">
      <c r="A2" s="82" t="s">
        <v>19</v>
      </c>
      <c r="B2" s="90" t="s">
        <v>22</v>
      </c>
      <c r="C2" s="91">
        <v>1</v>
      </c>
    </row>
    <row r="3" spans="1:3">
      <c r="A3" s="88" t="s">
        <v>649</v>
      </c>
      <c r="B3" s="71" t="s">
        <v>21</v>
      </c>
      <c r="C3" s="71">
        <v>2.1978961849027024E-2</v>
      </c>
    </row>
    <row r="4" spans="1:3">
      <c r="A4" s="83"/>
      <c r="B4" s="69" t="s">
        <v>24</v>
      </c>
      <c r="C4" s="92">
        <v>2.104724056708656E-2</v>
      </c>
    </row>
    <row r="5" spans="1:3">
      <c r="A5" s="84" t="s">
        <v>30</v>
      </c>
      <c r="B5" t="s">
        <v>656</v>
      </c>
      <c r="C5" s="92"/>
    </row>
    <row r="6" spans="1:3">
      <c r="A6" s="88" t="s">
        <v>649</v>
      </c>
      <c r="B6" s="71" t="s">
        <v>26</v>
      </c>
      <c r="C6" s="71">
        <v>6.3594218047386452E-3</v>
      </c>
    </row>
    <row r="7" spans="1:3">
      <c r="A7" s="83"/>
      <c r="B7" s="69" t="s">
        <v>41</v>
      </c>
      <c r="C7" s="92">
        <v>4.8080621740741623E-3</v>
      </c>
    </row>
    <row r="8" spans="1:3">
      <c r="A8" s="84" t="s">
        <v>40</v>
      </c>
      <c r="B8" t="s">
        <v>41</v>
      </c>
      <c r="C8" s="92"/>
    </row>
    <row r="9" spans="1:3">
      <c r="A9" s="83"/>
      <c r="B9" s="69" t="s">
        <v>37</v>
      </c>
      <c r="C9" s="92">
        <v>6.485099225305523E-4</v>
      </c>
    </row>
    <row r="10" spans="1:3">
      <c r="A10" s="84" t="s">
        <v>658</v>
      </c>
      <c r="B10" t="s">
        <v>657</v>
      </c>
      <c r="C10" s="92"/>
    </row>
    <row r="11" spans="1:3">
      <c r="A11" s="88" t="s">
        <v>649</v>
      </c>
      <c r="B11" s="71" t="s">
        <v>29</v>
      </c>
      <c r="C11" s="71">
        <v>3.4992012439462823E-2</v>
      </c>
    </row>
    <row r="12" spans="1:3">
      <c r="A12" s="83"/>
      <c r="B12" s="69" t="s">
        <v>53</v>
      </c>
      <c r="C12" s="92">
        <v>3.339583761959046E-2</v>
      </c>
    </row>
    <row r="13" spans="1:3">
      <c r="A13" s="84" t="s">
        <v>52</v>
      </c>
      <c r="B13" t="s">
        <v>53</v>
      </c>
      <c r="C13" s="92"/>
    </row>
    <row r="14" spans="1:3">
      <c r="A14" s="88" t="s">
        <v>649</v>
      </c>
      <c r="B14" s="71" t="s">
        <v>34</v>
      </c>
      <c r="C14" s="71">
        <v>1.1484767648869909E-2</v>
      </c>
    </row>
    <row r="15" spans="1:3">
      <c r="A15" s="83"/>
      <c r="B15" s="69" t="s">
        <v>37</v>
      </c>
      <c r="C15" s="92">
        <v>1.0878805004206384E-2</v>
      </c>
    </row>
    <row r="16" spans="1:3">
      <c r="A16" s="84" t="s">
        <v>59</v>
      </c>
      <c r="B16" t="s">
        <v>60</v>
      </c>
      <c r="C16" s="92"/>
    </row>
    <row r="17" spans="1:3">
      <c r="A17" s="88" t="s">
        <v>65</v>
      </c>
      <c r="B17" s="71" t="s">
        <v>39</v>
      </c>
      <c r="C17" s="71">
        <v>3.3842640105086878E-3</v>
      </c>
    </row>
    <row r="18" spans="1:3">
      <c r="A18" s="83"/>
      <c r="B18" s="69" t="s">
        <v>71</v>
      </c>
      <c r="C18" s="92">
        <v>1.6903981802283907E-3</v>
      </c>
    </row>
    <row r="19" spans="1:3">
      <c r="A19" s="84" t="s">
        <v>70</v>
      </c>
      <c r="B19" t="s">
        <v>71</v>
      </c>
      <c r="C19" s="92"/>
    </row>
    <row r="20" spans="1:3">
      <c r="A20" s="83"/>
      <c r="B20" s="69" t="s">
        <v>74</v>
      </c>
      <c r="C20" s="92">
        <v>1.6861471553666848E-3</v>
      </c>
    </row>
    <row r="21" spans="1:3">
      <c r="A21" s="84" t="s">
        <v>659</v>
      </c>
      <c r="B21" t="s">
        <v>660</v>
      </c>
      <c r="C21" s="92"/>
    </row>
    <row r="22" spans="1:3">
      <c r="A22" s="88" t="s">
        <v>79</v>
      </c>
      <c r="B22" s="71" t="s">
        <v>43</v>
      </c>
      <c r="C22" s="71">
        <v>1.6134764654450309E-2</v>
      </c>
    </row>
    <row r="23" spans="1:3">
      <c r="A23" s="89"/>
      <c r="B23" s="93" t="s">
        <v>76</v>
      </c>
      <c r="C23" s="92">
        <v>5.3047974225540195E-3</v>
      </c>
    </row>
    <row r="24" spans="1:3">
      <c r="A24" s="84" t="s">
        <v>346</v>
      </c>
      <c r="B24" t="s">
        <v>349</v>
      </c>
      <c r="C24" s="92"/>
    </row>
    <row r="25" spans="1:3">
      <c r="A25" s="84" t="s">
        <v>347</v>
      </c>
      <c r="B25" t="s">
        <v>350</v>
      </c>
      <c r="C25" s="92"/>
    </row>
    <row r="26" spans="1:3">
      <c r="A26" s="84" t="s">
        <v>348</v>
      </c>
      <c r="B26" t="s">
        <v>351</v>
      </c>
      <c r="C26" s="92"/>
    </row>
    <row r="27" spans="1:3">
      <c r="A27" s="83"/>
      <c r="B27" s="69" t="s">
        <v>81</v>
      </c>
      <c r="C27" s="92">
        <v>3.8072430531380041E-3</v>
      </c>
    </row>
    <row r="28" spans="1:3">
      <c r="A28" s="95">
        <v>21311</v>
      </c>
      <c r="B28" t="s">
        <v>88</v>
      </c>
      <c r="C28" s="92"/>
    </row>
    <row r="29" spans="1:3">
      <c r="A29" s="95">
        <v>21395</v>
      </c>
      <c r="B29" t="s">
        <v>89</v>
      </c>
      <c r="C29" s="92"/>
    </row>
    <row r="30" spans="1:3">
      <c r="A30" s="95">
        <v>21399</v>
      </c>
      <c r="B30" t="s">
        <v>90</v>
      </c>
      <c r="C30" s="92"/>
    </row>
    <row r="31" spans="1:3">
      <c r="A31" s="83"/>
      <c r="B31" s="69" t="s">
        <v>85</v>
      </c>
      <c r="C31" s="92">
        <v>2.9615018700315048E-3</v>
      </c>
    </row>
    <row r="32" spans="1:3">
      <c r="A32" s="84" t="s">
        <v>334</v>
      </c>
      <c r="B32" t="s">
        <v>335</v>
      </c>
      <c r="C32" s="92"/>
    </row>
    <row r="33" spans="1:3">
      <c r="A33" s="84" t="s">
        <v>338</v>
      </c>
      <c r="B33" t="s">
        <v>339</v>
      </c>
      <c r="C33" s="92"/>
    </row>
    <row r="34" spans="1:3">
      <c r="A34" s="84" t="s">
        <v>336</v>
      </c>
      <c r="B34" t="s">
        <v>337</v>
      </c>
      <c r="C34" s="92"/>
    </row>
    <row r="35" spans="1:3">
      <c r="A35" s="84" t="s">
        <v>340</v>
      </c>
      <c r="B35" t="s">
        <v>341</v>
      </c>
      <c r="C35" s="92"/>
    </row>
    <row r="36" spans="1:3">
      <c r="A36" s="84" t="s">
        <v>342</v>
      </c>
      <c r="B36" t="s">
        <v>343</v>
      </c>
      <c r="C36" s="92"/>
    </row>
    <row r="37" spans="1:3">
      <c r="A37" s="84" t="s">
        <v>344</v>
      </c>
      <c r="B37" t="s">
        <v>345</v>
      </c>
      <c r="C37" s="92"/>
    </row>
    <row r="38" spans="1:3">
      <c r="A38" s="83"/>
      <c r="B38" s="69" t="s">
        <v>92</v>
      </c>
      <c r="C38" s="92">
        <v>1.833467319228265E-3</v>
      </c>
    </row>
    <row r="39" spans="1:3">
      <c r="A39" s="84" t="s">
        <v>352</v>
      </c>
      <c r="B39" t="s">
        <v>353</v>
      </c>
      <c r="C39" s="92"/>
    </row>
    <row r="40" spans="1:3">
      <c r="A40" s="84" t="s">
        <v>354</v>
      </c>
      <c r="B40" t="s">
        <v>355</v>
      </c>
      <c r="C40" s="92"/>
    </row>
    <row r="41" spans="1:3">
      <c r="A41" s="88" t="s">
        <v>101</v>
      </c>
      <c r="B41" s="71" t="s">
        <v>48</v>
      </c>
      <c r="C41" s="71">
        <v>5.6363419045910315E-2</v>
      </c>
    </row>
    <row r="42" spans="1:3">
      <c r="A42" s="83"/>
      <c r="B42" s="69" t="s">
        <v>98</v>
      </c>
      <c r="C42" s="92">
        <v>4.6125851215613058E-2</v>
      </c>
    </row>
    <row r="43" spans="1:3">
      <c r="A43" s="84" t="s">
        <v>356</v>
      </c>
      <c r="B43" t="s">
        <v>360</v>
      </c>
      <c r="C43" s="92"/>
    </row>
    <row r="44" spans="1:3">
      <c r="A44" s="84" t="s">
        <v>357</v>
      </c>
      <c r="B44" t="s">
        <v>361</v>
      </c>
      <c r="C44" s="92"/>
    </row>
    <row r="45" spans="1:3">
      <c r="A45" s="84" t="s">
        <v>358</v>
      </c>
      <c r="B45" t="s">
        <v>362</v>
      </c>
      <c r="C45" s="92"/>
    </row>
    <row r="46" spans="1:3">
      <c r="A46" s="84" t="s">
        <v>359</v>
      </c>
      <c r="B46" t="s">
        <v>363</v>
      </c>
      <c r="C46" s="92"/>
    </row>
    <row r="47" spans="1:3">
      <c r="A47" s="88" t="s">
        <v>108</v>
      </c>
      <c r="B47" s="71" t="s">
        <v>51</v>
      </c>
      <c r="C47" s="71">
        <v>1.9213029678317586E-2</v>
      </c>
    </row>
    <row r="48" spans="1:3">
      <c r="A48" s="83"/>
      <c r="B48" s="69" t="s">
        <v>105</v>
      </c>
      <c r="C48" s="92">
        <v>1.2964171131985678E-2</v>
      </c>
    </row>
    <row r="49" spans="1:3">
      <c r="A49" s="84" t="s">
        <v>368</v>
      </c>
      <c r="B49" t="s">
        <v>372</v>
      </c>
      <c r="C49" s="92"/>
    </row>
    <row r="50" spans="1:3">
      <c r="A50" s="84" t="s">
        <v>369</v>
      </c>
      <c r="B50" t="s">
        <v>373</v>
      </c>
      <c r="C50" s="92"/>
    </row>
    <row r="51" spans="1:3">
      <c r="A51" s="84" t="s">
        <v>385</v>
      </c>
      <c r="B51" t="s">
        <v>386</v>
      </c>
      <c r="C51" s="92"/>
    </row>
    <row r="52" spans="1:3">
      <c r="A52" s="84" t="s">
        <v>370</v>
      </c>
      <c r="B52" t="s">
        <v>374</v>
      </c>
      <c r="C52" s="92"/>
    </row>
    <row r="53" spans="1:3">
      <c r="A53" s="84" t="s">
        <v>371</v>
      </c>
      <c r="B53" t="s">
        <v>375</v>
      </c>
      <c r="C53" s="92"/>
    </row>
    <row r="54" spans="1:3">
      <c r="A54" s="83"/>
      <c r="B54" s="69" t="s">
        <v>110</v>
      </c>
      <c r="C54" s="92">
        <v>6.0571515147870326E-3</v>
      </c>
    </row>
    <row r="55" spans="1:3">
      <c r="A55" s="84" t="s">
        <v>364</v>
      </c>
      <c r="B55" t="s">
        <v>366</v>
      </c>
      <c r="C55" s="92"/>
    </row>
    <row r="56" spans="1:3">
      <c r="A56" s="84" t="s">
        <v>365</v>
      </c>
      <c r="B56" t="s">
        <v>367</v>
      </c>
      <c r="C56" s="92"/>
    </row>
    <row r="57" spans="1:3">
      <c r="A57" s="88" t="s">
        <v>650</v>
      </c>
      <c r="B57" s="71" t="s">
        <v>55</v>
      </c>
      <c r="C57" s="71">
        <v>9.336197378207893E-3</v>
      </c>
    </row>
    <row r="58" spans="1:3">
      <c r="A58" s="83"/>
      <c r="B58" s="69" t="s">
        <v>116</v>
      </c>
      <c r="C58" s="92">
        <v>8.1642379403882668E-3</v>
      </c>
    </row>
    <row r="59" spans="1:3">
      <c r="A59" s="84" t="s">
        <v>376</v>
      </c>
      <c r="B59" t="s">
        <v>379</v>
      </c>
      <c r="C59" s="92"/>
    </row>
    <row r="60" spans="1:3">
      <c r="A60" s="88" t="s">
        <v>650</v>
      </c>
      <c r="B60" s="71" t="s">
        <v>58</v>
      </c>
      <c r="C60" s="71">
        <v>7.3397561015269425E-3</v>
      </c>
    </row>
    <row r="61" spans="1:3">
      <c r="A61" s="83"/>
      <c r="B61" s="69" t="s">
        <v>123</v>
      </c>
      <c r="C61" s="92">
        <v>4.6722898847790838E-3</v>
      </c>
    </row>
    <row r="62" spans="1:3">
      <c r="A62" s="84" t="s">
        <v>383</v>
      </c>
      <c r="B62" t="s">
        <v>384</v>
      </c>
      <c r="C62" s="92"/>
    </row>
    <row r="63" spans="1:3">
      <c r="A63" s="83"/>
      <c r="B63" s="69" t="s">
        <v>128</v>
      </c>
      <c r="C63" s="92">
        <v>1.8649646256206013E-3</v>
      </c>
    </row>
    <row r="64" spans="1:3">
      <c r="A64" s="84" t="s">
        <v>378</v>
      </c>
      <c r="B64" t="s">
        <v>382</v>
      </c>
      <c r="C64" s="92"/>
    </row>
    <row r="65" spans="1:3">
      <c r="A65" s="88" t="s">
        <v>650</v>
      </c>
      <c r="B65" s="71" t="s">
        <v>64</v>
      </c>
      <c r="C65" s="71">
        <v>8.6210163864627477E-3</v>
      </c>
    </row>
    <row r="66" spans="1:3">
      <c r="A66" s="83"/>
      <c r="B66" s="69" t="s">
        <v>128</v>
      </c>
      <c r="C66" s="92">
        <v>6.658775677364618E-3</v>
      </c>
    </row>
    <row r="67" spans="1:3">
      <c r="A67" s="84" t="s">
        <v>377</v>
      </c>
      <c r="B67" t="s">
        <v>380</v>
      </c>
      <c r="C67" s="92"/>
    </row>
    <row r="68" spans="1:3">
      <c r="A68" s="84" t="s">
        <v>378</v>
      </c>
      <c r="B68" t="s">
        <v>381</v>
      </c>
      <c r="C68" s="92"/>
    </row>
    <row r="69" spans="1:3">
      <c r="A69" s="83"/>
      <c r="B69" s="69" t="s">
        <v>137</v>
      </c>
      <c r="C69" s="92">
        <v>1.1650510372103544E-3</v>
      </c>
    </row>
    <row r="70" spans="1:3">
      <c r="A70" s="84" t="s">
        <v>387</v>
      </c>
      <c r="B70" t="s">
        <v>394</v>
      </c>
      <c r="C70" s="92"/>
    </row>
    <row r="71" spans="1:3">
      <c r="A71" s="84" t="s">
        <v>388</v>
      </c>
      <c r="B71" t="s">
        <v>395</v>
      </c>
      <c r="C71" s="92"/>
    </row>
    <row r="72" spans="1:3">
      <c r="A72" s="84" t="s">
        <v>389</v>
      </c>
      <c r="B72" t="s">
        <v>396</v>
      </c>
      <c r="C72" s="92"/>
    </row>
    <row r="73" spans="1:3">
      <c r="A73" s="84" t="s">
        <v>390</v>
      </c>
      <c r="B73" t="s">
        <v>397</v>
      </c>
      <c r="C73" s="92"/>
    </row>
    <row r="74" spans="1:3">
      <c r="A74" s="84" t="s">
        <v>391</v>
      </c>
      <c r="B74" t="s">
        <v>398</v>
      </c>
      <c r="C74" s="92"/>
    </row>
    <row r="75" spans="1:3">
      <c r="A75" s="84" t="s">
        <v>392</v>
      </c>
      <c r="B75" t="s">
        <v>399</v>
      </c>
      <c r="C75" s="92"/>
    </row>
    <row r="76" spans="1:3">
      <c r="A76" s="84" t="s">
        <v>393</v>
      </c>
      <c r="B76" t="s">
        <v>400</v>
      </c>
      <c r="C76" s="92"/>
    </row>
    <row r="77" spans="1:3">
      <c r="A77" s="88" t="s">
        <v>146</v>
      </c>
      <c r="B77" s="71" t="s">
        <v>69</v>
      </c>
      <c r="C77" s="71">
        <v>1.1321521879620008E-2</v>
      </c>
    </row>
    <row r="78" spans="1:3">
      <c r="A78" s="83"/>
      <c r="B78" s="69" t="s">
        <v>143</v>
      </c>
      <c r="C78" s="92">
        <v>1.0944508758742033E-2</v>
      </c>
    </row>
    <row r="79" spans="1:3">
      <c r="A79" s="84" t="s">
        <v>402</v>
      </c>
      <c r="B79" t="s">
        <v>401</v>
      </c>
      <c r="C79" s="92"/>
    </row>
    <row r="80" spans="1:3">
      <c r="A80" s="88" t="s">
        <v>651</v>
      </c>
      <c r="B80" s="71" t="s">
        <v>73</v>
      </c>
      <c r="C80" s="71">
        <v>5.7361448504306072E-2</v>
      </c>
    </row>
    <row r="81" spans="1:3">
      <c r="A81" s="83"/>
      <c r="B81" s="69" t="s">
        <v>150</v>
      </c>
      <c r="C81" s="92">
        <v>4.5431621442600593E-2</v>
      </c>
    </row>
    <row r="82" spans="1:3">
      <c r="A82" s="84" t="s">
        <v>403</v>
      </c>
      <c r="B82" t="s">
        <v>404</v>
      </c>
      <c r="C82" s="92"/>
    </row>
    <row r="83" spans="1:3">
      <c r="A83" s="83"/>
      <c r="B83" s="69" t="s">
        <v>155</v>
      </c>
      <c r="C83" s="92">
        <v>1.1199084865380135E-2</v>
      </c>
    </row>
    <row r="84" spans="1:3">
      <c r="A84" s="84" t="s">
        <v>405</v>
      </c>
      <c r="B84" t="s">
        <v>407</v>
      </c>
      <c r="C84" s="92"/>
    </row>
    <row r="85" spans="1:3">
      <c r="A85" s="84" t="s">
        <v>406</v>
      </c>
      <c r="B85" t="s">
        <v>408</v>
      </c>
      <c r="C85" s="92"/>
    </row>
    <row r="86" spans="1:3">
      <c r="A86" s="88" t="s">
        <v>651</v>
      </c>
      <c r="B86" s="71" t="s">
        <v>78</v>
      </c>
      <c r="C86" s="71">
        <v>5.3944311725030378E-2</v>
      </c>
    </row>
    <row r="87" spans="1:3">
      <c r="A87" s="83"/>
      <c r="B87" s="69" t="s">
        <v>161</v>
      </c>
      <c r="C87" s="92">
        <v>5.368394600601125E-2</v>
      </c>
    </row>
    <row r="88" spans="1:3">
      <c r="A88" s="84" t="s">
        <v>403</v>
      </c>
      <c r="B88" t="s">
        <v>404</v>
      </c>
      <c r="C88" s="92"/>
    </row>
    <row r="89" spans="1:3">
      <c r="A89" s="88" t="s">
        <v>171</v>
      </c>
      <c r="B89" s="71" t="s">
        <v>83</v>
      </c>
      <c r="C89" s="71">
        <v>3.8608300798912414E-2</v>
      </c>
    </row>
    <row r="90" spans="1:3">
      <c r="A90" s="83"/>
      <c r="B90" s="69" t="s">
        <v>168</v>
      </c>
      <c r="C90" s="92">
        <v>3.3874358613629946E-2</v>
      </c>
    </row>
    <row r="91" spans="1:3">
      <c r="A91" s="84" t="s">
        <v>421</v>
      </c>
      <c r="B91" t="s">
        <v>423</v>
      </c>
      <c r="C91" s="92"/>
    </row>
    <row r="92" spans="1:3">
      <c r="A92" s="84" t="s">
        <v>422</v>
      </c>
      <c r="B92" t="s">
        <v>424</v>
      </c>
      <c r="C92" s="92"/>
    </row>
    <row r="93" spans="1:3">
      <c r="A93" s="88" t="s">
        <v>178</v>
      </c>
      <c r="B93" s="71" t="s">
        <v>87</v>
      </c>
      <c r="C93" s="71">
        <v>6.3729533532317431E-3</v>
      </c>
    </row>
    <row r="94" spans="1:3">
      <c r="A94" s="83"/>
      <c r="B94" s="69" t="s">
        <v>175</v>
      </c>
      <c r="C94" s="92">
        <v>5.8057076231775228E-3</v>
      </c>
    </row>
    <row r="95" spans="1:3">
      <c r="A95" s="84" t="s">
        <v>425</v>
      </c>
      <c r="B95" t="s">
        <v>428</v>
      </c>
      <c r="C95" s="92"/>
    </row>
    <row r="96" spans="1:3">
      <c r="A96" s="84" t="s">
        <v>426</v>
      </c>
      <c r="B96" t="s">
        <v>429</v>
      </c>
      <c r="C96" s="92"/>
    </row>
    <row r="97" spans="1:3">
      <c r="A97" s="84" t="s">
        <v>427</v>
      </c>
      <c r="B97" t="s">
        <v>430</v>
      </c>
      <c r="C97" s="92"/>
    </row>
    <row r="98" spans="1:3">
      <c r="A98" s="88" t="s">
        <v>185</v>
      </c>
      <c r="B98" s="71" t="s">
        <v>94</v>
      </c>
      <c r="C98" s="71">
        <v>4.5227786439998403E-3</v>
      </c>
    </row>
    <row r="99" spans="1:3">
      <c r="A99" s="83"/>
      <c r="B99" s="69" t="s">
        <v>182</v>
      </c>
      <c r="C99" s="92">
        <v>4.3128589739380033E-3</v>
      </c>
    </row>
    <row r="100" spans="1:3">
      <c r="A100" s="84" t="s">
        <v>431</v>
      </c>
      <c r="B100" t="s">
        <v>432</v>
      </c>
      <c r="C100" s="92"/>
    </row>
    <row r="101" spans="1:3">
      <c r="A101" s="88" t="s">
        <v>663</v>
      </c>
      <c r="B101" s="71" t="s">
        <v>96</v>
      </c>
      <c r="C101" s="71">
        <v>2.8971158638819442E-2</v>
      </c>
    </row>
    <row r="102" spans="1:3">
      <c r="A102" s="83"/>
      <c r="B102" s="69" t="s">
        <v>137</v>
      </c>
      <c r="C102" s="92">
        <v>2.7685045844274433E-2</v>
      </c>
    </row>
    <row r="103" spans="1:3">
      <c r="A103" s="84" t="s">
        <v>387</v>
      </c>
      <c r="B103" t="s">
        <v>394</v>
      </c>
      <c r="C103" s="92"/>
    </row>
    <row r="104" spans="1:3">
      <c r="A104" s="84" t="s">
        <v>388</v>
      </c>
      <c r="B104" t="s">
        <v>395</v>
      </c>
      <c r="C104" s="92"/>
    </row>
    <row r="105" spans="1:3">
      <c r="A105" s="84" t="s">
        <v>389</v>
      </c>
      <c r="B105" t="s">
        <v>396</v>
      </c>
      <c r="C105" s="92"/>
    </row>
    <row r="106" spans="1:3">
      <c r="A106" s="84" t="s">
        <v>390</v>
      </c>
      <c r="B106" t="s">
        <v>397</v>
      </c>
      <c r="C106" s="92"/>
    </row>
    <row r="107" spans="1:3">
      <c r="A107" s="84" t="s">
        <v>391</v>
      </c>
      <c r="B107" t="s">
        <v>398</v>
      </c>
      <c r="C107" s="92"/>
    </row>
    <row r="108" spans="1:3">
      <c r="A108" s="84" t="s">
        <v>392</v>
      </c>
      <c r="B108" t="s">
        <v>399</v>
      </c>
      <c r="C108" s="92"/>
    </row>
    <row r="109" spans="1:3">
      <c r="A109" s="84" t="s">
        <v>393</v>
      </c>
      <c r="B109" t="s">
        <v>400</v>
      </c>
      <c r="C109" s="92"/>
    </row>
    <row r="110" spans="1:3">
      <c r="A110" s="84" t="s">
        <v>433</v>
      </c>
      <c r="B110" t="s">
        <v>434</v>
      </c>
      <c r="C110" s="92"/>
    </row>
    <row r="111" spans="1:3">
      <c r="A111" s="88" t="s">
        <v>197</v>
      </c>
      <c r="B111" s="71" t="s">
        <v>100</v>
      </c>
      <c r="C111" s="71">
        <v>2.6112976501768515E-2</v>
      </c>
    </row>
    <row r="112" spans="1:3">
      <c r="A112" s="83"/>
      <c r="B112" s="69" t="s">
        <v>194</v>
      </c>
      <c r="C112" s="92">
        <v>2.573627535812956E-2</v>
      </c>
    </row>
    <row r="113" spans="1:3">
      <c r="A113" s="84" t="s">
        <v>435</v>
      </c>
      <c r="B113" t="s">
        <v>437</v>
      </c>
      <c r="C113" s="92"/>
    </row>
    <row r="114" spans="1:3">
      <c r="A114" s="84" t="s">
        <v>436</v>
      </c>
      <c r="B114" t="s">
        <v>438</v>
      </c>
      <c r="C114" s="92"/>
    </row>
    <row r="115" spans="1:3">
      <c r="A115" s="88" t="s">
        <v>204</v>
      </c>
      <c r="B115" s="71" t="s">
        <v>103</v>
      </c>
      <c r="C115" s="71">
        <v>2.3082270904677821E-3</v>
      </c>
    </row>
    <row r="116" spans="1:3">
      <c r="A116" s="83"/>
      <c r="B116" s="69" t="s">
        <v>201</v>
      </c>
      <c r="C116" s="92">
        <v>2.1026341916036556E-3</v>
      </c>
    </row>
    <row r="117" spans="1:3">
      <c r="A117" s="84" t="s">
        <v>439</v>
      </c>
      <c r="B117" t="s">
        <v>440</v>
      </c>
      <c r="C117" s="92"/>
    </row>
    <row r="118" spans="1:3">
      <c r="A118" s="88" t="s">
        <v>211</v>
      </c>
      <c r="B118" s="71" t="s">
        <v>107</v>
      </c>
      <c r="C118" s="71">
        <v>1.2792912905843138E-4</v>
      </c>
    </row>
    <row r="119" spans="1:3">
      <c r="A119" s="83"/>
      <c r="B119" s="69" t="s">
        <v>208</v>
      </c>
      <c r="C119" s="92">
        <v>1.1821476265097025E-4</v>
      </c>
    </row>
    <row r="120" spans="1:3">
      <c r="A120" s="84" t="s">
        <v>441</v>
      </c>
      <c r="B120" t="s">
        <v>442</v>
      </c>
      <c r="C120" s="92"/>
    </row>
    <row r="121" spans="1:3">
      <c r="A121" s="88" t="s">
        <v>218</v>
      </c>
      <c r="B121" s="71" t="s">
        <v>112</v>
      </c>
      <c r="C121" s="71">
        <v>6.3118962279448488E-3</v>
      </c>
    </row>
    <row r="122" spans="1:3">
      <c r="A122" s="83"/>
      <c r="B122" s="69" t="s">
        <v>215</v>
      </c>
      <c r="C122" s="92">
        <v>5.3618718098631347E-3</v>
      </c>
    </row>
    <row r="123" spans="1:3">
      <c r="A123" s="84" t="s">
        <v>443</v>
      </c>
      <c r="B123" t="s">
        <v>444</v>
      </c>
      <c r="C123" s="92"/>
    </row>
    <row r="124" spans="1:3">
      <c r="A124" s="83"/>
      <c r="B124" s="69" t="s">
        <v>220</v>
      </c>
      <c r="C124" s="92">
        <v>7.672136274607087E-4</v>
      </c>
    </row>
    <row r="125" spans="1:3">
      <c r="A125" s="88" t="s">
        <v>221</v>
      </c>
      <c r="B125" s="71" t="s">
        <v>114</v>
      </c>
      <c r="C125" s="71">
        <v>3.5780195371867912E-2</v>
      </c>
    </row>
    <row r="126" spans="1:3">
      <c r="A126" s="83"/>
      <c r="B126" s="69" t="s">
        <v>92</v>
      </c>
      <c r="C126" s="92">
        <v>2.8997867092873986E-2</v>
      </c>
    </row>
    <row r="127" spans="1:3">
      <c r="A127" s="84" t="s">
        <v>352</v>
      </c>
      <c r="B127" t="s">
        <v>353</v>
      </c>
      <c r="C127" s="92"/>
    </row>
    <row r="128" spans="1:3">
      <c r="A128" s="88" t="s">
        <v>224</v>
      </c>
      <c r="B128" s="71" t="s">
        <v>118</v>
      </c>
      <c r="C128" s="71">
        <v>1.3075191334215816E-3</v>
      </c>
    </row>
    <row r="129" spans="1:3">
      <c r="A129" s="83"/>
      <c r="B129" s="69" t="s">
        <v>223</v>
      </c>
      <c r="C129" s="92">
        <v>1.2030903599964591E-3</v>
      </c>
    </row>
    <row r="130" spans="1:3">
      <c r="A130" s="88" t="s">
        <v>654</v>
      </c>
      <c r="B130" s="71" t="s">
        <v>121</v>
      </c>
      <c r="C130" s="71">
        <v>9.6788994166454746E-3</v>
      </c>
    </row>
    <row r="131" spans="1:3">
      <c r="A131" s="83"/>
      <c r="B131" s="69" t="s">
        <v>226</v>
      </c>
      <c r="C131" s="92">
        <v>7.3042872186560338E-3</v>
      </c>
    </row>
    <row r="132" spans="1:3">
      <c r="A132" s="84" t="s">
        <v>445</v>
      </c>
      <c r="B132" t="s">
        <v>448</v>
      </c>
      <c r="C132" s="92"/>
    </row>
    <row r="133" spans="1:3">
      <c r="A133" s="84" t="s">
        <v>447</v>
      </c>
      <c r="B133" t="s">
        <v>446</v>
      </c>
      <c r="C133" s="92"/>
    </row>
    <row r="134" spans="1:3">
      <c r="A134" s="84" t="s">
        <v>449</v>
      </c>
      <c r="B134" t="s">
        <v>453</v>
      </c>
      <c r="C134" s="92"/>
    </row>
    <row r="135" spans="1:3">
      <c r="A135" s="84" t="s">
        <v>450</v>
      </c>
      <c r="B135" t="s">
        <v>454</v>
      </c>
      <c r="C135" s="92"/>
    </row>
    <row r="136" spans="1:3">
      <c r="A136" s="84" t="s">
        <v>451</v>
      </c>
      <c r="B136" t="s">
        <v>455</v>
      </c>
      <c r="C136" s="92"/>
    </row>
    <row r="137" spans="1:3">
      <c r="A137" s="84" t="s">
        <v>452</v>
      </c>
      <c r="B137" t="s">
        <v>456</v>
      </c>
      <c r="C137" s="92"/>
    </row>
    <row r="138" spans="1:3">
      <c r="A138" s="83"/>
      <c r="B138" s="69" t="s">
        <v>143</v>
      </c>
      <c r="C138" s="92">
        <v>2.1724713217702838E-4</v>
      </c>
    </row>
    <row r="139" spans="1:3">
      <c r="A139" s="88" t="s">
        <v>653</v>
      </c>
      <c r="B139" s="71" t="s">
        <v>125</v>
      </c>
      <c r="C139" s="71">
        <v>1.7473035570112341E-2</v>
      </c>
    </row>
    <row r="140" spans="1:3">
      <c r="A140" s="83"/>
      <c r="B140" s="69" t="s">
        <v>229</v>
      </c>
      <c r="C140" s="94">
        <v>1.5251231327411392E-2</v>
      </c>
    </row>
    <row r="141" spans="1:3">
      <c r="A141" s="84">
        <v>27120</v>
      </c>
      <c r="B141" t="s">
        <v>457</v>
      </c>
    </row>
    <row r="142" spans="1:3">
      <c r="A142" s="84">
        <v>27130</v>
      </c>
      <c r="B142" t="s">
        <v>458</v>
      </c>
    </row>
    <row r="143" spans="1:3">
      <c r="A143" s="84">
        <v>27180</v>
      </c>
      <c r="B143" t="s">
        <v>459</v>
      </c>
    </row>
    <row r="144" spans="1:3">
      <c r="A144" s="84">
        <v>27190</v>
      </c>
      <c r="B144" t="s">
        <v>460</v>
      </c>
    </row>
    <row r="145" spans="1:3">
      <c r="A145" s="84">
        <v>27911</v>
      </c>
      <c r="B145" t="s">
        <v>461</v>
      </c>
    </row>
    <row r="146" spans="1:3">
      <c r="A146" s="88" t="s">
        <v>652</v>
      </c>
      <c r="B146" s="71" t="s">
        <v>130</v>
      </c>
      <c r="C146" s="71">
        <v>7.3919235987623358E-2</v>
      </c>
    </row>
    <row r="147" spans="1:3">
      <c r="A147" s="83"/>
      <c r="B147" s="69" t="s">
        <v>232</v>
      </c>
      <c r="C147" s="94">
        <v>4.7773219783318562E-2</v>
      </c>
    </row>
    <row r="148" spans="1:3">
      <c r="A148" s="84" t="s">
        <v>462</v>
      </c>
      <c r="B148" t="s">
        <v>470</v>
      </c>
    </row>
    <row r="149" spans="1:3">
      <c r="A149" s="84" t="s">
        <v>463</v>
      </c>
      <c r="B149" t="s">
        <v>471</v>
      </c>
    </row>
    <row r="150" spans="1:3">
      <c r="A150" s="84" t="s">
        <v>464</v>
      </c>
      <c r="B150" t="s">
        <v>472</v>
      </c>
    </row>
    <row r="151" spans="1:3">
      <c r="A151" s="84" t="s">
        <v>465</v>
      </c>
      <c r="B151" t="s">
        <v>473</v>
      </c>
    </row>
    <row r="152" spans="1:3">
      <c r="A152" s="84" t="s">
        <v>466</v>
      </c>
      <c r="B152" t="s">
        <v>474</v>
      </c>
    </row>
    <row r="153" spans="1:3">
      <c r="A153" s="84" t="s">
        <v>467</v>
      </c>
      <c r="B153" t="s">
        <v>475</v>
      </c>
    </row>
    <row r="154" spans="1:3">
      <c r="A154" s="84" t="s">
        <v>468</v>
      </c>
      <c r="B154" t="s">
        <v>476</v>
      </c>
    </row>
    <row r="155" spans="1:3">
      <c r="A155" s="84" t="s">
        <v>469</v>
      </c>
      <c r="B155" t="s">
        <v>477</v>
      </c>
    </row>
    <row r="156" spans="1:3">
      <c r="A156" s="83"/>
      <c r="B156" s="69" t="s">
        <v>143</v>
      </c>
      <c r="C156" s="94">
        <v>2.3979214483385157E-2</v>
      </c>
    </row>
    <row r="157" spans="1:3">
      <c r="A157" s="85" t="s">
        <v>478</v>
      </c>
      <c r="B157" s="57" t="s">
        <v>480</v>
      </c>
      <c r="C157" s="94"/>
    </row>
    <row r="158" spans="1:3">
      <c r="A158" s="85" t="s">
        <v>479</v>
      </c>
      <c r="B158" s="57" t="s">
        <v>481</v>
      </c>
      <c r="C158" s="94"/>
    </row>
    <row r="159" spans="1:3">
      <c r="A159" s="88" t="s">
        <v>664</v>
      </c>
      <c r="B159" s="71" t="s">
        <v>132</v>
      </c>
      <c r="C159" s="71">
        <v>3.3287318993795701E-3</v>
      </c>
    </row>
    <row r="160" spans="1:3">
      <c r="A160" s="83"/>
      <c r="B160" s="69" t="s">
        <v>240</v>
      </c>
      <c r="C160" s="94">
        <v>2.3443971553016702E-3</v>
      </c>
    </row>
    <row r="161" spans="1:3">
      <c r="A161" s="84" t="s">
        <v>485</v>
      </c>
      <c r="B161" t="s">
        <v>482</v>
      </c>
    </row>
    <row r="162" spans="1:3">
      <c r="A162" s="83"/>
      <c r="B162" s="69" t="s">
        <v>243</v>
      </c>
      <c r="C162" s="94">
        <v>9.831299749406535E-4</v>
      </c>
    </row>
    <row r="163" spans="1:3">
      <c r="A163" s="84" t="s">
        <v>483</v>
      </c>
      <c r="B163" t="s">
        <v>486</v>
      </c>
      <c r="C163" s="94"/>
    </row>
    <row r="164" spans="1:3">
      <c r="A164" s="84" t="s">
        <v>484</v>
      </c>
      <c r="B164" t="s">
        <v>487</v>
      </c>
      <c r="C164" s="94"/>
    </row>
    <row r="165" spans="1:3">
      <c r="A165" s="88" t="s">
        <v>246</v>
      </c>
      <c r="B165" s="71" t="s">
        <v>134</v>
      </c>
      <c r="C165" s="71">
        <v>6.5989531039281225E-3</v>
      </c>
    </row>
    <row r="166" spans="1:3">
      <c r="A166" s="83"/>
      <c r="B166" s="69" t="s">
        <v>245</v>
      </c>
      <c r="C166" s="94">
        <v>5.8247273647781287E-3</v>
      </c>
    </row>
    <row r="167" spans="1:3">
      <c r="A167" s="84" t="s">
        <v>488</v>
      </c>
      <c r="B167" t="s">
        <v>492</v>
      </c>
    </row>
    <row r="168" spans="1:3">
      <c r="A168" s="84" t="s">
        <v>489</v>
      </c>
      <c r="B168" t="s">
        <v>493</v>
      </c>
    </row>
    <row r="169" spans="1:3">
      <c r="A169" s="84" t="s">
        <v>490</v>
      </c>
      <c r="B169" t="s">
        <v>494</v>
      </c>
    </row>
    <row r="170" spans="1:3">
      <c r="A170" s="84" t="s">
        <v>491</v>
      </c>
      <c r="B170" t="s">
        <v>495</v>
      </c>
    </row>
    <row r="171" spans="1:3">
      <c r="A171" s="88" t="s">
        <v>249</v>
      </c>
      <c r="B171" s="71" t="s">
        <v>139</v>
      </c>
      <c r="C171" s="71">
        <v>1.169487117194341E-2</v>
      </c>
    </row>
    <row r="172" spans="1:3">
      <c r="A172" s="83"/>
      <c r="B172" s="69" t="s">
        <v>248</v>
      </c>
      <c r="C172" s="94">
        <v>1.1538957487214093E-2</v>
      </c>
    </row>
    <row r="173" spans="1:3">
      <c r="A173" s="84" t="s">
        <v>496</v>
      </c>
      <c r="B173" t="s">
        <v>499</v>
      </c>
    </row>
    <row r="174" spans="1:3">
      <c r="A174" s="84" t="s">
        <v>497</v>
      </c>
      <c r="B174" t="s">
        <v>500</v>
      </c>
    </row>
    <row r="175" spans="1:3">
      <c r="A175" s="84" t="s">
        <v>498</v>
      </c>
      <c r="B175" t="s">
        <v>501</v>
      </c>
    </row>
    <row r="176" spans="1:3">
      <c r="A176" s="88" t="s">
        <v>252</v>
      </c>
      <c r="B176" s="71" t="s">
        <v>141</v>
      </c>
      <c r="C176" s="71">
        <v>7.72526314854588E-3</v>
      </c>
    </row>
    <row r="177" spans="1:3">
      <c r="A177" s="83"/>
      <c r="B177" s="69" t="s">
        <v>251</v>
      </c>
      <c r="C177" s="92">
        <v>7.4546459603428263E-3</v>
      </c>
    </row>
    <row r="178" spans="1:3">
      <c r="A178" s="84">
        <v>31420</v>
      </c>
      <c r="B178" t="s">
        <v>505</v>
      </c>
    </row>
    <row r="179" spans="1:3">
      <c r="A179" s="84" t="s">
        <v>502</v>
      </c>
      <c r="B179" t="s">
        <v>506</v>
      </c>
    </row>
    <row r="180" spans="1:3">
      <c r="A180" s="84" t="s">
        <v>504</v>
      </c>
      <c r="B180" t="s">
        <v>507</v>
      </c>
    </row>
    <row r="181" spans="1:3">
      <c r="A181" s="84" t="s">
        <v>503</v>
      </c>
      <c r="B181" t="s">
        <v>508</v>
      </c>
    </row>
    <row r="182" spans="1:3">
      <c r="A182" s="88" t="s">
        <v>255</v>
      </c>
      <c r="B182" s="71" t="s">
        <v>145</v>
      </c>
      <c r="C182" s="71">
        <v>2.491309937312031E-2</v>
      </c>
    </row>
    <row r="183" spans="1:3">
      <c r="A183" s="83"/>
      <c r="B183" s="69" t="s">
        <v>254</v>
      </c>
      <c r="C183" s="92">
        <v>1.3723044379644445E-2</v>
      </c>
    </row>
    <row r="184" spans="1:3">
      <c r="A184" s="84" t="s">
        <v>509</v>
      </c>
      <c r="B184" t="s">
        <v>512</v>
      </c>
    </row>
    <row r="185" spans="1:3">
      <c r="A185" s="83"/>
      <c r="B185" s="69" t="s">
        <v>257</v>
      </c>
      <c r="C185" s="92">
        <v>1.0644159074267863E-2</v>
      </c>
    </row>
    <row r="186" spans="1:3">
      <c r="A186" s="84" t="s">
        <v>513</v>
      </c>
      <c r="B186" t="s">
        <v>514</v>
      </c>
      <c r="C186" s="92"/>
    </row>
    <row r="187" spans="1:3">
      <c r="A187" s="84" t="s">
        <v>510</v>
      </c>
      <c r="B187" t="s">
        <v>511</v>
      </c>
      <c r="C187" s="92"/>
    </row>
    <row r="188" spans="1:3">
      <c r="A188" s="88" t="s">
        <v>260</v>
      </c>
      <c r="B188" s="71" t="s">
        <v>148</v>
      </c>
      <c r="C188" s="71">
        <v>9.3414023867344938E-3</v>
      </c>
    </row>
    <row r="189" spans="1:3">
      <c r="A189" s="83"/>
      <c r="B189" s="69" t="s">
        <v>259</v>
      </c>
      <c r="C189" s="92">
        <v>7.8588844637605907E-3</v>
      </c>
    </row>
    <row r="190" spans="1:3">
      <c r="A190" s="84" t="s">
        <v>515</v>
      </c>
      <c r="B190" t="s">
        <v>516</v>
      </c>
    </row>
    <row r="191" spans="1:3">
      <c r="A191" s="88" t="s">
        <v>263</v>
      </c>
      <c r="B191" s="71" t="s">
        <v>152</v>
      </c>
      <c r="C191" s="71">
        <v>0</v>
      </c>
    </row>
    <row r="192" spans="1:3">
      <c r="A192" s="86"/>
      <c r="B192" s="70" t="s">
        <v>262</v>
      </c>
      <c r="C192" s="92">
        <v>0</v>
      </c>
    </row>
    <row r="193" spans="1:3">
      <c r="A193" s="88" t="s">
        <v>655</v>
      </c>
      <c r="B193" s="71" t="s">
        <v>157</v>
      </c>
      <c r="C193" s="71">
        <v>6.5368306101495771E-3</v>
      </c>
    </row>
    <row r="194" spans="1:3">
      <c r="A194" s="83"/>
      <c r="B194" s="69" t="s">
        <v>265</v>
      </c>
      <c r="C194" s="92">
        <v>5.2588702402240253E-3</v>
      </c>
    </row>
    <row r="195" spans="1:3">
      <c r="A195" s="85" t="s">
        <v>517</v>
      </c>
      <c r="B195" s="57" t="s">
        <v>518</v>
      </c>
    </row>
    <row r="196" spans="1:3">
      <c r="A196" s="83"/>
      <c r="B196" s="69" t="s">
        <v>201</v>
      </c>
      <c r="C196" s="92">
        <v>1.2509842104271314E-3</v>
      </c>
    </row>
    <row r="197" spans="1:3">
      <c r="A197" s="84" t="s">
        <v>439</v>
      </c>
      <c r="B197" t="s">
        <v>440</v>
      </c>
      <c r="C197" s="92"/>
    </row>
    <row r="198" spans="1:3">
      <c r="A198" s="88" t="s">
        <v>269</v>
      </c>
      <c r="B198" s="71" t="s">
        <v>159</v>
      </c>
      <c r="C198" s="71">
        <v>3.1290812940609126E-2</v>
      </c>
    </row>
    <row r="199" spans="1:3">
      <c r="A199" s="83"/>
      <c r="B199" s="69" t="s">
        <v>268</v>
      </c>
      <c r="C199" s="92">
        <v>3.0396282723011613E-2</v>
      </c>
    </row>
    <row r="200" spans="1:3">
      <c r="A200" s="84" t="s">
        <v>523</v>
      </c>
      <c r="B200" t="s">
        <v>524</v>
      </c>
    </row>
    <row r="201" spans="1:3">
      <c r="A201" s="84" t="s">
        <v>525</v>
      </c>
      <c r="B201" t="s">
        <v>530</v>
      </c>
    </row>
    <row r="202" spans="1:3">
      <c r="A202" s="84" t="s">
        <v>520</v>
      </c>
      <c r="B202" t="s">
        <v>522</v>
      </c>
    </row>
    <row r="203" spans="1:3">
      <c r="A203" s="84" t="s">
        <v>519</v>
      </c>
      <c r="B203" t="s">
        <v>521</v>
      </c>
    </row>
    <row r="204" spans="1:3">
      <c r="A204" s="84" t="s">
        <v>526</v>
      </c>
      <c r="B204" t="s">
        <v>529</v>
      </c>
    </row>
    <row r="205" spans="1:3">
      <c r="A205" s="84" t="s">
        <v>527</v>
      </c>
      <c r="B205" t="s">
        <v>528</v>
      </c>
    </row>
    <row r="206" spans="1:3">
      <c r="A206" s="88" t="s">
        <v>270</v>
      </c>
      <c r="B206" s="71" t="s">
        <v>163</v>
      </c>
      <c r="C206" s="71">
        <v>0</v>
      </c>
    </row>
    <row r="207" spans="1:3">
      <c r="A207" s="86"/>
      <c r="B207" s="70" t="s">
        <v>262</v>
      </c>
      <c r="C207" s="92">
        <v>0</v>
      </c>
    </row>
    <row r="208" spans="1:3">
      <c r="A208" s="88" t="s">
        <v>273</v>
      </c>
      <c r="B208" s="71" t="s">
        <v>166</v>
      </c>
      <c r="C208" s="71">
        <v>6.1612780957974343E-3</v>
      </c>
    </row>
    <row r="209" spans="1:3">
      <c r="A209" s="83"/>
      <c r="B209" s="69" t="s">
        <v>272</v>
      </c>
      <c r="C209" s="92">
        <v>5.9974451643616568E-3</v>
      </c>
    </row>
    <row r="210" spans="1:3">
      <c r="A210" s="84" t="s">
        <v>531</v>
      </c>
      <c r="B210" t="s">
        <v>532</v>
      </c>
    </row>
    <row r="211" spans="1:3">
      <c r="A211" s="88" t="s">
        <v>276</v>
      </c>
      <c r="B211" s="71" t="s">
        <v>170</v>
      </c>
      <c r="C211" s="71">
        <v>2.6809278962710213E-2</v>
      </c>
    </row>
    <row r="212" spans="1:3">
      <c r="A212" s="83"/>
      <c r="B212" s="69" t="s">
        <v>275</v>
      </c>
      <c r="C212" s="92">
        <v>2.6180466796369921E-2</v>
      </c>
    </row>
    <row r="213" spans="1:3">
      <c r="A213" s="84" t="s">
        <v>533</v>
      </c>
      <c r="B213" t="s">
        <v>534</v>
      </c>
    </row>
    <row r="214" spans="1:3">
      <c r="A214" s="84" t="s">
        <v>535</v>
      </c>
      <c r="B214" t="s">
        <v>536</v>
      </c>
    </row>
    <row r="215" spans="1:3">
      <c r="A215" s="84" t="s">
        <v>537</v>
      </c>
      <c r="B215" t="s">
        <v>538</v>
      </c>
    </row>
    <row r="216" spans="1:3">
      <c r="A216" s="88" t="s">
        <v>655</v>
      </c>
      <c r="B216" s="71" t="s">
        <v>173</v>
      </c>
      <c r="C216" s="71">
        <v>1.2152225704628136E-2</v>
      </c>
    </row>
    <row r="217" spans="1:3">
      <c r="A217" s="83"/>
      <c r="B217" s="69" t="s">
        <v>278</v>
      </c>
      <c r="C217" s="92">
        <v>6.8352800217166641E-3</v>
      </c>
    </row>
    <row r="218" spans="1:3">
      <c r="A218" s="84" t="s">
        <v>539</v>
      </c>
      <c r="B218" t="s">
        <v>546</v>
      </c>
    </row>
    <row r="219" spans="1:3">
      <c r="A219" s="84" t="s">
        <v>540</v>
      </c>
      <c r="B219" t="s">
        <v>547</v>
      </c>
    </row>
    <row r="220" spans="1:3">
      <c r="A220" s="84" t="s">
        <v>541</v>
      </c>
      <c r="B220" t="s">
        <v>548</v>
      </c>
    </row>
    <row r="221" spans="1:3">
      <c r="A221" s="84" t="s">
        <v>542</v>
      </c>
      <c r="B221" t="s">
        <v>544</v>
      </c>
    </row>
    <row r="222" spans="1:3">
      <c r="A222" s="84" t="s">
        <v>543</v>
      </c>
      <c r="B222" t="s">
        <v>545</v>
      </c>
    </row>
    <row r="223" spans="1:3">
      <c r="A223" s="83"/>
      <c r="B223" s="69" t="s">
        <v>281</v>
      </c>
      <c r="C223" s="92">
        <v>3.3619815508715207E-3</v>
      </c>
    </row>
    <row r="224" spans="1:3">
      <c r="A224" s="84" t="s">
        <v>549</v>
      </c>
      <c r="B224" t="s">
        <v>553</v>
      </c>
    </row>
    <row r="225" spans="1:3">
      <c r="A225" s="84" t="s">
        <v>550</v>
      </c>
      <c r="B225" t="s">
        <v>554</v>
      </c>
    </row>
    <row r="226" spans="1:3">
      <c r="A226" s="84" t="s">
        <v>551</v>
      </c>
      <c r="B226" t="s">
        <v>555</v>
      </c>
    </row>
    <row r="227" spans="1:3">
      <c r="A227" s="84" t="s">
        <v>552</v>
      </c>
      <c r="B227" t="s">
        <v>556</v>
      </c>
    </row>
    <row r="228" spans="1:3">
      <c r="A228" s="88" t="s">
        <v>284</v>
      </c>
      <c r="B228" s="71" t="s">
        <v>177</v>
      </c>
      <c r="C228" s="71">
        <v>2.1100979648769495E-2</v>
      </c>
    </row>
    <row r="229" spans="1:3">
      <c r="A229" s="83"/>
      <c r="B229" s="69" t="s">
        <v>283</v>
      </c>
      <c r="C229" s="92">
        <v>1.6956718397735458E-2</v>
      </c>
    </row>
    <row r="230" spans="1:3">
      <c r="A230" s="84" t="s">
        <v>557</v>
      </c>
      <c r="B230" t="s">
        <v>559</v>
      </c>
      <c r="C230" s="92"/>
    </row>
    <row r="231" spans="1:3">
      <c r="A231" s="84" t="s">
        <v>558</v>
      </c>
      <c r="B231" t="s">
        <v>560</v>
      </c>
      <c r="C231" s="92"/>
    </row>
    <row r="232" spans="1:3">
      <c r="A232" s="83"/>
      <c r="B232" s="69" t="s">
        <v>268</v>
      </c>
      <c r="C232" s="92">
        <v>2.3536031373726273E-3</v>
      </c>
    </row>
    <row r="233" spans="1:3">
      <c r="A233" s="88" t="s">
        <v>287</v>
      </c>
      <c r="B233" s="71" t="s">
        <v>180</v>
      </c>
      <c r="C233" s="71">
        <v>3.9534381165138195E-3</v>
      </c>
    </row>
    <row r="234" spans="1:3">
      <c r="A234" s="83"/>
      <c r="B234" s="69" t="s">
        <v>286</v>
      </c>
      <c r="C234" s="92">
        <v>3.3787351144895011E-3</v>
      </c>
    </row>
    <row r="235" spans="1:3">
      <c r="A235" s="84" t="s">
        <v>561</v>
      </c>
      <c r="B235" t="s">
        <v>564</v>
      </c>
    </row>
    <row r="236" spans="1:3">
      <c r="A236" s="84" t="s">
        <v>562</v>
      </c>
      <c r="B236" t="s">
        <v>565</v>
      </c>
    </row>
    <row r="237" spans="1:3">
      <c r="A237" s="84" t="s">
        <v>563</v>
      </c>
      <c r="B237" t="s">
        <v>566</v>
      </c>
    </row>
    <row r="238" spans="1:3">
      <c r="A238" s="88" t="s">
        <v>290</v>
      </c>
      <c r="B238" s="71" t="s">
        <v>184</v>
      </c>
      <c r="C238" s="71">
        <v>5.6490440780631472E-2</v>
      </c>
    </row>
    <row r="239" spans="1:3">
      <c r="A239" s="83"/>
      <c r="B239" s="69" t="s">
        <v>289</v>
      </c>
      <c r="C239" s="92">
        <v>5.345036788348672E-2</v>
      </c>
    </row>
    <row r="240" spans="1:3">
      <c r="A240" s="84" t="s">
        <v>567</v>
      </c>
      <c r="B240" t="s">
        <v>574</v>
      </c>
    </row>
    <row r="241" spans="1:3">
      <c r="A241" s="84" t="s">
        <v>568</v>
      </c>
      <c r="B241" t="s">
        <v>575</v>
      </c>
    </row>
    <row r="242" spans="1:3">
      <c r="A242" s="84" t="s">
        <v>569</v>
      </c>
      <c r="B242" t="s">
        <v>576</v>
      </c>
    </row>
    <row r="243" spans="1:3">
      <c r="A243" s="84" t="s">
        <v>570</v>
      </c>
      <c r="B243" t="s">
        <v>577</v>
      </c>
    </row>
    <row r="244" spans="1:3">
      <c r="A244" s="84" t="s">
        <v>571</v>
      </c>
      <c r="B244" t="s">
        <v>578</v>
      </c>
    </row>
    <row r="245" spans="1:3">
      <c r="A245" s="84" t="s">
        <v>572</v>
      </c>
      <c r="B245" t="s">
        <v>579</v>
      </c>
    </row>
    <row r="246" spans="1:3">
      <c r="A246" s="84" t="s">
        <v>573</v>
      </c>
      <c r="B246" t="s">
        <v>580</v>
      </c>
    </row>
    <row r="247" spans="1:3">
      <c r="A247" s="88" t="s">
        <v>293</v>
      </c>
      <c r="B247" s="71" t="s">
        <v>187</v>
      </c>
      <c r="C247" s="71">
        <v>4.7766874854720349E-3</v>
      </c>
    </row>
    <row r="248" spans="1:3">
      <c r="A248" s="83"/>
      <c r="B248" s="69" t="s">
        <v>292</v>
      </c>
      <c r="C248" s="92">
        <v>4.6999857272966754E-3</v>
      </c>
    </row>
    <row r="249" spans="1:3">
      <c r="A249" s="84" t="s">
        <v>581</v>
      </c>
      <c r="B249" t="s">
        <v>583</v>
      </c>
    </row>
    <row r="250" spans="1:3">
      <c r="A250" s="84" t="s">
        <v>582</v>
      </c>
      <c r="B250" t="s">
        <v>584</v>
      </c>
    </row>
    <row r="251" spans="1:3">
      <c r="A251" s="88" t="s">
        <v>296</v>
      </c>
      <c r="B251" s="71" t="s">
        <v>189</v>
      </c>
      <c r="C251" s="71">
        <v>1.0557006217653347E-2</v>
      </c>
    </row>
    <row r="252" spans="1:3">
      <c r="A252" s="83"/>
      <c r="B252" s="69" t="s">
        <v>295</v>
      </c>
      <c r="C252" s="92">
        <v>8.1326154764291905E-3</v>
      </c>
    </row>
    <row r="253" spans="1:3">
      <c r="A253" s="84" t="s">
        <v>585</v>
      </c>
      <c r="B253" t="s">
        <v>587</v>
      </c>
    </row>
    <row r="254" spans="1:3">
      <c r="A254" s="84" t="s">
        <v>586</v>
      </c>
      <c r="B254" t="s">
        <v>588</v>
      </c>
    </row>
    <row r="255" spans="1:3">
      <c r="A255" s="83"/>
      <c r="B255" s="69" t="s">
        <v>298</v>
      </c>
      <c r="C255" s="92">
        <v>2.3153977035287264E-3</v>
      </c>
    </row>
    <row r="256" spans="1:3">
      <c r="A256" s="84" t="s">
        <v>589</v>
      </c>
      <c r="B256" t="s">
        <v>590</v>
      </c>
      <c r="C256" s="92"/>
    </row>
    <row r="257" spans="1:3">
      <c r="A257" s="88" t="s">
        <v>301</v>
      </c>
      <c r="B257" s="71" t="s">
        <v>192</v>
      </c>
      <c r="C257" s="71">
        <v>4.3036129945688312E-2</v>
      </c>
    </row>
    <row r="258" spans="1:3">
      <c r="A258" s="83"/>
      <c r="B258" s="69" t="s">
        <v>300</v>
      </c>
      <c r="C258" s="92">
        <v>4.1985711256306082E-2</v>
      </c>
    </row>
    <row r="259" spans="1:3">
      <c r="A259" s="84" t="s">
        <v>591</v>
      </c>
      <c r="B259" t="s">
        <v>592</v>
      </c>
    </row>
    <row r="260" spans="1:3">
      <c r="A260" s="88" t="s">
        <v>296</v>
      </c>
      <c r="B260" s="71" t="s">
        <v>196</v>
      </c>
      <c r="C260" s="71">
        <v>9.1441509550053181E-3</v>
      </c>
    </row>
    <row r="261" spans="1:3">
      <c r="A261" s="83"/>
      <c r="B261" s="69" t="s">
        <v>303</v>
      </c>
      <c r="C261" s="92">
        <v>9.0057608300123156E-3</v>
      </c>
    </row>
    <row r="262" spans="1:3">
      <c r="A262" s="84" t="s">
        <v>593</v>
      </c>
      <c r="B262" t="s">
        <v>595</v>
      </c>
    </row>
    <row r="263" spans="1:3">
      <c r="A263" s="84" t="s">
        <v>594</v>
      </c>
      <c r="B263" t="s">
        <v>596</v>
      </c>
    </row>
    <row r="264" spans="1:3">
      <c r="A264" s="88" t="s">
        <v>307</v>
      </c>
      <c r="B264" s="71" t="s">
        <v>199</v>
      </c>
      <c r="C264" s="71">
        <v>4.1048185014673261E-4</v>
      </c>
    </row>
    <row r="265" spans="1:3">
      <c r="A265" s="83"/>
      <c r="B265" s="69" t="s">
        <v>306</v>
      </c>
      <c r="C265" s="92">
        <v>3.2262904339356755E-4</v>
      </c>
    </row>
    <row r="266" spans="1:3">
      <c r="A266" s="87" t="s">
        <v>597</v>
      </c>
      <c r="B266" s="61" t="s">
        <v>599</v>
      </c>
    </row>
    <row r="267" spans="1:3">
      <c r="A267" s="87" t="s">
        <v>598</v>
      </c>
      <c r="B267" s="61" t="s">
        <v>600</v>
      </c>
    </row>
    <row r="268" spans="1:3">
      <c r="A268" s="88" t="s">
        <v>310</v>
      </c>
      <c r="B268" s="71" t="s">
        <v>203</v>
      </c>
      <c r="C268" s="71">
        <v>5.1413342695416177E-2</v>
      </c>
    </row>
    <row r="269" spans="1:3">
      <c r="A269" s="83"/>
      <c r="B269" s="69" t="s">
        <v>309</v>
      </c>
      <c r="C269" s="92">
        <v>4.8733281295499989E-2</v>
      </c>
    </row>
    <row r="270" spans="1:3">
      <c r="A270" s="84" t="s">
        <v>601</v>
      </c>
      <c r="B270" t="s">
        <v>608</v>
      </c>
    </row>
    <row r="271" spans="1:3">
      <c r="A271" s="84" t="s">
        <v>602</v>
      </c>
      <c r="B271" t="s">
        <v>609</v>
      </c>
    </row>
    <row r="272" spans="1:3">
      <c r="A272" s="84" t="s">
        <v>603</v>
      </c>
      <c r="B272" t="s">
        <v>610</v>
      </c>
    </row>
    <row r="273" spans="1:3">
      <c r="A273" s="84" t="s">
        <v>604</v>
      </c>
      <c r="B273" t="s">
        <v>611</v>
      </c>
    </row>
    <row r="274" spans="1:3">
      <c r="A274" s="84" t="s">
        <v>605</v>
      </c>
      <c r="B274" t="s">
        <v>612</v>
      </c>
    </row>
    <row r="275" spans="1:3">
      <c r="A275" s="84" t="s">
        <v>606</v>
      </c>
      <c r="B275" t="s">
        <v>613</v>
      </c>
    </row>
    <row r="276" spans="1:3">
      <c r="A276" s="84" t="s">
        <v>607</v>
      </c>
      <c r="B276" t="s">
        <v>614</v>
      </c>
    </row>
    <row r="277" spans="1:3">
      <c r="A277" s="88" t="s">
        <v>313</v>
      </c>
      <c r="B277" s="71" t="s">
        <v>206</v>
      </c>
      <c r="C277" s="71">
        <v>1.4161502830083135E-2</v>
      </c>
    </row>
    <row r="278" spans="1:3">
      <c r="A278" s="83"/>
      <c r="B278" s="69" t="s">
        <v>312</v>
      </c>
      <c r="C278" s="92">
        <v>8.8171046609670841E-3</v>
      </c>
    </row>
    <row r="279" spans="1:3">
      <c r="A279" s="84" t="s">
        <v>615</v>
      </c>
      <c r="B279" t="s">
        <v>620</v>
      </c>
      <c r="C279" s="92"/>
    </row>
    <row r="280" spans="1:3">
      <c r="A280" s="84" t="s">
        <v>616</v>
      </c>
      <c r="B280" t="s">
        <v>621</v>
      </c>
      <c r="C280" s="92"/>
    </row>
    <row r="281" spans="1:3">
      <c r="A281" s="84" t="s">
        <v>617</v>
      </c>
      <c r="B281" t="s">
        <v>622</v>
      </c>
      <c r="C281" s="92"/>
    </row>
    <row r="282" spans="1:3">
      <c r="A282" s="84" t="s">
        <v>618</v>
      </c>
      <c r="B282" t="s">
        <v>623</v>
      </c>
      <c r="C282" s="92"/>
    </row>
    <row r="283" spans="1:3">
      <c r="A283" s="84" t="s">
        <v>619</v>
      </c>
      <c r="B283" t="s">
        <v>624</v>
      </c>
      <c r="C283" s="92"/>
    </row>
    <row r="284" spans="1:3">
      <c r="A284" s="83"/>
      <c r="B284" s="69" t="s">
        <v>315</v>
      </c>
      <c r="C284" s="92">
        <v>4.7558375706869367E-3</v>
      </c>
    </row>
    <row r="285" spans="1:3">
      <c r="A285" s="84" t="s">
        <v>625</v>
      </c>
      <c r="B285" t="s">
        <v>626</v>
      </c>
      <c r="C285" s="92"/>
    </row>
    <row r="286" spans="1:3">
      <c r="A286" s="88" t="s">
        <v>318</v>
      </c>
      <c r="B286" s="71" t="s">
        <v>210</v>
      </c>
      <c r="C286" s="71">
        <v>2.7763185016377229E-2</v>
      </c>
    </row>
    <row r="287" spans="1:3">
      <c r="A287" s="83"/>
      <c r="B287" s="69" t="s">
        <v>317</v>
      </c>
      <c r="C287" s="92">
        <v>1.5618317168322767E-2</v>
      </c>
    </row>
    <row r="288" spans="1:3">
      <c r="A288" s="85" t="s">
        <v>627</v>
      </c>
      <c r="B288" s="57" t="s">
        <v>628</v>
      </c>
    </row>
    <row r="289" spans="1:3">
      <c r="A289" s="83"/>
      <c r="B289" s="69" t="s">
        <v>320</v>
      </c>
      <c r="C289" s="92">
        <v>5.2274489488129726E-3</v>
      </c>
    </row>
    <row r="290" spans="1:3">
      <c r="A290" s="84" t="s">
        <v>629</v>
      </c>
      <c r="B290" t="s">
        <v>630</v>
      </c>
      <c r="C290" s="92"/>
    </row>
    <row r="291" spans="1:3">
      <c r="A291" s="83"/>
      <c r="B291" s="69" t="s">
        <v>322</v>
      </c>
      <c r="C291" s="92">
        <v>3.0525515841126768E-3</v>
      </c>
    </row>
    <row r="292" spans="1:3">
      <c r="A292" s="84" t="s">
        <v>631</v>
      </c>
      <c r="B292" t="s">
        <v>633</v>
      </c>
      <c r="C292" s="92"/>
    </row>
    <row r="293" spans="1:3">
      <c r="A293" s="84" t="s">
        <v>632</v>
      </c>
      <c r="B293" t="s">
        <v>634</v>
      </c>
      <c r="C293" s="92"/>
    </row>
    <row r="294" spans="1:3">
      <c r="A294" s="83"/>
      <c r="B294" s="69" t="s">
        <v>324</v>
      </c>
      <c r="C294" s="92">
        <v>2.5453750952718875E-3</v>
      </c>
    </row>
    <row r="295" spans="1:3">
      <c r="A295" s="84" t="s">
        <v>635</v>
      </c>
      <c r="B295" t="s">
        <v>636</v>
      </c>
      <c r="C295" s="92"/>
    </row>
    <row r="296" spans="1:3">
      <c r="A296" s="88" t="s">
        <v>327</v>
      </c>
      <c r="B296" s="71" t="s">
        <v>213</v>
      </c>
      <c r="C296" s="71">
        <v>3.3404273581901782E-2</v>
      </c>
    </row>
    <row r="297" spans="1:3">
      <c r="A297" s="83"/>
      <c r="B297" s="69" t="s">
        <v>326</v>
      </c>
      <c r="C297" s="92">
        <v>3.0318886044749381E-2</v>
      </c>
    </row>
    <row r="298" spans="1:3">
      <c r="A298" s="84" t="s">
        <v>637</v>
      </c>
      <c r="B298" t="s">
        <v>640</v>
      </c>
    </row>
    <row r="299" spans="1:3">
      <c r="A299" s="84" t="s">
        <v>638</v>
      </c>
      <c r="B299" t="s">
        <v>641</v>
      </c>
    </row>
    <row r="300" spans="1:3">
      <c r="A300" s="84" t="s">
        <v>639</v>
      </c>
      <c r="B300" t="s">
        <v>642</v>
      </c>
    </row>
    <row r="301" spans="1:3">
      <c r="A301" s="88" t="s">
        <v>330</v>
      </c>
      <c r="B301" s="71" t="s">
        <v>217</v>
      </c>
      <c r="C301" s="71">
        <v>7.9056345084815398E-3</v>
      </c>
    </row>
    <row r="302" spans="1:3">
      <c r="A302" s="83"/>
      <c r="B302" s="69" t="s">
        <v>329</v>
      </c>
      <c r="C302" s="92">
        <v>5.522781099254046E-3</v>
      </c>
    </row>
    <row r="303" spans="1:3">
      <c r="A303" s="84" t="s">
        <v>643</v>
      </c>
      <c r="B303" t="s">
        <v>645</v>
      </c>
    </row>
    <row r="304" spans="1:3">
      <c r="A304" s="84" t="s">
        <v>644</v>
      </c>
      <c r="B304" t="s">
        <v>646</v>
      </c>
    </row>
    <row r="305" spans="1:3">
      <c r="A305" s="83"/>
      <c r="B305" s="69" t="s">
        <v>332</v>
      </c>
      <c r="C305" s="92">
        <v>1.0563609224227834E-3</v>
      </c>
    </row>
    <row r="306" spans="1:3">
      <c r="A306" s="84" t="s">
        <v>647</v>
      </c>
      <c r="B306" t="s">
        <v>648</v>
      </c>
    </row>
  </sheetData>
  <autoFilter ref="A1:C306" xr:uid="{E58A858F-0361-4E15-898D-0B9B9434FAA1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AF26-E125-4639-8618-EF8256F94529}">
  <dimension ref="A1:I131"/>
  <sheetViews>
    <sheetView topLeftCell="C1" workbookViewId="0">
      <selection activeCell="H3" sqref="H3"/>
    </sheetView>
  </sheetViews>
  <sheetFormatPr defaultRowHeight="14.5"/>
  <cols>
    <col min="3" max="3" width="40.1796875" customWidth="1"/>
    <col min="4" max="4" width="58.453125" customWidth="1"/>
    <col min="5" max="5" width="19.36328125" customWidth="1"/>
    <col min="8" max="8" width="15.6328125" customWidth="1"/>
  </cols>
  <sheetData>
    <row r="1" spans="1:9" ht="42">
      <c r="A1" s="4" t="s">
        <v>11</v>
      </c>
      <c r="B1" s="4" t="s">
        <v>1</v>
      </c>
      <c r="C1" s="96" t="s">
        <v>233</v>
      </c>
      <c r="D1" s="6"/>
      <c r="E1" s="4" t="s">
        <v>14</v>
      </c>
      <c r="F1" s="7" t="s">
        <v>15</v>
      </c>
      <c r="G1" s="66"/>
      <c r="H1" s="7" t="s">
        <v>665</v>
      </c>
    </row>
    <row r="2" spans="1:9">
      <c r="A2" s="14" t="s">
        <v>19</v>
      </c>
      <c r="B2" s="15" t="s">
        <v>22</v>
      </c>
      <c r="C2" s="15"/>
      <c r="D2" s="15"/>
      <c r="E2" s="16">
        <v>300555.92823312257</v>
      </c>
      <c r="F2" s="17"/>
      <c r="G2" s="98"/>
      <c r="H2" s="97">
        <v>114528.6785629721</v>
      </c>
    </row>
    <row r="3" spans="1:9">
      <c r="A3" s="9" t="s">
        <v>19</v>
      </c>
      <c r="B3" s="9" t="s">
        <v>20</v>
      </c>
      <c r="C3" s="10" t="s">
        <v>21</v>
      </c>
      <c r="D3" s="11"/>
      <c r="E3" s="12">
        <v>10458.774867242491</v>
      </c>
      <c r="F3" s="12">
        <v>100</v>
      </c>
      <c r="G3" s="99"/>
      <c r="H3" s="12">
        <v>2643.0858752501417</v>
      </c>
      <c r="I3" s="29">
        <f>H3/SUM($H$3:$H$129)</f>
        <v>2.3077939153876428E-2</v>
      </c>
    </row>
    <row r="4" spans="1:9">
      <c r="A4" s="18"/>
      <c r="B4" s="18" t="s">
        <v>20</v>
      </c>
      <c r="C4" s="19" t="s">
        <v>23</v>
      </c>
      <c r="D4" s="20" t="s">
        <v>24</v>
      </c>
      <c r="E4" s="21">
        <v>10035.108759903724</v>
      </c>
      <c r="F4" s="21">
        <v>95.949180351269291</v>
      </c>
      <c r="G4" s="98"/>
      <c r="H4" s="21"/>
    </row>
    <row r="5" spans="1:9">
      <c r="A5" s="9" t="s">
        <v>19</v>
      </c>
      <c r="B5" s="9" t="s">
        <v>25</v>
      </c>
      <c r="C5" s="10" t="s">
        <v>26</v>
      </c>
      <c r="D5" s="11"/>
      <c r="E5" s="12">
        <v>2605.0246286796928</v>
      </c>
      <c r="F5" s="12">
        <v>100</v>
      </c>
      <c r="G5" s="99"/>
      <c r="H5" s="12">
        <v>741.48976583203807</v>
      </c>
      <c r="I5" s="29">
        <f>H5/SUM($H$3:$H$129)</f>
        <v>6.4742715548258035E-3</v>
      </c>
    </row>
    <row r="6" spans="1:9">
      <c r="A6" s="23"/>
      <c r="B6" s="23" t="s">
        <v>25</v>
      </c>
      <c r="C6" s="24" t="s">
        <v>31</v>
      </c>
      <c r="D6" s="25" t="s">
        <v>32</v>
      </c>
      <c r="E6" s="26">
        <v>2016.1159928184436</v>
      </c>
      <c r="F6" s="26">
        <v>77.393356309275035</v>
      </c>
      <c r="G6" s="98"/>
      <c r="H6" s="26"/>
    </row>
    <row r="7" spans="1:9">
      <c r="A7" s="18"/>
      <c r="B7" s="18" t="s">
        <v>25</v>
      </c>
      <c r="C7" s="19" t="s">
        <v>36</v>
      </c>
      <c r="D7" s="20" t="s">
        <v>37</v>
      </c>
      <c r="E7" s="21">
        <v>252.08291996724296</v>
      </c>
      <c r="F7" s="21">
        <v>9.676796034554437</v>
      </c>
      <c r="G7" s="98"/>
      <c r="H7" s="21"/>
    </row>
    <row r="8" spans="1:9">
      <c r="A8" s="9" t="s">
        <v>19</v>
      </c>
      <c r="B8" s="9" t="s">
        <v>28</v>
      </c>
      <c r="C8" s="10" t="s">
        <v>29</v>
      </c>
      <c r="D8" s="11"/>
      <c r="E8" s="12">
        <v>15467.354112619556</v>
      </c>
      <c r="F8" s="12">
        <v>100</v>
      </c>
      <c r="G8" s="99"/>
      <c r="H8" s="12">
        <v>4111.6386304293628</v>
      </c>
      <c r="I8" s="29">
        <f>H8/SUM($H$3:$H$129)</f>
        <v>3.5900515766176699E-2</v>
      </c>
    </row>
    <row r="9" spans="1:9">
      <c r="A9" s="18"/>
      <c r="B9" s="18" t="s">
        <v>28</v>
      </c>
      <c r="C9" s="19" t="s">
        <v>45</v>
      </c>
      <c r="D9" s="20" t="s">
        <v>46</v>
      </c>
      <c r="E9" s="21">
        <v>14776.508817615611</v>
      </c>
      <c r="F9" s="21">
        <v>95.53352635509718</v>
      </c>
      <c r="G9" s="98"/>
      <c r="H9" s="21"/>
    </row>
    <row r="10" spans="1:9">
      <c r="A10" s="9" t="s">
        <v>19</v>
      </c>
      <c r="B10" s="9" t="s">
        <v>33</v>
      </c>
      <c r="C10" s="10" t="s">
        <v>34</v>
      </c>
      <c r="D10" s="11"/>
      <c r="E10" s="12">
        <v>4078.4025906722313</v>
      </c>
      <c r="F10" s="12">
        <v>100</v>
      </c>
      <c r="G10" s="99"/>
      <c r="H10" s="12">
        <v>1292.2178225945913</v>
      </c>
      <c r="I10" s="29">
        <f>H10/SUM($H$3:$H$129)</f>
        <v>1.1282919167569738E-2</v>
      </c>
    </row>
    <row r="11" spans="1:9">
      <c r="A11" s="18"/>
      <c r="B11" s="18" t="s">
        <v>33</v>
      </c>
      <c r="C11" s="19" t="s">
        <v>36</v>
      </c>
      <c r="D11" s="20" t="s">
        <v>37</v>
      </c>
      <c r="E11" s="21">
        <v>3855.8572331740447</v>
      </c>
      <c r="F11" s="21">
        <v>94.543320514576635</v>
      </c>
      <c r="G11" s="98"/>
      <c r="H11" s="21"/>
    </row>
    <row r="12" spans="1:9">
      <c r="A12" s="9" t="s">
        <v>19</v>
      </c>
      <c r="B12" s="9" t="s">
        <v>38</v>
      </c>
      <c r="C12" s="10" t="s">
        <v>39</v>
      </c>
      <c r="D12" s="11"/>
      <c r="E12" s="12">
        <v>1035.5424602904484</v>
      </c>
      <c r="F12" s="12">
        <v>100</v>
      </c>
      <c r="G12" s="99"/>
      <c r="H12" s="12">
        <v>206.78165859374337</v>
      </c>
      <c r="I12" s="29">
        <f>H12/SUM($H$3:$H$129)</f>
        <v>1.8055011302697183E-3</v>
      </c>
    </row>
    <row r="13" spans="1:9">
      <c r="A13" s="23"/>
      <c r="B13" s="23" t="s">
        <v>38</v>
      </c>
      <c r="C13" s="24" t="s">
        <v>61</v>
      </c>
      <c r="D13" s="25" t="s">
        <v>62</v>
      </c>
      <c r="E13" s="26">
        <v>535.86857365048127</v>
      </c>
      <c r="F13" s="26">
        <v>51.747619648563827</v>
      </c>
      <c r="G13" s="98"/>
      <c r="H13" s="26"/>
    </row>
    <row r="14" spans="1:9">
      <c r="A14" s="18"/>
      <c r="B14" s="18" t="s">
        <v>38</v>
      </c>
      <c r="C14" s="19" t="s">
        <v>66</v>
      </c>
      <c r="D14" s="20" t="s">
        <v>67</v>
      </c>
      <c r="E14" s="21">
        <v>496.99620792911037</v>
      </c>
      <c r="F14" s="21">
        <v>47.993802957119996</v>
      </c>
      <c r="G14" s="98"/>
      <c r="H14" s="21"/>
    </row>
    <row r="15" spans="1:9">
      <c r="A15" s="9" t="s">
        <v>19</v>
      </c>
      <c r="B15" s="9" t="s">
        <v>42</v>
      </c>
      <c r="C15" s="10" t="s">
        <v>43</v>
      </c>
      <c r="D15" s="11"/>
      <c r="E15" s="12">
        <v>6290.546750713248</v>
      </c>
      <c r="F15" s="12">
        <v>100</v>
      </c>
      <c r="G15" s="99"/>
      <c r="H15" s="12">
        <v>1807.0938788287649</v>
      </c>
      <c r="I15" s="29">
        <f>H15/SUM($H$3:$H$129)</f>
        <v>1.5778527278083959E-2</v>
      </c>
    </row>
    <row r="16" spans="1:9">
      <c r="A16" s="23"/>
      <c r="B16" s="23" t="s">
        <v>42</v>
      </c>
      <c r="C16" s="24" t="s">
        <v>75</v>
      </c>
      <c r="D16" s="25" t="s">
        <v>76</v>
      </c>
      <c r="E16" s="26">
        <v>2120.4018352529865</v>
      </c>
      <c r="F16" s="26">
        <v>33.707750999745237</v>
      </c>
      <c r="G16" s="98"/>
      <c r="H16" s="26"/>
    </row>
    <row r="17" spans="1:9">
      <c r="A17" s="23"/>
      <c r="B17" s="23" t="s">
        <v>42</v>
      </c>
      <c r="C17" s="24" t="s">
        <v>80</v>
      </c>
      <c r="D17" s="25" t="s">
        <v>81</v>
      </c>
      <c r="E17" s="26">
        <v>1449.3081867202857</v>
      </c>
      <c r="F17" s="26">
        <v>23.039462929926675</v>
      </c>
      <c r="G17" s="98"/>
      <c r="H17" s="26"/>
    </row>
    <row r="18" spans="1:9">
      <c r="A18" s="23"/>
      <c r="B18" s="23" t="s">
        <v>42</v>
      </c>
      <c r="C18" s="24" t="s">
        <v>84</v>
      </c>
      <c r="D18" s="25" t="s">
        <v>85</v>
      </c>
      <c r="E18" s="26">
        <v>1134.6379912797011</v>
      </c>
      <c r="F18" s="26">
        <v>18.037191936472791</v>
      </c>
      <c r="G18" s="98"/>
      <c r="H18" s="26"/>
    </row>
    <row r="19" spans="1:9">
      <c r="A19" s="18"/>
      <c r="B19" s="18" t="s">
        <v>42</v>
      </c>
      <c r="C19" s="19" t="s">
        <v>91</v>
      </c>
      <c r="D19" s="20" t="s">
        <v>92</v>
      </c>
      <c r="E19" s="21">
        <v>731.76903177516169</v>
      </c>
      <c r="F19" s="21">
        <v>11.632836711565504</v>
      </c>
      <c r="G19" s="98"/>
      <c r="H19" s="21"/>
    </row>
    <row r="20" spans="1:9">
      <c r="A20" s="9" t="s">
        <v>19</v>
      </c>
      <c r="B20" s="9" t="s">
        <v>47</v>
      </c>
      <c r="C20" s="10" t="s">
        <v>48</v>
      </c>
      <c r="D20" s="11"/>
      <c r="E20" s="12">
        <v>15643.131228180451</v>
      </c>
      <c r="F20" s="12">
        <v>100</v>
      </c>
      <c r="G20" s="99"/>
      <c r="H20" s="12">
        <v>5985.5239503518715</v>
      </c>
      <c r="I20" s="29">
        <f>H20/SUM($H$3:$H$129)</f>
        <v>5.2262228338387832E-2</v>
      </c>
    </row>
    <row r="21" spans="1:9">
      <c r="A21" s="18"/>
      <c r="B21" s="18" t="s">
        <v>47</v>
      </c>
      <c r="C21" s="19" t="s">
        <v>97</v>
      </c>
      <c r="D21" s="20" t="s">
        <v>98</v>
      </c>
      <c r="E21" s="21">
        <v>12582.036219753147</v>
      </c>
      <c r="F21" s="21">
        <v>80.431698975248196</v>
      </c>
      <c r="G21" s="98"/>
      <c r="H21" s="21"/>
    </row>
    <row r="22" spans="1:9">
      <c r="A22" s="9" t="s">
        <v>19</v>
      </c>
      <c r="B22" s="9" t="s">
        <v>50</v>
      </c>
      <c r="C22" s="10" t="s">
        <v>51</v>
      </c>
      <c r="D22" s="11"/>
      <c r="E22" s="12">
        <v>5704.068465810009</v>
      </c>
      <c r="F22" s="12">
        <v>100</v>
      </c>
      <c r="G22" s="99"/>
      <c r="H22" s="12">
        <v>2423.5002888761296</v>
      </c>
      <c r="I22" s="29">
        <f>H22/SUM($H$3:$H$129)</f>
        <v>2.1160641328307996E-2</v>
      </c>
    </row>
    <row r="23" spans="1:9">
      <c r="A23" s="23"/>
      <c r="B23" s="23" t="s">
        <v>50</v>
      </c>
      <c r="C23" s="24" t="s">
        <v>104</v>
      </c>
      <c r="D23" s="25" t="s">
        <v>105</v>
      </c>
      <c r="E23" s="26">
        <v>3833.6388060677555</v>
      </c>
      <c r="F23" s="26">
        <v>67.208849771815593</v>
      </c>
      <c r="G23" s="98"/>
      <c r="H23" s="26"/>
    </row>
    <row r="24" spans="1:9">
      <c r="A24" s="18"/>
      <c r="B24" s="18" t="s">
        <v>50</v>
      </c>
      <c r="C24" s="19" t="s">
        <v>109</v>
      </c>
      <c r="D24" s="20" t="s">
        <v>110</v>
      </c>
      <c r="E24" s="21">
        <v>1815.5238904066593</v>
      </c>
      <c r="F24" s="21">
        <v>31.828578168176758</v>
      </c>
      <c r="G24" s="98"/>
      <c r="H24" s="21"/>
    </row>
    <row r="25" spans="1:9">
      <c r="A25" s="9" t="s">
        <v>19</v>
      </c>
      <c r="B25" s="9" t="s">
        <v>54</v>
      </c>
      <c r="C25" s="10" t="s">
        <v>55</v>
      </c>
      <c r="D25" s="11"/>
      <c r="E25" s="12">
        <v>4078.0056753200997</v>
      </c>
      <c r="F25" s="12">
        <v>100</v>
      </c>
      <c r="G25" s="99"/>
      <c r="H25" s="12">
        <v>1353.0552302349697</v>
      </c>
      <c r="I25" s="29">
        <f>H25/SUM($H$3:$H$129)</f>
        <v>1.181411719066513E-2</v>
      </c>
    </row>
    <row r="26" spans="1:9">
      <c r="A26" s="18"/>
      <c r="B26" s="18" t="s">
        <v>54</v>
      </c>
      <c r="C26" s="19" t="s">
        <v>115</v>
      </c>
      <c r="D26" s="20" t="s">
        <v>116</v>
      </c>
      <c r="E26" s="21">
        <v>3554.1725279777665</v>
      </c>
      <c r="F26" s="21">
        <v>87.154673410276331</v>
      </c>
      <c r="G26" s="98"/>
      <c r="H26" s="21"/>
    </row>
    <row r="27" spans="1:9">
      <c r="A27" s="9" t="s">
        <v>19</v>
      </c>
      <c r="B27" s="9" t="s">
        <v>57</v>
      </c>
      <c r="C27" s="10" t="s">
        <v>58</v>
      </c>
      <c r="D27" s="11"/>
      <c r="E27" s="12">
        <v>1694.4916509209452</v>
      </c>
      <c r="F27" s="12">
        <v>100</v>
      </c>
      <c r="G27" s="99"/>
      <c r="H27" s="12">
        <v>886.72013398030901</v>
      </c>
      <c r="I27" s="29">
        <f>H27/SUM($H$3:$H$129)</f>
        <v>7.7423414388978345E-3</v>
      </c>
    </row>
    <row r="28" spans="1:9">
      <c r="A28" s="23"/>
      <c r="B28" s="23" t="s">
        <v>57</v>
      </c>
      <c r="C28" s="24" t="s">
        <v>122</v>
      </c>
      <c r="D28" s="25" t="s">
        <v>123</v>
      </c>
      <c r="E28" s="26">
        <v>1085.1922089046941</v>
      </c>
      <c r="F28" s="26">
        <v>64.042346170009111</v>
      </c>
      <c r="G28" s="98"/>
      <c r="H28" s="26"/>
    </row>
    <row r="29" spans="1:9">
      <c r="A29" s="18"/>
      <c r="B29" s="18" t="s">
        <v>57</v>
      </c>
      <c r="C29" s="19" t="s">
        <v>127</v>
      </c>
      <c r="D29" s="20" t="s">
        <v>128</v>
      </c>
      <c r="E29" s="21">
        <v>424.9214807025545</v>
      </c>
      <c r="F29" s="21">
        <v>25.076634663358327</v>
      </c>
      <c r="G29" s="98"/>
      <c r="H29" s="21"/>
    </row>
    <row r="30" spans="1:9">
      <c r="A30" s="9" t="s">
        <v>19</v>
      </c>
      <c r="B30" s="9" t="s">
        <v>63</v>
      </c>
      <c r="C30" s="10" t="s">
        <v>64</v>
      </c>
      <c r="D30" s="11"/>
      <c r="E30" s="12">
        <v>2608.9432924843286</v>
      </c>
      <c r="F30" s="12">
        <v>100</v>
      </c>
      <c r="G30" s="99"/>
      <c r="H30" s="12">
        <v>1103.8416878583516</v>
      </c>
      <c r="I30" s="29">
        <f>H30/SUM($H$3:$H$129)</f>
        <v>9.6381247187045712E-3</v>
      </c>
    </row>
    <row r="31" spans="1:9">
      <c r="A31" s="23"/>
      <c r="B31" s="23" t="s">
        <v>63</v>
      </c>
      <c r="C31" s="24" t="s">
        <v>127</v>
      </c>
      <c r="D31" s="25" t="s">
        <v>128</v>
      </c>
      <c r="E31" s="26">
        <v>1992.2121579562902</v>
      </c>
      <c r="F31" s="26">
        <v>76.36088387567959</v>
      </c>
      <c r="G31" s="98"/>
      <c r="H31" s="26"/>
    </row>
    <row r="32" spans="1:9">
      <c r="A32" s="18"/>
      <c r="B32" s="18" t="s">
        <v>63</v>
      </c>
      <c r="C32" s="19" t="s">
        <v>136</v>
      </c>
      <c r="D32" s="20" t="s">
        <v>137</v>
      </c>
      <c r="E32" s="21">
        <v>367.22096486407884</v>
      </c>
      <c r="F32" s="21">
        <v>14.075467486086982</v>
      </c>
      <c r="G32" s="98"/>
      <c r="H32" s="21"/>
    </row>
    <row r="33" spans="1:9">
      <c r="A33" s="9" t="s">
        <v>19</v>
      </c>
      <c r="B33" s="9" t="s">
        <v>68</v>
      </c>
      <c r="C33" s="10" t="s">
        <v>69</v>
      </c>
      <c r="D33" s="11"/>
      <c r="E33" s="12">
        <v>2299.0025424509777</v>
      </c>
      <c r="F33" s="12">
        <v>100</v>
      </c>
      <c r="G33" s="99"/>
      <c r="H33" s="12">
        <v>1371.7754943576977</v>
      </c>
      <c r="I33" s="29">
        <f>H33/SUM($H$3:$H$129)</f>
        <v>1.1977572007027435E-2</v>
      </c>
    </row>
    <row r="34" spans="1:9">
      <c r="A34" s="18"/>
      <c r="B34" s="18" t="s">
        <v>68</v>
      </c>
      <c r="C34" s="19" t="s">
        <v>142</v>
      </c>
      <c r="D34" s="20" t="s">
        <v>143</v>
      </c>
      <c r="E34" s="21">
        <v>2226.3365158993074</v>
      </c>
      <c r="F34" s="21">
        <v>96.839236790308163</v>
      </c>
      <c r="G34" s="98"/>
      <c r="H34" s="21"/>
    </row>
    <row r="35" spans="1:9">
      <c r="A35" s="9" t="s">
        <v>19</v>
      </c>
      <c r="B35" s="9" t="s">
        <v>72</v>
      </c>
      <c r="C35" s="10" t="s">
        <v>73</v>
      </c>
      <c r="D35" s="11"/>
      <c r="E35" s="12">
        <v>13772.923954393016</v>
      </c>
      <c r="F35" s="12">
        <v>100</v>
      </c>
      <c r="G35" s="99"/>
      <c r="H35" s="12">
        <v>6438.0078180105111</v>
      </c>
      <c r="I35" s="29">
        <f>H35/SUM($H$3:$H$129)</f>
        <v>5.6213062953229281E-2</v>
      </c>
    </row>
    <row r="36" spans="1:9">
      <c r="A36" s="23"/>
      <c r="B36" s="23" t="s">
        <v>72</v>
      </c>
      <c r="C36" s="24" t="s">
        <v>149</v>
      </c>
      <c r="D36" s="25" t="s">
        <v>150</v>
      </c>
      <c r="E36" s="26">
        <v>10902.946074816435</v>
      </c>
      <c r="F36" s="26">
        <v>79.162174356875241</v>
      </c>
      <c r="G36" s="98"/>
      <c r="H36" s="26"/>
    </row>
    <row r="37" spans="1:9">
      <c r="A37" s="18"/>
      <c r="B37" s="18" t="s">
        <v>72</v>
      </c>
      <c r="C37" s="19" t="s">
        <v>154</v>
      </c>
      <c r="D37" s="20" t="s">
        <v>155</v>
      </c>
      <c r="E37" s="21">
        <v>2681.7031074179308</v>
      </c>
      <c r="F37" s="21">
        <v>19.470833617451099</v>
      </c>
      <c r="G37" s="98"/>
      <c r="H37" s="21"/>
    </row>
    <row r="38" spans="1:9">
      <c r="A38" s="9" t="s">
        <v>19</v>
      </c>
      <c r="B38" s="9" t="s">
        <v>77</v>
      </c>
      <c r="C38" s="10" t="s">
        <v>78</v>
      </c>
      <c r="D38" s="11"/>
      <c r="E38" s="12">
        <v>11657.460935015724</v>
      </c>
      <c r="F38" s="12">
        <v>100</v>
      </c>
      <c r="G38" s="99"/>
      <c r="H38" s="12">
        <v>6276.0967575210734</v>
      </c>
      <c r="I38" s="29">
        <f>H38/SUM($H$3:$H$129)</f>
        <v>5.4799346646353241E-2</v>
      </c>
    </row>
    <row r="39" spans="1:9">
      <c r="A39" s="18"/>
      <c r="B39" s="18" t="s">
        <v>77</v>
      </c>
      <c r="C39" s="19" t="s">
        <v>160</v>
      </c>
      <c r="D39" s="20" t="s">
        <v>161</v>
      </c>
      <c r="E39" s="21">
        <v>11596.061795543999</v>
      </c>
      <c r="F39" s="21">
        <v>99.473306067127368</v>
      </c>
      <c r="G39" s="98"/>
      <c r="H39" s="21"/>
    </row>
    <row r="40" spans="1:9">
      <c r="A40" s="9" t="s">
        <v>19</v>
      </c>
      <c r="B40" s="9" t="s">
        <v>82</v>
      </c>
      <c r="C40" s="10" t="s">
        <v>83</v>
      </c>
      <c r="D40" s="11"/>
      <c r="E40" s="12">
        <v>14046.281418581602</v>
      </c>
      <c r="F40" s="12">
        <v>100</v>
      </c>
      <c r="G40" s="99"/>
      <c r="H40" s="12">
        <v>4163.3266540507757</v>
      </c>
      <c r="I40" s="29">
        <f>H40/SUM($H$3:$H$129)</f>
        <v>3.6351826514453539E-2</v>
      </c>
    </row>
    <row r="41" spans="1:9">
      <c r="A41" s="18"/>
      <c r="B41" s="18" t="s">
        <v>82</v>
      </c>
      <c r="C41" s="19" t="s">
        <v>167</v>
      </c>
      <c r="D41" s="20" t="s">
        <v>168</v>
      </c>
      <c r="E41" s="21">
        <v>12280.494592792595</v>
      </c>
      <c r="F41" s="21">
        <v>87.428795044266465</v>
      </c>
      <c r="G41" s="98"/>
      <c r="H41" s="21"/>
    </row>
    <row r="42" spans="1:9">
      <c r="A42" s="9" t="s">
        <v>19</v>
      </c>
      <c r="B42" s="9" t="s">
        <v>86</v>
      </c>
      <c r="C42" s="10" t="s">
        <v>87</v>
      </c>
      <c r="D42" s="11"/>
      <c r="E42" s="12">
        <v>2257.5409953114631</v>
      </c>
      <c r="F42" s="12">
        <v>100</v>
      </c>
      <c r="G42" s="99"/>
      <c r="H42" s="12">
        <v>773.3460901736164</v>
      </c>
      <c r="I42" s="29">
        <f>H42/SUM($H$3:$H$129)</f>
        <v>6.7524230601194108E-3</v>
      </c>
    </row>
    <row r="43" spans="1:9">
      <c r="A43" s="18"/>
      <c r="B43" s="18" t="s">
        <v>86</v>
      </c>
      <c r="C43" s="19" t="s">
        <v>174</v>
      </c>
      <c r="D43" s="20" t="s">
        <v>175</v>
      </c>
      <c r="E43" s="21">
        <v>2056.9972923677001</v>
      </c>
      <c r="F43" s="21">
        <v>91.116719326016266</v>
      </c>
      <c r="G43" s="98"/>
      <c r="H43" s="21"/>
    </row>
    <row r="44" spans="1:9">
      <c r="A44" s="9" t="s">
        <v>19</v>
      </c>
      <c r="B44" s="9" t="s">
        <v>93</v>
      </c>
      <c r="C44" s="10" t="s">
        <v>94</v>
      </c>
      <c r="D44" s="11"/>
      <c r="E44" s="12">
        <v>1218.6848077550624</v>
      </c>
      <c r="F44" s="12">
        <v>100</v>
      </c>
      <c r="G44" s="99"/>
      <c r="H44" s="12">
        <v>549.84420616172156</v>
      </c>
      <c r="I44" s="29">
        <f>H44/SUM($H$3:$H$129)</f>
        <v>4.8009303264544079E-3</v>
      </c>
    </row>
    <row r="45" spans="1:9">
      <c r="A45" s="18"/>
      <c r="B45" s="18" t="s">
        <v>93</v>
      </c>
      <c r="C45" s="19" t="s">
        <v>181</v>
      </c>
      <c r="D45" s="20" t="s">
        <v>182</v>
      </c>
      <c r="E45" s="21">
        <v>1163.3132093259583</v>
      </c>
      <c r="F45" s="21">
        <v>95.456446320102728</v>
      </c>
      <c r="G45" s="98"/>
      <c r="H45" s="21"/>
    </row>
    <row r="46" spans="1:9">
      <c r="A46" s="9" t="s">
        <v>19</v>
      </c>
      <c r="B46" s="9" t="s">
        <v>95</v>
      </c>
      <c r="C46" s="10" t="s">
        <v>96</v>
      </c>
      <c r="D46" s="11"/>
      <c r="E46" s="12">
        <v>9306.9636809697568</v>
      </c>
      <c r="F46" s="12">
        <v>100</v>
      </c>
      <c r="G46" s="99"/>
      <c r="H46" s="12">
        <v>4092.6624936139015</v>
      </c>
      <c r="I46" s="29">
        <f>H46/SUM($H$3:$H$129)</f>
        <v>3.5734826813387223E-2</v>
      </c>
    </row>
    <row r="47" spans="1:9">
      <c r="A47" s="18"/>
      <c r="B47" s="18" t="s">
        <v>95</v>
      </c>
      <c r="C47" s="19" t="s">
        <v>136</v>
      </c>
      <c r="D47" s="20" t="s">
        <v>137</v>
      </c>
      <c r="E47" s="21">
        <v>8911.0524723613144</v>
      </c>
      <c r="F47" s="21">
        <v>95.74607549594316</v>
      </c>
      <c r="G47" s="98"/>
      <c r="H47" s="21"/>
    </row>
    <row r="48" spans="1:9">
      <c r="A48" s="9" t="s">
        <v>19</v>
      </c>
      <c r="B48" s="9" t="s">
        <v>99</v>
      </c>
      <c r="C48" s="10" t="s">
        <v>100</v>
      </c>
      <c r="D48" s="11"/>
      <c r="E48" s="12">
        <v>7523.7923091811699</v>
      </c>
      <c r="F48" s="12">
        <v>100</v>
      </c>
      <c r="G48" s="99"/>
      <c r="H48" s="12">
        <v>3087.1455844328711</v>
      </c>
      <c r="I48" s="29">
        <f>H48/SUM($H$3:$H$129)</f>
        <v>2.6955218755409321E-2</v>
      </c>
    </row>
    <row r="49" spans="1:9">
      <c r="A49" s="18"/>
      <c r="B49" s="18" t="s">
        <v>99</v>
      </c>
      <c r="C49" s="19" t="s">
        <v>193</v>
      </c>
      <c r="D49" s="20" t="s">
        <v>194</v>
      </c>
      <c r="E49" s="21">
        <v>7429.9258803018492</v>
      </c>
      <c r="F49" s="21">
        <v>98.752405369234125</v>
      </c>
      <c r="G49" s="98"/>
      <c r="H49" s="21"/>
    </row>
    <row r="50" spans="1:9">
      <c r="A50" s="9" t="s">
        <v>19</v>
      </c>
      <c r="B50" s="9" t="s">
        <v>102</v>
      </c>
      <c r="C50" s="10" t="s">
        <v>103</v>
      </c>
      <c r="D50" s="11"/>
      <c r="E50" s="12">
        <v>879.39370169610845</v>
      </c>
      <c r="F50" s="12">
        <v>100</v>
      </c>
      <c r="G50" s="99"/>
      <c r="H50" s="12">
        <v>235.18880396910265</v>
      </c>
      <c r="I50" s="29">
        <f>H50/SUM($H$3:$H$129)</f>
        <v>2.0535363449582381E-3</v>
      </c>
    </row>
    <row r="51" spans="1:9">
      <c r="A51" s="18"/>
      <c r="B51" s="18" t="s">
        <v>102</v>
      </c>
      <c r="C51" s="19" t="s">
        <v>200</v>
      </c>
      <c r="D51" s="20" t="s">
        <v>201</v>
      </c>
      <c r="E51" s="21">
        <v>803.48521515158154</v>
      </c>
      <c r="F51" s="21">
        <v>91.368088445696131</v>
      </c>
      <c r="G51" s="98"/>
      <c r="H51" s="21"/>
    </row>
    <row r="52" spans="1:9">
      <c r="A52" s="9" t="s">
        <v>19</v>
      </c>
      <c r="B52" s="9" t="s">
        <v>106</v>
      </c>
      <c r="C52" s="10" t="s">
        <v>107</v>
      </c>
      <c r="D52" s="11"/>
      <c r="E52" s="12">
        <v>38.215260484391642</v>
      </c>
      <c r="F52" s="12">
        <v>100</v>
      </c>
      <c r="G52" s="99"/>
      <c r="H52" s="12">
        <v>16.476814608366038</v>
      </c>
      <c r="I52" s="29">
        <f>H52/SUM($H$3:$H$129)</f>
        <v>1.4386627712033258E-4</v>
      </c>
    </row>
    <row r="53" spans="1:9">
      <c r="A53" s="18"/>
      <c r="B53" s="18" t="s">
        <v>106</v>
      </c>
      <c r="C53" s="19" t="s">
        <v>207</v>
      </c>
      <c r="D53" s="20" t="s">
        <v>208</v>
      </c>
      <c r="E53" s="21">
        <v>35.10522907617964</v>
      </c>
      <c r="F53" s="21">
        <v>91.861807642310225</v>
      </c>
      <c r="G53" s="98"/>
      <c r="H53" s="21"/>
    </row>
    <row r="54" spans="1:9">
      <c r="A54" s="9" t="s">
        <v>19</v>
      </c>
      <c r="B54" s="9" t="s">
        <v>111</v>
      </c>
      <c r="C54" s="10" t="s">
        <v>112</v>
      </c>
      <c r="D54" s="11"/>
      <c r="E54" s="12">
        <v>3428.6402603418906</v>
      </c>
      <c r="F54" s="12">
        <v>100</v>
      </c>
      <c r="G54" s="99"/>
      <c r="H54" s="12">
        <v>937.93929040886724</v>
      </c>
      <c r="I54" s="29">
        <f>H54/SUM($H$3:$H$129)</f>
        <v>8.1895583025796779E-3</v>
      </c>
    </row>
    <row r="55" spans="1:9">
      <c r="A55" s="23"/>
      <c r="B55" s="23" t="s">
        <v>111</v>
      </c>
      <c r="C55" s="24" t="s">
        <v>214</v>
      </c>
      <c r="D55" s="25" t="s">
        <v>215</v>
      </c>
      <c r="E55" s="26">
        <v>2998.2345878029055</v>
      </c>
      <c r="F55" s="26">
        <v>87.446753235754542</v>
      </c>
      <c r="G55" s="98"/>
      <c r="H55" s="26"/>
    </row>
    <row r="56" spans="1:9">
      <c r="A56" s="18"/>
      <c r="B56" s="18" t="s">
        <v>111</v>
      </c>
      <c r="C56" s="19" t="s">
        <v>219</v>
      </c>
      <c r="D56" s="20" t="s">
        <v>220</v>
      </c>
      <c r="E56" s="21">
        <v>329.23212490510099</v>
      </c>
      <c r="F56" s="21">
        <v>9.6024108657077729</v>
      </c>
      <c r="G56" s="98"/>
      <c r="H56" s="21"/>
    </row>
    <row r="57" spans="1:9">
      <c r="A57" s="9" t="s">
        <v>19</v>
      </c>
      <c r="B57" s="9" t="s">
        <v>113</v>
      </c>
      <c r="C57" s="10" t="s">
        <v>114</v>
      </c>
      <c r="D57" s="11"/>
      <c r="E57" s="12">
        <v>16590.236747271294</v>
      </c>
      <c r="F57" s="12">
        <v>100</v>
      </c>
      <c r="G57" s="99"/>
      <c r="H57" s="12">
        <v>4825.2400497649924</v>
      </c>
      <c r="I57" s="29">
        <f>H57/SUM($H$3:$H$129)</f>
        <v>4.213128196630591E-2</v>
      </c>
    </row>
    <row r="58" spans="1:9">
      <c r="A58" s="18"/>
      <c r="B58" s="18" t="s">
        <v>113</v>
      </c>
      <c r="C58" s="19" t="s">
        <v>91</v>
      </c>
      <c r="D58" s="20" t="s">
        <v>92</v>
      </c>
      <c r="E58" s="21">
        <v>13464.372045382079</v>
      </c>
      <c r="F58" s="21">
        <v>81.158408107688118</v>
      </c>
      <c r="G58" s="98"/>
      <c r="H58" s="21"/>
    </row>
    <row r="59" spans="1:9">
      <c r="A59" s="9" t="s">
        <v>19</v>
      </c>
      <c r="B59" s="9" t="s">
        <v>117</v>
      </c>
      <c r="C59" s="10" t="s">
        <v>118</v>
      </c>
      <c r="D59" s="11"/>
      <c r="E59" s="12">
        <v>592.10473339875182</v>
      </c>
      <c r="F59" s="12">
        <v>100</v>
      </c>
      <c r="G59" s="99"/>
      <c r="H59" s="12">
        <v>188.62449576494731</v>
      </c>
      <c r="I59" s="29">
        <f>H59/SUM($H$3:$H$129)</f>
        <v>1.6469629976673013E-3</v>
      </c>
    </row>
    <row r="60" spans="1:9">
      <c r="A60" s="18"/>
      <c r="B60" s="18" t="s">
        <v>117</v>
      </c>
      <c r="C60" s="19" t="s">
        <v>222</v>
      </c>
      <c r="D60" s="20" t="s">
        <v>223</v>
      </c>
      <c r="E60" s="21">
        <v>543.99873855699116</v>
      </c>
      <c r="F60" s="21">
        <v>91.875424713187726</v>
      </c>
      <c r="G60" s="98"/>
      <c r="H60" s="21"/>
    </row>
    <row r="61" spans="1:9">
      <c r="A61" s="9" t="s">
        <v>19</v>
      </c>
      <c r="B61" s="9" t="s">
        <v>120</v>
      </c>
      <c r="C61" s="10" t="s">
        <v>121</v>
      </c>
      <c r="D61" s="11"/>
      <c r="E61" s="12">
        <v>4025.3308073487096</v>
      </c>
      <c r="F61" s="12">
        <v>100</v>
      </c>
      <c r="G61" s="99"/>
      <c r="H61" s="12">
        <v>1178.792065701381</v>
      </c>
      <c r="I61" s="29">
        <f>H61/SUM($H$3:$H$129)</f>
        <v>1.0292549259207926E-2</v>
      </c>
    </row>
    <row r="62" spans="1:9">
      <c r="A62" s="23"/>
      <c r="B62" s="23" t="s">
        <v>120</v>
      </c>
      <c r="C62" s="24" t="s">
        <v>225</v>
      </c>
      <c r="D62" s="25" t="s">
        <v>226</v>
      </c>
      <c r="E62" s="26">
        <v>3041.0786451123008</v>
      </c>
      <c r="F62" s="26">
        <v>75.548539751328221</v>
      </c>
      <c r="G62" s="98"/>
      <c r="H62" s="26"/>
    </row>
    <row r="63" spans="1:9">
      <c r="A63" s="18"/>
      <c r="B63" s="18" t="s">
        <v>120</v>
      </c>
      <c r="C63" s="19" t="s">
        <v>142</v>
      </c>
      <c r="D63" s="20" t="s">
        <v>143</v>
      </c>
      <c r="E63" s="21">
        <v>727.34211651231885</v>
      </c>
      <c r="F63" s="21">
        <v>18.069126522085373</v>
      </c>
      <c r="G63" s="98"/>
      <c r="H63" s="21"/>
    </row>
    <row r="64" spans="1:9">
      <c r="A64" s="9" t="s">
        <v>19</v>
      </c>
      <c r="B64" s="9" t="s">
        <v>124</v>
      </c>
      <c r="C64" s="10" t="s">
        <v>125</v>
      </c>
      <c r="D64" s="11"/>
      <c r="E64" s="12">
        <v>4462.3933199397816</v>
      </c>
      <c r="F64" s="12">
        <v>100</v>
      </c>
      <c r="G64" s="99"/>
      <c r="H64" s="12">
        <v>1891.3110325689245</v>
      </c>
      <c r="I64" s="29">
        <f>H64/SUM($H$3:$H$129)</f>
        <v>1.6513864093254265E-2</v>
      </c>
    </row>
    <row r="65" spans="1:9">
      <c r="A65" s="18"/>
      <c r="B65" s="18" t="s">
        <v>124</v>
      </c>
      <c r="C65" s="19" t="s">
        <v>228</v>
      </c>
      <c r="D65" s="20" t="s">
        <v>229</v>
      </c>
      <c r="E65" s="21">
        <v>3868.8442420131305</v>
      </c>
      <c r="F65" s="21">
        <v>86.698862350962358</v>
      </c>
      <c r="G65" s="98"/>
      <c r="H65" s="21"/>
    </row>
    <row r="66" spans="1:9">
      <c r="A66" s="9" t="s">
        <v>19</v>
      </c>
      <c r="B66" s="9" t="s">
        <v>129</v>
      </c>
      <c r="C66" s="10" t="s">
        <v>130</v>
      </c>
      <c r="D66" s="11"/>
      <c r="E66" s="12">
        <v>15213.014226648746</v>
      </c>
      <c r="F66" s="12">
        <v>100</v>
      </c>
      <c r="G66" s="99"/>
      <c r="H66" s="12">
        <v>7374.9790719205166</v>
      </c>
      <c r="I66" s="29">
        <f>H66/SUM($H$3:$H$129)</f>
        <v>6.4394168905611532E-2</v>
      </c>
    </row>
    <row r="67" spans="1:9">
      <c r="A67" s="23"/>
      <c r="B67" s="23" t="s">
        <v>129</v>
      </c>
      <c r="C67" s="24" t="s">
        <v>231</v>
      </c>
      <c r="D67" s="25" t="s">
        <v>232</v>
      </c>
      <c r="E67" s="26">
        <v>9841.3733200490478</v>
      </c>
      <c r="F67" s="26">
        <v>64.69048916558458</v>
      </c>
      <c r="G67" s="98"/>
      <c r="H67" s="26"/>
    </row>
    <row r="68" spans="1:9">
      <c r="A68" s="18"/>
      <c r="B68" s="18" t="s">
        <v>129</v>
      </c>
      <c r="C68" s="19" t="s">
        <v>142</v>
      </c>
      <c r="D68" s="20" t="s">
        <v>143</v>
      </c>
      <c r="E68" s="21">
        <v>4795.2754242084529</v>
      </c>
      <c r="F68" s="21">
        <v>31.52087648618993</v>
      </c>
      <c r="G68" s="98"/>
      <c r="H68" s="21"/>
    </row>
    <row r="69" spans="1:9">
      <c r="A69" s="9" t="s">
        <v>19</v>
      </c>
      <c r="B69" s="9" t="s">
        <v>131</v>
      </c>
      <c r="C69" s="10" t="s">
        <v>132</v>
      </c>
      <c r="D69" s="11"/>
      <c r="E69" s="12">
        <v>1107.7907259689687</v>
      </c>
      <c r="F69" s="12">
        <v>100</v>
      </c>
      <c r="G69" s="99"/>
      <c r="H69" s="12">
        <v>417.02371439829517</v>
      </c>
      <c r="I69" s="29">
        <f>H69/SUM($H$3:$H$129)</f>
        <v>3.6412165025461298E-3</v>
      </c>
    </row>
    <row r="70" spans="1:9">
      <c r="A70" s="23"/>
      <c r="B70" s="23" t="s">
        <v>131</v>
      </c>
      <c r="C70" s="24" t="s">
        <v>239</v>
      </c>
      <c r="D70" s="25" t="s">
        <v>240</v>
      </c>
      <c r="E70" s="26">
        <v>781.86290924823822</v>
      </c>
      <c r="F70" s="26">
        <v>70.578575079183295</v>
      </c>
      <c r="G70" s="98"/>
      <c r="H70" s="26"/>
    </row>
    <row r="71" spans="1:9">
      <c r="A71" s="18"/>
      <c r="B71" s="18" t="s">
        <v>131</v>
      </c>
      <c r="C71" s="19" t="s">
        <v>242</v>
      </c>
      <c r="D71" s="20" t="s">
        <v>243</v>
      </c>
      <c r="E71" s="21">
        <v>325.52008692533263</v>
      </c>
      <c r="F71" s="21">
        <v>29.384619251132012</v>
      </c>
      <c r="G71" s="98"/>
      <c r="H71" s="21"/>
    </row>
    <row r="72" spans="1:9">
      <c r="A72" s="9" t="s">
        <v>19</v>
      </c>
      <c r="B72" s="9" t="s">
        <v>133</v>
      </c>
      <c r="C72" s="10" t="s">
        <v>134</v>
      </c>
      <c r="D72" s="11"/>
      <c r="E72" s="12">
        <v>1965.1932783867271</v>
      </c>
      <c r="F72" s="12">
        <v>100</v>
      </c>
      <c r="G72" s="99"/>
      <c r="H72" s="12">
        <v>803.93246806586671</v>
      </c>
      <c r="I72" s="29">
        <f>H72/SUM($H$3:$H$129)</f>
        <v>7.0194861073493917E-3</v>
      </c>
    </row>
    <row r="73" spans="1:9">
      <c r="A73" s="18"/>
      <c r="B73" s="18" t="s">
        <v>133</v>
      </c>
      <c r="C73" s="19" t="s">
        <v>244</v>
      </c>
      <c r="D73" s="20" t="s">
        <v>245</v>
      </c>
      <c r="E73" s="21">
        <v>1729.9756450814734</v>
      </c>
      <c r="F73" s="21">
        <v>88.030814277038985</v>
      </c>
      <c r="G73" s="98"/>
      <c r="H73" s="21"/>
    </row>
    <row r="74" spans="1:9">
      <c r="A74" s="9" t="s">
        <v>19</v>
      </c>
      <c r="B74" s="9" t="s">
        <v>138</v>
      </c>
      <c r="C74" s="10" t="s">
        <v>139</v>
      </c>
      <c r="D74" s="11"/>
      <c r="E74" s="12">
        <v>3596.940240243995</v>
      </c>
      <c r="F74" s="12">
        <v>100</v>
      </c>
      <c r="G74" s="99"/>
      <c r="H74" s="12">
        <v>1348.9566833289769</v>
      </c>
      <c r="I74" s="29">
        <f>H74/SUM($H$3:$H$129)</f>
        <v>1.1778330984472772E-2</v>
      </c>
    </row>
    <row r="75" spans="1:9">
      <c r="A75" s="18"/>
      <c r="B75" s="18" t="s">
        <v>138</v>
      </c>
      <c r="C75" s="19" t="s">
        <v>247</v>
      </c>
      <c r="D75" s="20" t="s">
        <v>248</v>
      </c>
      <c r="E75" s="21">
        <v>3547.2393941587256</v>
      </c>
      <c r="F75" s="21">
        <v>98.61824654384867</v>
      </c>
      <c r="G75" s="98"/>
      <c r="H75" s="21"/>
    </row>
    <row r="76" spans="1:9">
      <c r="A76" s="9" t="s">
        <v>19</v>
      </c>
      <c r="B76" s="9" t="s">
        <v>140</v>
      </c>
      <c r="C76" s="10" t="s">
        <v>141</v>
      </c>
      <c r="D76" s="11"/>
      <c r="E76" s="12">
        <v>1899.3315434537631</v>
      </c>
      <c r="F76" s="12">
        <v>100</v>
      </c>
      <c r="G76" s="99"/>
      <c r="H76" s="12">
        <v>795.67829208194394</v>
      </c>
      <c r="I76" s="29">
        <f>H76/SUM($H$3:$H$129)</f>
        <v>6.9474152855474591E-3</v>
      </c>
    </row>
    <row r="77" spans="1:9">
      <c r="A77" s="18"/>
      <c r="B77" s="18" t="s">
        <v>140</v>
      </c>
      <c r="C77" s="19" t="s">
        <v>250</v>
      </c>
      <c r="D77" s="20" t="s">
        <v>251</v>
      </c>
      <c r="E77" s="21">
        <v>1831.1472341090921</v>
      </c>
      <c r="F77" s="21">
        <v>96.410089140062198</v>
      </c>
      <c r="G77" s="98"/>
      <c r="H77" s="21"/>
    </row>
    <row r="78" spans="1:9">
      <c r="A78" s="9" t="s">
        <v>19</v>
      </c>
      <c r="B78" s="9" t="s">
        <v>144</v>
      </c>
      <c r="C78" s="10" t="s">
        <v>145</v>
      </c>
      <c r="D78" s="11"/>
      <c r="E78" s="12">
        <v>9777.3840316938567</v>
      </c>
      <c r="F78" s="12">
        <v>100</v>
      </c>
      <c r="G78" s="99"/>
      <c r="H78" s="12">
        <v>3658.0287512109217</v>
      </c>
      <c r="I78" s="29">
        <f>H78/SUM($H$3:$H$129)</f>
        <v>3.1939849451765062E-2</v>
      </c>
    </row>
    <row r="79" spans="1:9">
      <c r="A79" s="23"/>
      <c r="B79" s="23" t="s">
        <v>144</v>
      </c>
      <c r="C79" s="24" t="s">
        <v>253</v>
      </c>
      <c r="D79" s="25" t="s">
        <v>254</v>
      </c>
      <c r="E79" s="26">
        <v>4796.4185106293144</v>
      </c>
      <c r="F79" s="26">
        <v>49.056255692539999</v>
      </c>
      <c r="G79" s="98"/>
      <c r="H79" s="26"/>
    </row>
    <row r="80" spans="1:9">
      <c r="A80" s="18"/>
      <c r="B80" s="18" t="s">
        <v>144</v>
      </c>
      <c r="C80" s="19" t="s">
        <v>256</v>
      </c>
      <c r="D80" s="20" t="s">
        <v>257</v>
      </c>
      <c r="E80" s="21">
        <v>4800.0326884576107</v>
      </c>
      <c r="F80" s="21">
        <v>49.093220363423143</v>
      </c>
      <c r="G80" s="98"/>
      <c r="H80" s="21"/>
    </row>
    <row r="81" spans="1:9">
      <c r="A81" s="9" t="s">
        <v>19</v>
      </c>
      <c r="B81" s="9" t="s">
        <v>147</v>
      </c>
      <c r="C81" s="10" t="s">
        <v>148</v>
      </c>
      <c r="D81" s="11"/>
      <c r="E81" s="12">
        <v>3129.201449370215</v>
      </c>
      <c r="F81" s="12">
        <v>100</v>
      </c>
      <c r="G81" s="99"/>
      <c r="H81" s="12">
        <v>1139.7648380113017</v>
      </c>
      <c r="I81" s="29">
        <f>H81/SUM($H$3:$H$129)</f>
        <v>9.9517854594350953E-3</v>
      </c>
    </row>
    <row r="82" spans="1:9">
      <c r="A82" s="18"/>
      <c r="B82" s="18" t="s">
        <v>147</v>
      </c>
      <c r="C82" s="19" t="s">
        <v>258</v>
      </c>
      <c r="D82" s="20" t="s">
        <v>259</v>
      </c>
      <c r="E82" s="21">
        <v>2649.0154001394794</v>
      </c>
      <c r="F82" s="21">
        <v>84.654677654985164</v>
      </c>
      <c r="G82" s="98"/>
      <c r="H82" s="21"/>
    </row>
    <row r="83" spans="1:9">
      <c r="A83" s="9" t="s">
        <v>19</v>
      </c>
      <c r="B83" s="9" t="s">
        <v>151</v>
      </c>
      <c r="C83" s="10" t="s">
        <v>152</v>
      </c>
      <c r="D83" s="11"/>
      <c r="E83" s="12">
        <v>0</v>
      </c>
      <c r="F83" s="12">
        <v>0</v>
      </c>
      <c r="G83" s="99"/>
      <c r="H83" s="12">
        <v>0</v>
      </c>
      <c r="I83" s="29">
        <f>H83/SUM($H$3:$H$129)</f>
        <v>0</v>
      </c>
    </row>
    <row r="84" spans="1:9">
      <c r="A84" s="18"/>
      <c r="B84" s="18" t="s">
        <v>151</v>
      </c>
      <c r="C84" s="19" t="s">
        <v>261</v>
      </c>
      <c r="D84" s="20" t="s">
        <v>262</v>
      </c>
      <c r="E84" s="21">
        <v>0</v>
      </c>
      <c r="F84" s="21">
        <v>0</v>
      </c>
      <c r="G84" s="98"/>
      <c r="H84" s="21"/>
    </row>
    <row r="85" spans="1:9">
      <c r="A85" s="9" t="s">
        <v>19</v>
      </c>
      <c r="B85" s="9" t="s">
        <v>156</v>
      </c>
      <c r="C85" s="10" t="s">
        <v>157</v>
      </c>
      <c r="D85" s="11"/>
      <c r="E85" s="12">
        <v>1863.8746548968272</v>
      </c>
      <c r="F85" s="12">
        <v>100</v>
      </c>
      <c r="G85" s="99"/>
      <c r="H85" s="12">
        <v>570.05210369368342</v>
      </c>
      <c r="I85" s="29">
        <f>H85/SUM($H$3:$H$129)</f>
        <v>4.9773743209675448E-3</v>
      </c>
    </row>
    <row r="86" spans="1:9">
      <c r="A86" s="23"/>
      <c r="B86" s="23" t="s">
        <v>156</v>
      </c>
      <c r="C86" s="24" t="s">
        <v>264</v>
      </c>
      <c r="D86" s="25" t="s">
        <v>265</v>
      </c>
      <c r="E86" s="26">
        <v>1457.5922324298072</v>
      </c>
      <c r="F86" s="26">
        <v>78.202266906756705</v>
      </c>
      <c r="G86" s="98"/>
      <c r="H86" s="26"/>
    </row>
    <row r="87" spans="1:9">
      <c r="A87" s="18"/>
      <c r="B87" s="18" t="s">
        <v>156</v>
      </c>
      <c r="C87" s="19" t="s">
        <v>200</v>
      </c>
      <c r="D87" s="20" t="s">
        <v>201</v>
      </c>
      <c r="E87" s="21">
        <v>396.97639618460835</v>
      </c>
      <c r="F87" s="21">
        <v>21.298449181744068</v>
      </c>
      <c r="G87" s="98"/>
      <c r="H87" s="21"/>
    </row>
    <row r="88" spans="1:9">
      <c r="A88" s="9" t="s">
        <v>19</v>
      </c>
      <c r="B88" s="9" t="s">
        <v>158</v>
      </c>
      <c r="C88" s="10" t="s">
        <v>159</v>
      </c>
      <c r="D88" s="11"/>
      <c r="E88" s="12">
        <v>7515.6707060071139</v>
      </c>
      <c r="F88" s="12">
        <v>100</v>
      </c>
      <c r="G88" s="99"/>
      <c r="H88" s="12">
        <v>3414.7313601142378</v>
      </c>
      <c r="I88" s="29">
        <f>H88/SUM($H$3:$H$129)</f>
        <v>2.9815513485006225E-2</v>
      </c>
    </row>
    <row r="89" spans="1:9">
      <c r="A89" s="18"/>
      <c r="B89" s="18" t="s">
        <v>158</v>
      </c>
      <c r="C89" s="19" t="s">
        <v>267</v>
      </c>
      <c r="D89" s="20" t="s">
        <v>268</v>
      </c>
      <c r="E89" s="21">
        <v>7300.0247237557996</v>
      </c>
      <c r="F89" s="21">
        <v>97.130715398707494</v>
      </c>
      <c r="G89" s="98"/>
      <c r="H89" s="21"/>
    </row>
    <row r="90" spans="1:9">
      <c r="A90" s="9" t="s">
        <v>19</v>
      </c>
      <c r="B90" s="9" t="s">
        <v>162</v>
      </c>
      <c r="C90" s="10" t="s">
        <v>163</v>
      </c>
      <c r="D90" s="11"/>
      <c r="E90" s="12">
        <v>0</v>
      </c>
      <c r="F90" s="12">
        <v>0</v>
      </c>
      <c r="G90" s="99"/>
      <c r="H90" s="12">
        <v>0</v>
      </c>
      <c r="I90" s="29">
        <f>H90/SUM($H$3:$H$129)</f>
        <v>0</v>
      </c>
    </row>
    <row r="91" spans="1:9">
      <c r="A91" s="18"/>
      <c r="B91" s="18" t="s">
        <v>162</v>
      </c>
      <c r="C91" s="19" t="s">
        <v>261</v>
      </c>
      <c r="D91" s="20" t="s">
        <v>262</v>
      </c>
      <c r="E91" s="21">
        <v>0</v>
      </c>
      <c r="F91" s="21">
        <v>0</v>
      </c>
      <c r="G91" s="98"/>
      <c r="H91" s="21"/>
    </row>
    <row r="92" spans="1:9">
      <c r="A92" s="9" t="s">
        <v>19</v>
      </c>
      <c r="B92" s="9" t="s">
        <v>165</v>
      </c>
      <c r="C92" s="10" t="s">
        <v>166</v>
      </c>
      <c r="D92" s="11"/>
      <c r="E92" s="12">
        <v>1616.7357246883507</v>
      </c>
      <c r="F92" s="12">
        <v>100</v>
      </c>
      <c r="G92" s="99"/>
      <c r="H92" s="12">
        <v>663.44823122204934</v>
      </c>
      <c r="I92" s="29">
        <f>H92/SUM($H$3:$H$129)</f>
        <v>5.7928567721774685E-3</v>
      </c>
    </row>
    <row r="93" spans="1:9">
      <c r="A93" s="18"/>
      <c r="B93" s="18" t="s">
        <v>165</v>
      </c>
      <c r="C93" s="19" t="s">
        <v>271</v>
      </c>
      <c r="D93" s="20" t="s">
        <v>272</v>
      </c>
      <c r="E93" s="21">
        <v>1570.7859621835146</v>
      </c>
      <c r="F93" s="21">
        <v>97.157868054552111</v>
      </c>
      <c r="G93" s="98"/>
      <c r="H93" s="21"/>
    </row>
    <row r="94" spans="1:9">
      <c r="A94" s="9" t="s">
        <v>19</v>
      </c>
      <c r="B94" s="9" t="s">
        <v>169</v>
      </c>
      <c r="C94" s="10" t="s">
        <v>170</v>
      </c>
      <c r="D94" s="11"/>
      <c r="E94" s="12">
        <v>8000.6331300555512</v>
      </c>
      <c r="F94" s="12">
        <v>100</v>
      </c>
      <c r="G94" s="99"/>
      <c r="H94" s="12">
        <v>3368.2897042966651</v>
      </c>
      <c r="I94" s="29">
        <f>H94/SUM($H$3:$H$129)</f>
        <v>2.9410011069364212E-2</v>
      </c>
    </row>
    <row r="95" spans="1:9">
      <c r="A95" s="18"/>
      <c r="B95" s="18" t="s">
        <v>169</v>
      </c>
      <c r="C95" s="19" t="s">
        <v>274</v>
      </c>
      <c r="D95" s="20" t="s">
        <v>275</v>
      </c>
      <c r="E95" s="21">
        <v>7802.3490007712408</v>
      </c>
      <c r="F95" s="21">
        <v>97.52164452411364</v>
      </c>
      <c r="G95" s="98"/>
      <c r="H95" s="21"/>
    </row>
    <row r="96" spans="1:9">
      <c r="A96" s="9" t="s">
        <v>19</v>
      </c>
      <c r="B96" s="9" t="s">
        <v>172</v>
      </c>
      <c r="C96" s="10" t="s">
        <v>173</v>
      </c>
      <c r="D96" s="11"/>
      <c r="E96" s="12">
        <v>2600.1522092643813</v>
      </c>
      <c r="F96" s="12">
        <v>100</v>
      </c>
      <c r="G96" s="99"/>
      <c r="H96" s="12">
        <v>1102.9650906601116</v>
      </c>
      <c r="I96" s="29">
        <f>H96/SUM($H$3:$H$129)</f>
        <v>9.6304707650465091E-3</v>
      </c>
    </row>
    <row r="97" spans="1:9">
      <c r="A97" s="23"/>
      <c r="B97" s="23" t="s">
        <v>172</v>
      </c>
      <c r="C97" s="24" t="s">
        <v>277</v>
      </c>
      <c r="D97" s="25" t="s">
        <v>278</v>
      </c>
      <c r="E97" s="26">
        <v>1320.5993523998222</v>
      </c>
      <c r="F97" s="26">
        <v>50.78930947559558</v>
      </c>
      <c r="G97" s="98"/>
      <c r="H97" s="26"/>
    </row>
    <row r="98" spans="1:9">
      <c r="A98" s="18"/>
      <c r="B98" s="18" t="s">
        <v>172</v>
      </c>
      <c r="C98" s="19" t="s">
        <v>280</v>
      </c>
      <c r="D98" s="20" t="s">
        <v>281</v>
      </c>
      <c r="E98" s="21">
        <v>786.47432360981566</v>
      </c>
      <c r="F98" s="21">
        <v>30.2472417117581</v>
      </c>
      <c r="G98" s="98"/>
      <c r="H98" s="21"/>
    </row>
    <row r="99" spans="1:9">
      <c r="A99" s="9" t="s">
        <v>19</v>
      </c>
      <c r="B99" s="9" t="s">
        <v>176</v>
      </c>
      <c r="C99" s="10" t="s">
        <v>177</v>
      </c>
      <c r="D99" s="11"/>
      <c r="E99" s="12">
        <v>6900.1330537218564</v>
      </c>
      <c r="F99" s="12">
        <v>100</v>
      </c>
      <c r="G99" s="99"/>
      <c r="H99" s="12">
        <v>2792.5611337220171</v>
      </c>
      <c r="I99" s="29">
        <f>H99/SUM($H$3:$H$129)</f>
        <v>2.4383073032546724E-2</v>
      </c>
    </row>
    <row r="100" spans="1:9">
      <c r="A100" s="23"/>
      <c r="B100" s="23" t="s">
        <v>176</v>
      </c>
      <c r="C100" s="24" t="s">
        <v>282</v>
      </c>
      <c r="D100" s="25" t="s">
        <v>283</v>
      </c>
      <c r="E100" s="26">
        <v>5594.5280663153999</v>
      </c>
      <c r="F100" s="26">
        <v>81.078553453368158</v>
      </c>
      <c r="G100" s="98"/>
      <c r="H100" s="26"/>
    </row>
    <row r="101" spans="1:9">
      <c r="A101" s="18"/>
      <c r="B101" s="18" t="s">
        <v>176</v>
      </c>
      <c r="C101" s="19" t="s">
        <v>267</v>
      </c>
      <c r="D101" s="20" t="s">
        <v>268</v>
      </c>
      <c r="E101" s="21">
        <v>706.9224323895038</v>
      </c>
      <c r="F101" s="21">
        <v>10.245055086411668</v>
      </c>
      <c r="G101" s="98"/>
      <c r="H101" s="21"/>
    </row>
    <row r="102" spans="1:9">
      <c r="A102" s="9" t="s">
        <v>19</v>
      </c>
      <c r="B102" s="9" t="s">
        <v>179</v>
      </c>
      <c r="C102" s="10" t="s">
        <v>180</v>
      </c>
      <c r="D102" s="11"/>
      <c r="E102" s="12">
        <v>1388.3679146927395</v>
      </c>
      <c r="F102" s="12">
        <v>100</v>
      </c>
      <c r="G102" s="99"/>
      <c r="H102" s="12">
        <v>483.32752743729895</v>
      </c>
      <c r="I102" s="29">
        <f>H102/SUM($H$3:$H$129)</f>
        <v>4.2201441027851167E-3</v>
      </c>
    </row>
    <row r="103" spans="1:9">
      <c r="A103" s="18"/>
      <c r="B103" s="18" t="s">
        <v>179</v>
      </c>
      <c r="C103" s="19" t="s">
        <v>285</v>
      </c>
      <c r="D103" s="20" t="s">
        <v>286</v>
      </c>
      <c r="E103" s="21">
        <v>1190.1347948719049</v>
      </c>
      <c r="F103" s="21">
        <v>85.721859622151683</v>
      </c>
      <c r="G103" s="98"/>
      <c r="H103" s="21"/>
    </row>
    <row r="104" spans="1:9">
      <c r="A104" s="9" t="s">
        <v>19</v>
      </c>
      <c r="B104" s="9" t="s">
        <v>183</v>
      </c>
      <c r="C104" s="10" t="s">
        <v>184</v>
      </c>
      <c r="D104" s="11"/>
      <c r="E104" s="12">
        <v>13793.609049238932</v>
      </c>
      <c r="F104" s="12">
        <v>100</v>
      </c>
      <c r="G104" s="99"/>
      <c r="H104" s="12">
        <v>5601.0551121807366</v>
      </c>
      <c r="I104" s="29">
        <f>H104/SUM($H$3:$H$129)</f>
        <v>4.8905262703271911E-2</v>
      </c>
    </row>
    <row r="105" spans="1:9">
      <c r="A105" s="18"/>
      <c r="B105" s="18" t="s">
        <v>183</v>
      </c>
      <c r="C105" s="19" t="s">
        <v>288</v>
      </c>
      <c r="D105" s="20" t="s">
        <v>289</v>
      </c>
      <c r="E105" s="21">
        <v>12982.426838528199</v>
      </c>
      <c r="F105" s="21">
        <v>94.119144541395499</v>
      </c>
      <c r="G105" s="98"/>
      <c r="H105" s="21"/>
    </row>
    <row r="106" spans="1:9">
      <c r="A106" s="9" t="s">
        <v>19</v>
      </c>
      <c r="B106" s="9" t="s">
        <v>186</v>
      </c>
      <c r="C106" s="10" t="s">
        <v>187</v>
      </c>
      <c r="D106" s="11"/>
      <c r="E106" s="12">
        <v>1233.0486210314655</v>
      </c>
      <c r="F106" s="12">
        <v>100</v>
      </c>
      <c r="G106" s="99"/>
      <c r="H106" s="12">
        <v>529.08543701265921</v>
      </c>
      <c r="I106" s="29">
        <f>H106/SUM($H$3:$H$129)</f>
        <v>4.6196764308404073E-3</v>
      </c>
    </row>
    <row r="107" spans="1:9">
      <c r="A107" s="18"/>
      <c r="B107" s="18" t="s">
        <v>186</v>
      </c>
      <c r="C107" s="19" t="s">
        <v>291</v>
      </c>
      <c r="D107" s="20" t="s">
        <v>292</v>
      </c>
      <c r="E107" s="21">
        <v>1214.2008856953751</v>
      </c>
      <c r="F107" s="21">
        <v>98.471452381145852</v>
      </c>
      <c r="G107" s="98"/>
      <c r="H107" s="21"/>
    </row>
    <row r="108" spans="1:9">
      <c r="A108" s="9" t="s">
        <v>19</v>
      </c>
      <c r="B108" s="9" t="s">
        <v>188</v>
      </c>
      <c r="C108" s="10" t="s">
        <v>189</v>
      </c>
      <c r="D108" s="11"/>
      <c r="E108" s="12">
        <v>2390.4624454542368</v>
      </c>
      <c r="F108" s="12">
        <v>100</v>
      </c>
      <c r="G108" s="99"/>
      <c r="H108" s="12">
        <v>1105.2377712652067</v>
      </c>
      <c r="I108" s="29">
        <f>H108/SUM($H$3:$H$129)</f>
        <v>9.650314533730572E-3</v>
      </c>
    </row>
    <row r="109" spans="1:9">
      <c r="A109" s="23"/>
      <c r="B109" s="23" t="s">
        <v>188</v>
      </c>
      <c r="C109" s="24" t="s">
        <v>294</v>
      </c>
      <c r="D109" s="25" t="s">
        <v>295</v>
      </c>
      <c r="E109" s="26">
        <v>1832.2457081561492</v>
      </c>
      <c r="F109" s="26">
        <v>76.648169547293804</v>
      </c>
      <c r="G109" s="98"/>
      <c r="H109" s="26"/>
    </row>
    <row r="110" spans="1:9">
      <c r="A110" s="18"/>
      <c r="B110" s="18" t="s">
        <v>188</v>
      </c>
      <c r="C110" s="19" t="s">
        <v>297</v>
      </c>
      <c r="D110" s="20" t="s">
        <v>298</v>
      </c>
      <c r="E110" s="21">
        <v>534.04616467715027</v>
      </c>
      <c r="F110" s="21">
        <v>22.340705067034449</v>
      </c>
      <c r="G110" s="98"/>
      <c r="H110" s="21"/>
    </row>
    <row r="111" spans="1:9">
      <c r="A111" s="9" t="s">
        <v>19</v>
      </c>
      <c r="B111" s="9" t="s">
        <v>191</v>
      </c>
      <c r="C111" s="10" t="s">
        <v>192</v>
      </c>
      <c r="D111" s="11"/>
      <c r="E111" s="12">
        <v>9359.8658764522315</v>
      </c>
      <c r="F111" s="12">
        <v>100</v>
      </c>
      <c r="G111" s="99"/>
      <c r="H111" s="12">
        <v>4854.8475074069192</v>
      </c>
      <c r="I111" s="29">
        <f>H111/SUM($H$3:$H$129)</f>
        <v>4.2389797632542706E-2</v>
      </c>
    </row>
    <row r="112" spans="1:9">
      <c r="A112" s="18"/>
      <c r="B112" s="18" t="s">
        <v>191</v>
      </c>
      <c r="C112" s="19" t="s">
        <v>299</v>
      </c>
      <c r="D112" s="20" t="s">
        <v>300</v>
      </c>
      <c r="E112" s="21">
        <v>9134.2325635509114</v>
      </c>
      <c r="F112" s="21">
        <v>97.589353139461394</v>
      </c>
      <c r="G112" s="98"/>
      <c r="H112" s="21"/>
    </row>
    <row r="113" spans="1:9">
      <c r="A113" s="9" t="s">
        <v>19</v>
      </c>
      <c r="B113" s="9" t="s">
        <v>195</v>
      </c>
      <c r="C113" s="10" t="s">
        <v>196</v>
      </c>
      <c r="D113" s="11"/>
      <c r="E113" s="12">
        <v>4282.4628485799858</v>
      </c>
      <c r="F113" s="12">
        <v>100</v>
      </c>
      <c r="G113" s="99"/>
      <c r="H113" s="12">
        <v>1045.1537059670591</v>
      </c>
      <c r="I113" s="29">
        <f>H113/SUM($H$3:$H$129)</f>
        <v>9.1256942722201667E-3</v>
      </c>
    </row>
    <row r="114" spans="1:9">
      <c r="A114" s="18"/>
      <c r="B114" s="18" t="s">
        <v>195</v>
      </c>
      <c r="C114" s="19" t="s">
        <v>302</v>
      </c>
      <c r="D114" s="20" t="s">
        <v>303</v>
      </c>
      <c r="E114" s="21">
        <v>4218.6239551722847</v>
      </c>
      <c r="F114" s="21">
        <v>98.509294869215992</v>
      </c>
      <c r="G114" s="98"/>
      <c r="H114" s="21"/>
    </row>
    <row r="115" spans="1:9">
      <c r="A115" s="9" t="s">
        <v>19</v>
      </c>
      <c r="B115" s="9" t="s">
        <v>198</v>
      </c>
      <c r="C115" s="10" t="s">
        <v>199</v>
      </c>
      <c r="D115" s="11"/>
      <c r="E115" s="12">
        <v>125.23701883358741</v>
      </c>
      <c r="F115" s="12">
        <v>100</v>
      </c>
      <c r="G115" s="99"/>
      <c r="H115" s="12">
        <v>51.612996637299091</v>
      </c>
      <c r="I115" s="29">
        <f>H115/SUM($H$3:$H$129)</f>
        <v>4.5065565485347288E-4</v>
      </c>
    </row>
    <row r="116" spans="1:9">
      <c r="A116" s="18"/>
      <c r="B116" s="18" t="s">
        <v>198</v>
      </c>
      <c r="C116" s="19" t="s">
        <v>305</v>
      </c>
      <c r="D116" s="20" t="s">
        <v>306</v>
      </c>
      <c r="E116" s="21">
        <v>97.136240132733661</v>
      </c>
      <c r="F116" s="21">
        <v>77.561923013998339</v>
      </c>
      <c r="G116" s="98"/>
      <c r="H116" s="21"/>
    </row>
    <row r="117" spans="1:9">
      <c r="A117" s="9" t="s">
        <v>19</v>
      </c>
      <c r="B117" s="9" t="s">
        <v>202</v>
      </c>
      <c r="C117" s="10" t="s">
        <v>203</v>
      </c>
      <c r="D117" s="11"/>
      <c r="E117" s="12">
        <v>12661.685736648515</v>
      </c>
      <c r="F117" s="12">
        <v>100</v>
      </c>
      <c r="G117" s="99"/>
      <c r="H117" s="12">
        <v>4393.9180909518527</v>
      </c>
      <c r="I117" s="29">
        <f>H117/SUM($H$3:$H$129)</f>
        <v>3.8365221236145795E-2</v>
      </c>
    </row>
    <row r="118" spans="1:9">
      <c r="A118" s="18"/>
      <c r="B118" s="18" t="s">
        <v>202</v>
      </c>
      <c r="C118" s="19" t="s">
        <v>308</v>
      </c>
      <c r="D118" s="20" t="s">
        <v>309</v>
      </c>
      <c r="E118" s="21">
        <v>11775.490933945452</v>
      </c>
      <c r="F118" s="21">
        <v>93.000973005213481</v>
      </c>
      <c r="G118" s="98"/>
      <c r="H118" s="21"/>
    </row>
    <row r="119" spans="1:9">
      <c r="A119" s="9" t="s">
        <v>19</v>
      </c>
      <c r="B119" s="9" t="s">
        <v>205</v>
      </c>
      <c r="C119" s="10" t="s">
        <v>206</v>
      </c>
      <c r="D119" s="11"/>
      <c r="E119" s="12">
        <v>6494.4252550182246</v>
      </c>
      <c r="F119" s="12">
        <v>100</v>
      </c>
      <c r="G119" s="99"/>
      <c r="H119" s="12">
        <v>2030.7010750995078</v>
      </c>
      <c r="I119" s="29">
        <f>H119/SUM($H$3:$H$129)</f>
        <v>1.7730939539156155E-2</v>
      </c>
    </row>
    <row r="120" spans="1:9">
      <c r="A120" s="23"/>
      <c r="B120" s="23" t="s">
        <v>205</v>
      </c>
      <c r="C120" s="24" t="s">
        <v>311</v>
      </c>
      <c r="D120" s="25" t="s">
        <v>312</v>
      </c>
      <c r="E120" s="26">
        <v>3840.7953631148966</v>
      </c>
      <c r="F120" s="26">
        <v>59.139880933222301</v>
      </c>
      <c r="G120" s="98"/>
      <c r="H120" s="26"/>
    </row>
    <row r="121" spans="1:9">
      <c r="A121" s="18"/>
      <c r="B121" s="18" t="s">
        <v>205</v>
      </c>
      <c r="C121" s="19" t="s">
        <v>314</v>
      </c>
      <c r="D121" s="20" t="s">
        <v>315</v>
      </c>
      <c r="E121" s="21">
        <v>2390.1379427311622</v>
      </c>
      <c r="F121" s="21">
        <v>36.802917100082247</v>
      </c>
      <c r="G121" s="98"/>
      <c r="H121" s="21"/>
    </row>
    <row r="122" spans="1:9">
      <c r="A122" s="9" t="s">
        <v>19</v>
      </c>
      <c r="B122" s="9" t="s">
        <v>209</v>
      </c>
      <c r="C122" s="10" t="s">
        <v>210</v>
      </c>
      <c r="D122" s="11"/>
      <c r="E122" s="12">
        <v>10050.518095335394</v>
      </c>
      <c r="F122" s="12">
        <v>100</v>
      </c>
      <c r="G122" s="99"/>
      <c r="H122" s="12">
        <v>3476.1929753754894</v>
      </c>
      <c r="I122" s="29">
        <f>H122/SUM($H$3:$H$129)</f>
        <v>3.0352161737936669E-2</v>
      </c>
    </row>
    <row r="123" spans="1:9">
      <c r="A123" s="23"/>
      <c r="B123" s="23" t="s">
        <v>209</v>
      </c>
      <c r="C123" s="24" t="s">
        <v>316</v>
      </c>
      <c r="D123" s="25" t="s">
        <v>317</v>
      </c>
      <c r="E123" s="26">
        <v>5514.8346518397257</v>
      </c>
      <c r="F123" s="26">
        <v>54.871147930167382</v>
      </c>
      <c r="G123" s="98"/>
      <c r="H123" s="26"/>
    </row>
    <row r="124" spans="1:9">
      <c r="A124" s="23"/>
      <c r="B124" s="23" t="s">
        <v>209</v>
      </c>
      <c r="C124" s="24" t="s">
        <v>319</v>
      </c>
      <c r="D124" s="25" t="s">
        <v>320</v>
      </c>
      <c r="E124" s="26">
        <v>1844.6195215133537</v>
      </c>
      <c r="F124" s="26">
        <v>18.353476945327536</v>
      </c>
      <c r="G124" s="98"/>
      <c r="H124" s="26"/>
    </row>
    <row r="125" spans="1:9">
      <c r="A125" s="23"/>
      <c r="B125" s="23" t="s">
        <v>209</v>
      </c>
      <c r="C125" s="24" t="s">
        <v>321</v>
      </c>
      <c r="D125" s="25" t="s">
        <v>322</v>
      </c>
      <c r="E125" s="26">
        <v>1163.4353362423929</v>
      </c>
      <c r="F125" s="26">
        <v>11.575874250526068</v>
      </c>
      <c r="G125" s="98"/>
      <c r="H125" s="26"/>
    </row>
    <row r="126" spans="1:9">
      <c r="A126" s="23"/>
      <c r="B126" s="23" t="s">
        <v>209</v>
      </c>
      <c r="C126" s="24" t="s">
        <v>323</v>
      </c>
      <c r="D126" s="25" t="s">
        <v>324</v>
      </c>
      <c r="E126" s="26">
        <v>879.36118529677117</v>
      </c>
      <c r="F126" s="26">
        <v>8.7494114925766553</v>
      </c>
      <c r="G126" s="98"/>
      <c r="H126" s="26"/>
    </row>
    <row r="127" spans="1:9">
      <c r="A127" s="9" t="s">
        <v>19</v>
      </c>
      <c r="B127" s="9" t="s">
        <v>212</v>
      </c>
      <c r="C127" s="10" t="s">
        <v>213</v>
      </c>
      <c r="D127" s="11"/>
      <c r="E127" s="12">
        <v>9740.804284584161</v>
      </c>
      <c r="F127" s="12">
        <v>100</v>
      </c>
      <c r="G127" s="99"/>
      <c r="H127" s="12">
        <v>3971.2416264394797</v>
      </c>
      <c r="I127" s="29">
        <f>H127/SUM($H$3:$H$129)</f>
        <v>3.4674648099217741E-2</v>
      </c>
    </row>
    <row r="128" spans="1:9">
      <c r="A128" s="18"/>
      <c r="B128" s="18" t="s">
        <v>212</v>
      </c>
      <c r="C128" s="19" t="s">
        <v>325</v>
      </c>
      <c r="D128" s="20" t="s">
        <v>326</v>
      </c>
      <c r="E128" s="21">
        <v>8821.6564941450106</v>
      </c>
      <c r="F128" s="21">
        <v>90.563943555525512</v>
      </c>
      <c r="G128" s="98"/>
      <c r="H128" s="21"/>
    </row>
    <row r="129" spans="1:9">
      <c r="A129" s="9" t="s">
        <v>19</v>
      </c>
      <c r="B129" s="9" t="s">
        <v>216</v>
      </c>
      <c r="C129" s="10" t="s">
        <v>217</v>
      </c>
      <c r="D129" s="11"/>
      <c r="E129" s="12">
        <v>2086.1349157794857</v>
      </c>
      <c r="F129" s="12">
        <v>100</v>
      </c>
      <c r="G129" s="99"/>
      <c r="H129" s="12">
        <v>955.16672053297839</v>
      </c>
      <c r="I129" s="29">
        <f>H129/SUM($H$3:$H$129)</f>
        <v>8.3399785321699362E-3</v>
      </c>
    </row>
    <row r="130" spans="1:9">
      <c r="A130" s="23"/>
      <c r="B130" s="23" t="s">
        <v>216</v>
      </c>
      <c r="C130" s="24" t="s">
        <v>328</v>
      </c>
      <c r="D130" s="25" t="s">
        <v>329</v>
      </c>
      <c r="E130" s="26">
        <v>1455.3830816112434</v>
      </c>
      <c r="F130" s="26">
        <v>69.764571342090719</v>
      </c>
      <c r="G130" s="98"/>
      <c r="H130" s="26"/>
    </row>
    <row r="131" spans="1:9">
      <c r="A131" s="18"/>
      <c r="B131" s="18" t="s">
        <v>216</v>
      </c>
      <c r="C131" s="19" t="s">
        <v>331</v>
      </c>
      <c r="D131" s="20" t="s">
        <v>332</v>
      </c>
      <c r="E131" s="21">
        <v>290.08916588150191</v>
      </c>
      <c r="F131" s="21">
        <v>13.905580300069417</v>
      </c>
      <c r="G131" s="98"/>
      <c r="H131" s="21"/>
    </row>
  </sheetData>
  <autoFilter ref="A1:H131" xr:uid="{0BC1AF26-E125-4639-8618-EF8256F94529}"/>
  <conditionalFormatting sqref="E2:F2">
    <cfRule type="cellIs" dxfId="9" priority="4" operator="equal">
      <formula>0</formula>
    </cfRule>
  </conditionalFormatting>
  <conditionalFormatting sqref="H2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5F8D-6C1A-49CC-84BA-C188F42AEF3C}">
  <dimension ref="A1:AO311"/>
  <sheetViews>
    <sheetView topLeftCell="X1" workbookViewId="0">
      <selection activeCell="AE14" sqref="AE14"/>
    </sheetView>
  </sheetViews>
  <sheetFormatPr defaultRowHeight="14.5"/>
  <cols>
    <col min="1" max="1" width="0" hidden="1" customWidth="1"/>
    <col min="2" max="2" width="8.7265625" hidden="1" customWidth="1"/>
    <col min="3" max="3" width="16.26953125" hidden="1" customWidth="1"/>
    <col min="4" max="4" width="12.54296875" hidden="1" customWidth="1"/>
    <col min="5" max="5" width="14.08984375" hidden="1" customWidth="1"/>
    <col min="6" max="6" width="8.7265625" hidden="1" customWidth="1"/>
    <col min="7" max="7" width="12.08984375" hidden="1" customWidth="1"/>
    <col min="8" max="12" width="8.7265625" hidden="1" customWidth="1"/>
    <col min="13" max="13" width="27.08984375" hidden="1" customWidth="1"/>
    <col min="14" max="14" width="12.453125" hidden="1" customWidth="1"/>
    <col min="15" max="16" width="8.7265625" hidden="1" customWidth="1"/>
    <col min="17" max="17" width="12.90625" hidden="1" customWidth="1"/>
    <col min="18" max="18" width="11.6328125" hidden="1" customWidth="1"/>
    <col min="19" max="19" width="8.7265625" hidden="1" customWidth="1"/>
    <col min="22" max="22" width="14.26953125" customWidth="1"/>
    <col min="23" max="23" width="38.453125" customWidth="1"/>
    <col min="24" max="24" width="14.81640625" customWidth="1"/>
    <col min="25" max="25" width="14.36328125" customWidth="1"/>
    <col min="28" max="28" width="6" customWidth="1"/>
    <col min="30" max="30" width="6.90625" style="74" customWidth="1"/>
    <col min="31" max="31" width="63.08984375" customWidth="1"/>
    <col min="32" max="32" width="15.6328125" customWidth="1"/>
    <col min="33" max="34" width="14.90625" hidden="1" customWidth="1"/>
    <col min="35" max="35" width="20.08984375" hidden="1" customWidth="1"/>
    <col min="36" max="37" width="0" hidden="1" customWidth="1"/>
  </cols>
  <sheetData>
    <row r="1" spans="1:40" ht="42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s="3" t="s">
        <v>5</v>
      </c>
      <c r="G1" t="s">
        <v>6</v>
      </c>
      <c r="N1" t="s">
        <v>7</v>
      </c>
      <c r="O1" t="s">
        <v>8</v>
      </c>
      <c r="Q1" t="s">
        <v>9</v>
      </c>
      <c r="R1" t="s">
        <v>10</v>
      </c>
      <c r="T1" s="4" t="s">
        <v>11</v>
      </c>
      <c r="U1" s="4" t="s">
        <v>1</v>
      </c>
      <c r="V1" s="5" t="s">
        <v>12</v>
      </c>
      <c r="W1" s="6" t="s">
        <v>13</v>
      </c>
      <c r="X1" s="7" t="s">
        <v>7</v>
      </c>
      <c r="Y1" s="4" t="s">
        <v>14</v>
      </c>
      <c r="Z1" s="7" t="s">
        <v>15</v>
      </c>
      <c r="AA1" s="8" t="s">
        <v>16</v>
      </c>
      <c r="AB1" s="8" t="s">
        <v>17</v>
      </c>
      <c r="AC1" s="8" t="s">
        <v>18</v>
      </c>
      <c r="AD1" s="73" t="s">
        <v>661</v>
      </c>
      <c r="AE1" s="8" t="s">
        <v>662</v>
      </c>
      <c r="AF1" s="101" t="s">
        <v>666</v>
      </c>
      <c r="AG1" s="101" t="s">
        <v>668</v>
      </c>
      <c r="AH1" s="101" t="s">
        <v>667</v>
      </c>
    </row>
    <row r="2" spans="1:40">
      <c r="A2" s="9" t="s">
        <v>19</v>
      </c>
      <c r="B2" s="9" t="s">
        <v>20</v>
      </c>
      <c r="C2" s="10" t="s">
        <v>21</v>
      </c>
      <c r="D2" s="11"/>
      <c r="E2" s="12">
        <v>10458.774867242491</v>
      </c>
      <c r="F2" s="12">
        <v>100</v>
      </c>
      <c r="G2" s="13">
        <f>VLOOKUP(B2,$L$2:$N$122,3,FALSE)</f>
        <v>765.90093720982077</v>
      </c>
      <c r="L2" t="s">
        <v>20</v>
      </c>
      <c r="M2" t="s">
        <v>21</v>
      </c>
      <c r="N2">
        <v>765.90093720982077</v>
      </c>
      <c r="O2">
        <v>444.21098624293262</v>
      </c>
      <c r="P2" t="s">
        <v>20</v>
      </c>
      <c r="Q2">
        <v>1520.33015374405</v>
      </c>
      <c r="R2">
        <v>1128.3402250249462</v>
      </c>
      <c r="T2" s="14" t="s">
        <v>19</v>
      </c>
      <c r="U2" s="15" t="s">
        <v>22</v>
      </c>
      <c r="V2" s="15"/>
      <c r="W2" s="15"/>
      <c r="X2" s="15">
        <v>104349.64413197397</v>
      </c>
      <c r="Y2" s="16">
        <v>290729.34705098363</v>
      </c>
      <c r="Z2" s="17"/>
      <c r="AB2" t="s">
        <v>19</v>
      </c>
      <c r="AD2" s="14" t="s">
        <v>19</v>
      </c>
      <c r="AE2" s="15" t="s">
        <v>22</v>
      </c>
    </row>
    <row r="3" spans="1:40">
      <c r="A3" s="18"/>
      <c r="B3" s="18" t="s">
        <v>20</v>
      </c>
      <c r="C3" s="19" t="s">
        <v>23</v>
      </c>
      <c r="D3" s="20" t="s">
        <v>24</v>
      </c>
      <c r="E3" s="21">
        <v>10035.108759903724</v>
      </c>
      <c r="F3" s="21">
        <v>95.949180351269291</v>
      </c>
      <c r="L3" t="s">
        <v>25</v>
      </c>
      <c r="M3" t="s">
        <v>26</v>
      </c>
      <c r="N3">
        <v>2080.9967711540094</v>
      </c>
      <c r="O3">
        <v>1405.3571212967536</v>
      </c>
      <c r="P3" t="s">
        <v>25</v>
      </c>
      <c r="Q3">
        <v>4458.0412982282905</v>
      </c>
      <c r="R3">
        <v>3320.5905496196806</v>
      </c>
      <c r="T3" s="9" t="s">
        <v>19</v>
      </c>
      <c r="U3" s="9" t="s">
        <v>20</v>
      </c>
      <c r="V3" s="10" t="s">
        <v>21</v>
      </c>
      <c r="W3" s="11"/>
      <c r="X3" s="11">
        <f>VLOOKUP(U3,'[1]% SECCION_ECONOMIA 2022'!$C$81:$I$209,7,FALSE)</f>
        <v>2293.4968473362023</v>
      </c>
      <c r="Y3" s="12">
        <v>9298.8396443836882</v>
      </c>
      <c r="Z3" s="12">
        <v>100</v>
      </c>
      <c r="AA3" s="22">
        <f>X3/$X$2</f>
        <v>2.1978961849027024E-2</v>
      </c>
      <c r="AB3" t="s">
        <v>27</v>
      </c>
      <c r="AC3" t="str">
        <f>LEFT(AB3,4)</f>
        <v>1010</v>
      </c>
      <c r="AD3" s="75">
        <v>1010</v>
      </c>
      <c r="AE3" s="22" t="s">
        <v>21</v>
      </c>
      <c r="AF3" s="22">
        <f>AN3</f>
        <v>2.2185477476964508E-2</v>
      </c>
      <c r="AG3" s="22">
        <f>VLOOKUP(U3,Sheet1!$B$3:$I$129,8,FALSE)</f>
        <v>2.3077939153876428E-2</v>
      </c>
      <c r="AH3" s="71">
        <f>AG3</f>
        <v>2.3077939153876428E-2</v>
      </c>
      <c r="AI3" s="100">
        <f>AG3/AF3-1</f>
        <v>4.0227291832622303E-2</v>
      </c>
      <c r="AL3" s="75" t="s">
        <v>649</v>
      </c>
      <c r="AM3" s="22" t="s">
        <v>21</v>
      </c>
      <c r="AN3">
        <v>2.2185477476964508E-2</v>
      </c>
    </row>
    <row r="4" spans="1:40">
      <c r="A4" s="9" t="s">
        <v>19</v>
      </c>
      <c r="B4" s="9" t="s">
        <v>25</v>
      </c>
      <c r="C4" s="10" t="s">
        <v>26</v>
      </c>
      <c r="D4" s="11"/>
      <c r="E4" s="12">
        <v>2605.0246286796928</v>
      </c>
      <c r="F4" s="12">
        <v>100</v>
      </c>
      <c r="G4" s="13">
        <f>VLOOKUP(B4,$L$2:$N$122,3,FALSE)</f>
        <v>2080.9967711540094</v>
      </c>
      <c r="L4" t="s">
        <v>28</v>
      </c>
      <c r="M4" t="s">
        <v>29</v>
      </c>
      <c r="N4">
        <v>5985.6467383188874</v>
      </c>
      <c r="O4">
        <v>3899.5347869190541</v>
      </c>
      <c r="P4" t="s">
        <v>28</v>
      </c>
      <c r="Q4">
        <v>12936.486303296619</v>
      </c>
      <c r="R4">
        <v>9683.7800183365653</v>
      </c>
      <c r="T4" s="18"/>
      <c r="U4" s="18" t="s">
        <v>20</v>
      </c>
      <c r="V4" s="19" t="s">
        <v>23</v>
      </c>
      <c r="W4" s="20" t="s">
        <v>24</v>
      </c>
      <c r="X4" s="20"/>
      <c r="Y4" s="21">
        <v>8904.6478325257722</v>
      </c>
      <c r="Z4" s="21">
        <v>95.760849450759153</v>
      </c>
      <c r="AC4" t="str">
        <f>LEFT(AB4,4)</f>
        <v/>
      </c>
      <c r="AD4" s="76"/>
      <c r="AE4" s="69" t="s">
        <v>24</v>
      </c>
      <c r="AF4" s="29">
        <f>Z4*AF3/100</f>
        <v>2.1245001686648064E-2</v>
      </c>
      <c r="AG4" s="21">
        <f>VLOOKUP(V4,Sheet1!$C$4:$F$131,4,FALSE)</f>
        <v>95.949180351269291</v>
      </c>
      <c r="AH4" s="103">
        <f>AG4*AH3/100</f>
        <v>2.2143093460109085E-2</v>
      </c>
      <c r="AI4" s="100">
        <f>AH4/AF4-1</f>
        <v>4.227308553359399E-2</v>
      </c>
    </row>
    <row r="5" spans="1:40">
      <c r="A5" s="49"/>
      <c r="B5" s="49"/>
      <c r="C5" s="50"/>
      <c r="D5" s="51"/>
      <c r="E5" s="52"/>
      <c r="F5" s="52"/>
      <c r="G5" s="48"/>
      <c r="T5" s="30"/>
      <c r="U5" s="30"/>
      <c r="V5" s="31"/>
      <c r="W5" s="32"/>
      <c r="X5" s="32"/>
      <c r="Y5" s="33"/>
      <c r="Z5" s="33"/>
      <c r="AD5" s="104" t="s">
        <v>30</v>
      </c>
      <c r="AE5" s="105" t="s">
        <v>656</v>
      </c>
      <c r="AF5" s="106">
        <f>AF4/AF4*AF3</f>
        <v>2.2185477476964508E-2</v>
      </c>
      <c r="AG5" s="105"/>
      <c r="AH5" s="106">
        <f>AH4/AH4*AH3</f>
        <v>2.3077939153876428E-2</v>
      </c>
    </row>
    <row r="6" spans="1:40">
      <c r="A6" s="23"/>
      <c r="B6" s="23" t="s">
        <v>25</v>
      </c>
      <c r="C6" s="24" t="s">
        <v>31</v>
      </c>
      <c r="D6" s="25" t="s">
        <v>32</v>
      </c>
      <c r="E6" s="26">
        <v>2016.1159928184436</v>
      </c>
      <c r="F6" s="26">
        <v>77.393356309275035</v>
      </c>
      <c r="L6" t="s">
        <v>33</v>
      </c>
      <c r="M6" t="s">
        <v>34</v>
      </c>
      <c r="N6">
        <v>5629.069731451189</v>
      </c>
      <c r="O6">
        <v>3473.9102135362473</v>
      </c>
      <c r="P6" t="s">
        <v>33</v>
      </c>
      <c r="Q6">
        <v>10633.24960188697</v>
      </c>
      <c r="R6">
        <v>7007.7887730953444</v>
      </c>
      <c r="T6" s="9" t="s">
        <v>19</v>
      </c>
      <c r="U6" s="9" t="s">
        <v>25</v>
      </c>
      <c r="V6" s="10" t="s">
        <v>26</v>
      </c>
      <c r="W6" s="11"/>
      <c r="X6" s="11">
        <f>VLOOKUP(U6,'[1]% SECCION_ECONOMIA 2022'!$C$81:$I$209,7,FALSE)</f>
        <v>663.60340220959324</v>
      </c>
      <c r="Y6" s="12">
        <v>2340.48297879141</v>
      </c>
      <c r="Z6" s="12">
        <v>100</v>
      </c>
      <c r="AA6" s="22">
        <f>X6/$X$2</f>
        <v>6.3594218047386452E-3</v>
      </c>
      <c r="AB6" t="s">
        <v>35</v>
      </c>
      <c r="AC6" t="str">
        <f>LEFT(AB6,4)</f>
        <v>1010</v>
      </c>
      <c r="AD6" s="75" t="s">
        <v>649</v>
      </c>
      <c r="AE6" s="22" t="str">
        <f>V6</f>
        <v>Elaboración y conservación de carne de ganado porcino</v>
      </c>
      <c r="AF6" s="22">
        <f>AN6</f>
        <v>6.4191753088552678E-3</v>
      </c>
      <c r="AG6" s="22">
        <f>VLOOKUP(U6,Sheet1!$B$3:$I$129,8,FALSE)</f>
        <v>6.4742715548258035E-3</v>
      </c>
      <c r="AH6" s="71">
        <f>AG6</f>
        <v>6.4742715548258035E-3</v>
      </c>
      <c r="AI6" s="100">
        <f>AG6/AF6-1</f>
        <v>8.5830723293272015E-3</v>
      </c>
      <c r="AL6" s="75" t="s">
        <v>649</v>
      </c>
      <c r="AM6" s="22" t="s">
        <v>26</v>
      </c>
      <c r="AN6">
        <v>6.4191753088552678E-3</v>
      </c>
    </row>
    <row r="7" spans="1:40">
      <c r="A7" s="18"/>
      <c r="B7" s="18" t="s">
        <v>25</v>
      </c>
      <c r="C7" s="19" t="s">
        <v>36</v>
      </c>
      <c r="D7" s="20" t="s">
        <v>37</v>
      </c>
      <c r="E7" s="21">
        <v>252.08291996724296</v>
      </c>
      <c r="F7" s="21">
        <v>9.676796034554437</v>
      </c>
      <c r="L7" t="s">
        <v>38</v>
      </c>
      <c r="M7" t="s">
        <v>39</v>
      </c>
      <c r="N7">
        <v>4028.7624489067166</v>
      </c>
      <c r="O7">
        <v>4376.0591411001478</v>
      </c>
      <c r="P7" t="s">
        <v>38</v>
      </c>
      <c r="Q7">
        <v>13926.703018197051</v>
      </c>
      <c r="R7">
        <v>12985.048744801437</v>
      </c>
      <c r="T7" s="23"/>
      <c r="U7" s="23" t="s">
        <v>25</v>
      </c>
      <c r="V7" s="24" t="s">
        <v>31</v>
      </c>
      <c r="W7" s="25" t="s">
        <v>32</v>
      </c>
      <c r="X7" s="25"/>
      <c r="Y7" s="26">
        <v>1769.5300020838727</v>
      </c>
      <c r="Z7" s="26">
        <v>75.605335228612986</v>
      </c>
      <c r="AD7" s="76"/>
      <c r="AE7" s="69" t="s">
        <v>41</v>
      </c>
      <c r="AF7" s="29">
        <f>Z7*AF6/100</f>
        <v>4.8532390111723786E-3</v>
      </c>
      <c r="AG7" s="102">
        <f>VLOOKUP(V7,Sheet1!$C$4:$F$131,4,FALSE)</f>
        <v>77.393356309275035</v>
      </c>
      <c r="AH7" s="103">
        <f>AG7*AH6/100</f>
        <v>5.0106560528563751E-3</v>
      </c>
      <c r="AI7" s="100">
        <f>AH7/AF7-1</f>
        <v>3.2435460384624637E-2</v>
      </c>
    </row>
    <row r="8" spans="1:40">
      <c r="A8" s="30"/>
      <c r="B8" s="30"/>
      <c r="C8" s="31"/>
      <c r="D8" s="32"/>
      <c r="E8" s="33"/>
      <c r="F8" s="33"/>
      <c r="T8" s="18"/>
      <c r="U8" s="18"/>
      <c r="V8" s="19"/>
      <c r="W8" s="20"/>
      <c r="X8" s="20"/>
      <c r="Y8" s="21"/>
      <c r="Z8" s="21"/>
      <c r="AD8" s="104" t="s">
        <v>40</v>
      </c>
      <c r="AE8" s="105" t="s">
        <v>41</v>
      </c>
      <c r="AF8" s="106">
        <f>AF7/($AH$7+$AH$9)*$AH$6</f>
        <v>5.5739411044183384E-3</v>
      </c>
      <c r="AG8" s="105"/>
      <c r="AH8" s="106">
        <f>AH7/($AH$7+$AH$9)*$AH$6</f>
        <v>5.7547344502969309E-3</v>
      </c>
    </row>
    <row r="9" spans="1:40">
      <c r="A9" s="9" t="s">
        <v>19</v>
      </c>
      <c r="B9" s="9" t="s">
        <v>28</v>
      </c>
      <c r="C9" s="10" t="s">
        <v>29</v>
      </c>
      <c r="D9" s="11"/>
      <c r="E9" s="12">
        <v>15467.354112619556</v>
      </c>
      <c r="F9" s="12">
        <v>100</v>
      </c>
      <c r="G9" s="13">
        <f>VLOOKUP(B9,$L$2:$N$122,3,FALSE)</f>
        <v>5985.6467383188874</v>
      </c>
      <c r="L9" t="s">
        <v>42</v>
      </c>
      <c r="M9" t="s">
        <v>43</v>
      </c>
      <c r="N9">
        <v>4160.0958505202498</v>
      </c>
      <c r="O9">
        <v>3250.5094540344126</v>
      </c>
      <c r="P9" t="s">
        <v>42</v>
      </c>
      <c r="Q9">
        <v>11398.973025723832</v>
      </c>
      <c r="R9">
        <v>8637.0781450207214</v>
      </c>
      <c r="T9" s="18"/>
      <c r="U9" s="18" t="s">
        <v>25</v>
      </c>
      <c r="V9" s="19" t="s">
        <v>36</v>
      </c>
      <c r="W9" s="20" t="s">
        <v>37</v>
      </c>
      <c r="X9" s="20"/>
      <c r="Y9" s="21">
        <v>238.67365333890947</v>
      </c>
      <c r="Z9" s="21">
        <v>10.197623973414109</v>
      </c>
      <c r="AD9" s="76"/>
      <c r="AE9" s="69" t="s">
        <v>37</v>
      </c>
      <c r="AF9" s="29">
        <f>Z9*AF6/100</f>
        <v>6.54603360191304E-4</v>
      </c>
      <c r="AG9" s="102">
        <f>VLOOKUP(V9,Sheet1!$C$4:$F$131,4,FALSE)</f>
        <v>9.676796034554437</v>
      </c>
      <c r="AH9" s="103">
        <f>AG9*AH6/100</f>
        <v>6.2650205308366932E-4</v>
      </c>
      <c r="AI9" s="100">
        <f>AH9/AF9-1</f>
        <v>-4.2928754749169351E-2</v>
      </c>
    </row>
    <row r="10" spans="1:40">
      <c r="A10" s="44"/>
      <c r="B10" s="44"/>
      <c r="C10" s="45"/>
      <c r="D10" s="46"/>
      <c r="E10" s="47"/>
      <c r="F10" s="47"/>
      <c r="G10" s="48"/>
      <c r="T10" s="30"/>
      <c r="U10" s="30"/>
      <c r="V10" s="31"/>
      <c r="W10" s="32"/>
      <c r="X10" s="32"/>
      <c r="Y10" s="33"/>
      <c r="Z10" s="33"/>
      <c r="AD10" s="104" t="s">
        <v>658</v>
      </c>
      <c r="AE10" s="105" t="s">
        <v>657</v>
      </c>
      <c r="AF10" s="106">
        <f>AF9/($AH$7+$AH$9)*$AH$6</f>
        <v>7.5181143316064799E-4</v>
      </c>
      <c r="AG10" s="105"/>
      <c r="AH10" s="106">
        <f>AH9/($AH$7+$AH$9)*$AH$6</f>
        <v>7.1953710452887299E-4</v>
      </c>
    </row>
    <row r="11" spans="1:40">
      <c r="A11" s="18"/>
      <c r="B11" s="18" t="s">
        <v>28</v>
      </c>
      <c r="C11" s="19" t="s">
        <v>45</v>
      </c>
      <c r="D11" s="20" t="s">
        <v>46</v>
      </c>
      <c r="E11" s="21">
        <v>14776.508817615611</v>
      </c>
      <c r="F11" s="21">
        <v>95.53352635509718</v>
      </c>
      <c r="L11" t="s">
        <v>47</v>
      </c>
      <c r="M11" t="s">
        <v>48</v>
      </c>
      <c r="N11">
        <v>2724.879805186144</v>
      </c>
      <c r="O11">
        <v>1628.3915062721112</v>
      </c>
      <c r="P11" t="s">
        <v>47</v>
      </c>
      <c r="Q11">
        <v>7267.5921563897145</v>
      </c>
      <c r="R11">
        <v>5179.4897804587881</v>
      </c>
      <c r="T11" s="9" t="s">
        <v>19</v>
      </c>
      <c r="U11" s="9" t="s">
        <v>28</v>
      </c>
      <c r="V11" s="10" t="s">
        <v>29</v>
      </c>
      <c r="W11" s="11"/>
      <c r="X11" s="11">
        <f>VLOOKUP(U11,'[1]% SECCION_ECONOMIA 2022'!$C$81:$I$209,7,FALSE)</f>
        <v>3651.4040455195518</v>
      </c>
      <c r="Y11" s="12">
        <v>13487.919419543732</v>
      </c>
      <c r="Z11" s="12">
        <v>100</v>
      </c>
      <c r="AA11" s="22">
        <f>X11/$X$2</f>
        <v>3.4992012439462823E-2</v>
      </c>
      <c r="AB11" t="s">
        <v>49</v>
      </c>
      <c r="AC11" t="str">
        <f>LEFT(AB11,4)</f>
        <v>1010</v>
      </c>
      <c r="AD11" s="75" t="s">
        <v>649</v>
      </c>
      <c r="AE11" s="22" t="str">
        <f>V11</f>
        <v>Elaboración y conservación de carne de aves de corral</v>
      </c>
      <c r="AF11" s="22">
        <f>AN11</f>
        <v>3.5320799461860418E-2</v>
      </c>
      <c r="AG11" s="22">
        <f>VLOOKUP(U11,Sheet1!$B$3:$I$129,8,FALSE)</f>
        <v>3.5900515766176699E-2</v>
      </c>
      <c r="AH11" s="71">
        <f>AG11</f>
        <v>3.5900515766176699E-2</v>
      </c>
      <c r="AI11" s="100">
        <f>AG11/AF11-1</f>
        <v>1.6412887396341613E-2</v>
      </c>
      <c r="AL11" s="75" t="s">
        <v>649</v>
      </c>
      <c r="AM11" s="22" t="s">
        <v>29</v>
      </c>
      <c r="AN11">
        <v>3.5320799461860418E-2</v>
      </c>
    </row>
    <row r="12" spans="1:40">
      <c r="A12" s="9" t="s">
        <v>19</v>
      </c>
      <c r="B12" s="9" t="s">
        <v>33</v>
      </c>
      <c r="C12" s="10" t="s">
        <v>34</v>
      </c>
      <c r="D12" s="11"/>
      <c r="E12" s="12">
        <v>4078.4025906722313</v>
      </c>
      <c r="F12" s="12">
        <v>100</v>
      </c>
      <c r="G12" s="13">
        <f>VLOOKUP(B12,$L$2:$N$122,3,FALSE)</f>
        <v>5629.069731451189</v>
      </c>
      <c r="L12" t="s">
        <v>50</v>
      </c>
      <c r="M12" t="s">
        <v>51</v>
      </c>
      <c r="N12">
        <v>1049.29531600974</v>
      </c>
      <c r="O12">
        <v>1186.8928087752358</v>
      </c>
      <c r="P12" t="s">
        <v>50</v>
      </c>
      <c r="Q12">
        <v>4382.672487977964</v>
      </c>
      <c r="R12">
        <v>3887.7555471676301</v>
      </c>
      <c r="T12" s="18"/>
      <c r="U12" s="18" t="s">
        <v>28</v>
      </c>
      <c r="V12" s="19" t="s">
        <v>45</v>
      </c>
      <c r="W12" s="20" t="s">
        <v>46</v>
      </c>
      <c r="X12" s="20"/>
      <c r="Y12" s="21">
        <v>12872.662512351295</v>
      </c>
      <c r="Z12" s="21">
        <v>95.438459498053192</v>
      </c>
      <c r="AD12" s="76"/>
      <c r="AE12" s="69" t="s">
        <v>53</v>
      </c>
      <c r="AF12" s="29">
        <f>Z12*AF11/100</f>
        <v>3.3709626888796244E-2</v>
      </c>
      <c r="AG12" s="102">
        <f>VLOOKUP(V12,Sheet1!$C$4:$F$131,4,FALSE)</f>
        <v>95.53352635509718</v>
      </c>
      <c r="AH12" s="103">
        <f>AG12*AH11/100</f>
        <v>3.4297028691096236E-2</v>
      </c>
      <c r="AI12" s="100">
        <f>AH12/AF12-1</f>
        <v>1.7425342743713879E-2</v>
      </c>
    </row>
    <row r="13" spans="1:40">
      <c r="A13" s="44"/>
      <c r="B13" s="44"/>
      <c r="C13" s="45"/>
      <c r="D13" s="46"/>
      <c r="E13" s="47"/>
      <c r="F13" s="47"/>
      <c r="G13" s="48"/>
      <c r="T13" s="30"/>
      <c r="U13" s="30"/>
      <c r="V13" s="31"/>
      <c r="W13" s="32"/>
      <c r="X13" s="32"/>
      <c r="Y13" s="33"/>
      <c r="Z13" s="33"/>
      <c r="AD13" s="104" t="s">
        <v>52</v>
      </c>
      <c r="AE13" s="105" t="s">
        <v>53</v>
      </c>
      <c r="AF13" s="106">
        <f>AF12/AF12*AF11</f>
        <v>3.5320799461860418E-2</v>
      </c>
      <c r="AG13" s="105"/>
      <c r="AH13" s="106">
        <f>AH12/AH12*AH11</f>
        <v>3.5900515766176699E-2</v>
      </c>
    </row>
    <row r="14" spans="1:40">
      <c r="A14" s="44"/>
      <c r="B14" s="44"/>
      <c r="C14" s="45"/>
      <c r="D14" s="46"/>
      <c r="E14" s="47"/>
      <c r="F14" s="47"/>
      <c r="G14" s="48"/>
      <c r="T14" s="30"/>
      <c r="U14" s="30"/>
      <c r="V14" s="31"/>
      <c r="W14" s="32"/>
      <c r="X14" s="32"/>
      <c r="Y14" s="33"/>
      <c r="Z14" s="33"/>
      <c r="AD14" s="104">
        <v>21160</v>
      </c>
      <c r="AE14" s="105" t="s">
        <v>938</v>
      </c>
      <c r="AF14" s="106"/>
      <c r="AG14" s="105"/>
      <c r="AH14" s="106"/>
    </row>
    <row r="15" spans="1:40">
      <c r="A15" s="18"/>
      <c r="B15" s="18" t="s">
        <v>33</v>
      </c>
      <c r="C15" s="19" t="s">
        <v>36</v>
      </c>
      <c r="D15" s="20" t="s">
        <v>37</v>
      </c>
      <c r="E15" s="21">
        <v>3855.8572331740447</v>
      </c>
      <c r="F15" s="21">
        <v>94.543320514576635</v>
      </c>
      <c r="L15" t="s">
        <v>54</v>
      </c>
      <c r="M15" t="s">
        <v>55</v>
      </c>
      <c r="N15">
        <v>3733.6506540269165</v>
      </c>
      <c r="O15">
        <v>3835.9226093649413</v>
      </c>
      <c r="P15" t="s">
        <v>54</v>
      </c>
      <c r="Q15">
        <v>14340.218678954658</v>
      </c>
      <c r="R15">
        <v>12242.223371142585</v>
      </c>
      <c r="T15" s="9" t="s">
        <v>19</v>
      </c>
      <c r="U15" s="9" t="s">
        <v>33</v>
      </c>
      <c r="V15" s="10" t="s">
        <v>34</v>
      </c>
      <c r="W15" s="11"/>
      <c r="X15" s="11">
        <f>VLOOKUP(U15,'[1]% SECCION_ECONOMIA 2022'!$C$81:$I$209,7,FALSE)</f>
        <v>1198.4314170979824</v>
      </c>
      <c r="Y15" s="12">
        <v>3804.6624030937569</v>
      </c>
      <c r="Z15" s="12">
        <v>100</v>
      </c>
      <c r="AA15" s="22">
        <f>X15/$X$2</f>
        <v>1.1484767648869909E-2</v>
      </c>
      <c r="AB15" t="s">
        <v>56</v>
      </c>
      <c r="AC15" t="str">
        <f>LEFT(AB15,4)</f>
        <v>1010</v>
      </c>
      <c r="AD15" s="75" t="s">
        <v>649</v>
      </c>
      <c r="AE15" s="22" t="str">
        <f>V15</f>
        <v>Elaboración de productos cárnicos y elaboración de otros productos de origen animal n.c.p.</v>
      </c>
      <c r="AF15" s="22">
        <f>AN15</f>
        <v>1.1592679206249835E-2</v>
      </c>
      <c r="AG15" s="22">
        <f>VLOOKUP(U15,Sheet1!$B$3:$I$129,8,FALSE)</f>
        <v>1.1282919167569738E-2</v>
      </c>
      <c r="AH15" s="71">
        <f>AG15</f>
        <v>1.1282919167569738E-2</v>
      </c>
      <c r="AI15" s="100">
        <f>AG15/AF15-1</f>
        <v>-2.6720314878815876E-2</v>
      </c>
      <c r="AL15" s="75" t="s">
        <v>649</v>
      </c>
      <c r="AM15" s="22" t="s">
        <v>34</v>
      </c>
      <c r="AN15">
        <v>1.1592679206249835E-2</v>
      </c>
    </row>
    <row r="16" spans="1:40">
      <c r="A16" s="9" t="s">
        <v>19</v>
      </c>
      <c r="B16" s="9" t="s">
        <v>38</v>
      </c>
      <c r="C16" s="10" t="s">
        <v>39</v>
      </c>
      <c r="D16" s="27"/>
      <c r="E16" s="28">
        <v>1035.5424602904484</v>
      </c>
      <c r="F16" s="28">
        <v>100</v>
      </c>
      <c r="G16" s="13">
        <f>VLOOKUP(B16,$L$2:$N$122,3,FALSE)</f>
        <v>4028.7624489067166</v>
      </c>
      <c r="L16" t="s">
        <v>57</v>
      </c>
      <c r="M16" t="s">
        <v>58</v>
      </c>
      <c r="N16">
        <v>2833.2947533626711</v>
      </c>
      <c r="O16">
        <v>2639.95030577324</v>
      </c>
      <c r="P16" t="s">
        <v>57</v>
      </c>
      <c r="Q16">
        <v>8376.4913362690768</v>
      </c>
      <c r="R16">
        <v>7282.1212936731754</v>
      </c>
      <c r="T16" s="18"/>
      <c r="U16" s="18" t="s">
        <v>33</v>
      </c>
      <c r="V16" s="19" t="s">
        <v>36</v>
      </c>
      <c r="W16" s="20" t="s">
        <v>37</v>
      </c>
      <c r="X16" s="20"/>
      <c r="Y16" s="21">
        <v>3603.9197009061836</v>
      </c>
      <c r="Z16" s="21">
        <v>94.723770970471918</v>
      </c>
      <c r="AD16" s="76"/>
      <c r="AE16" s="69" t="str">
        <f>W16</f>
        <v>Carne y despojos de otros animales y conservas y preparados de carne</v>
      </c>
      <c r="AF16" s="29">
        <f>AF15*Z16/100</f>
        <v>1.0981022900669615E-2</v>
      </c>
      <c r="AG16" s="102">
        <f>Sheet1!F11</f>
        <v>94.543320514576635</v>
      </c>
      <c r="AH16" s="103">
        <f>AG16*AH15/100</f>
        <v>1.066724643199606E-2</v>
      </c>
      <c r="AI16" s="100">
        <f>AH16/AF16-1</f>
        <v>-2.8574429860666384E-2</v>
      </c>
    </row>
    <row r="17" spans="1:40">
      <c r="A17" s="49"/>
      <c r="B17" s="49"/>
      <c r="C17" s="50"/>
      <c r="D17" s="72"/>
      <c r="E17" s="53"/>
      <c r="F17" s="53"/>
      <c r="G17" s="48"/>
      <c r="T17" s="30"/>
      <c r="U17" s="30"/>
      <c r="V17" s="31"/>
      <c r="W17" s="32"/>
      <c r="X17" s="32"/>
      <c r="Y17" s="33"/>
      <c r="Z17" s="33"/>
      <c r="AD17" s="104" t="s">
        <v>59</v>
      </c>
      <c r="AE17" s="105" t="s">
        <v>60</v>
      </c>
      <c r="AF17" s="106">
        <f>AF16/AF16*AF15</f>
        <v>1.1592679206249835E-2</v>
      </c>
      <c r="AG17" s="105"/>
      <c r="AH17" s="106">
        <f>AH16/AH16*AH15</f>
        <v>1.1282919167569738E-2</v>
      </c>
    </row>
    <row r="18" spans="1:40">
      <c r="A18" s="23"/>
      <c r="B18" s="23" t="s">
        <v>38</v>
      </c>
      <c r="C18" s="24" t="s">
        <v>61</v>
      </c>
      <c r="D18" s="25" t="s">
        <v>62</v>
      </c>
      <c r="E18" s="26">
        <v>535.86857365048127</v>
      </c>
      <c r="F18" s="26">
        <v>51.747619648563827</v>
      </c>
      <c r="L18" t="s">
        <v>63</v>
      </c>
      <c r="M18" t="s">
        <v>64</v>
      </c>
      <c r="N18">
        <v>7713.4459698159008</v>
      </c>
      <c r="O18">
        <v>6923.9232935592354</v>
      </c>
      <c r="P18" t="s">
        <v>63</v>
      </c>
      <c r="Q18">
        <v>16131.452404454198</v>
      </c>
      <c r="R18">
        <v>14159.957442614428</v>
      </c>
      <c r="T18" s="9" t="s">
        <v>19</v>
      </c>
      <c r="U18" s="9" t="s">
        <v>38</v>
      </c>
      <c r="V18" s="10" t="s">
        <v>39</v>
      </c>
      <c r="W18" s="11"/>
      <c r="X18" s="11">
        <f>VLOOKUP(U18,'[1]% SECCION_ECONOMIA 2022'!$C$81:$I$209,7,FALSE)</f>
        <v>353.14674514522858</v>
      </c>
      <c r="Y18" s="12">
        <v>1491.6421119058491</v>
      </c>
      <c r="Z18" s="12">
        <v>100</v>
      </c>
      <c r="AA18" s="22">
        <f>X18/$X$2</f>
        <v>3.3842640105086878E-3</v>
      </c>
      <c r="AB18" t="s">
        <v>65</v>
      </c>
      <c r="AC18" t="str">
        <f>LEFT(AB18,4)</f>
        <v>1020</v>
      </c>
      <c r="AD18" s="75" t="s">
        <v>65</v>
      </c>
      <c r="AE18" s="22" t="str">
        <f>V18</f>
        <v>Elaboración y conservación de pescado, crustáceos y moluscos</v>
      </c>
      <c r="AF18" s="22">
        <f>AN18</f>
        <v>0</v>
      </c>
      <c r="AG18" s="22">
        <f>VLOOKUP(U18,Sheet1!$B$3:$I$129,8,FALSE)</f>
        <v>1.8055011302697183E-3</v>
      </c>
      <c r="AH18" s="71">
        <f>AG18</f>
        <v>1.8055011302697183E-3</v>
      </c>
      <c r="AI18" s="100" t="e">
        <f>AG18/AF18-1</f>
        <v>#DIV/0!</v>
      </c>
      <c r="AL18" s="75" t="s">
        <v>65</v>
      </c>
      <c r="AM18" s="111" t="s">
        <v>39</v>
      </c>
    </row>
    <row r="19" spans="1:40">
      <c r="A19" s="18"/>
      <c r="B19" s="18" t="s">
        <v>38</v>
      </c>
      <c r="C19" s="19" t="s">
        <v>66</v>
      </c>
      <c r="D19" s="20" t="s">
        <v>67</v>
      </c>
      <c r="E19" s="21">
        <v>496.99620792911037</v>
      </c>
      <c r="F19" s="21">
        <v>47.993802957119996</v>
      </c>
      <c r="L19" t="s">
        <v>68</v>
      </c>
      <c r="M19" t="s">
        <v>69</v>
      </c>
      <c r="N19">
        <v>1035.9503971494917</v>
      </c>
      <c r="O19">
        <v>972.96676556563943</v>
      </c>
      <c r="P19" t="s">
        <v>68</v>
      </c>
      <c r="Q19">
        <v>2937.5551725848591</v>
      </c>
      <c r="R19">
        <v>2615.224760092904</v>
      </c>
      <c r="T19" s="23"/>
      <c r="U19" s="23" t="s">
        <v>38</v>
      </c>
      <c r="V19" s="24" t="s">
        <v>61</v>
      </c>
      <c r="W19" s="25" t="s">
        <v>62</v>
      </c>
      <c r="X19" s="25"/>
      <c r="Y19" s="26">
        <v>745.05685835623672</v>
      </c>
      <c r="Z19" s="26">
        <v>49.94876803285532</v>
      </c>
      <c r="AD19" s="76"/>
      <c r="AE19" s="69" t="s">
        <v>71</v>
      </c>
      <c r="AF19" s="29">
        <f>Z19*AA18/100</f>
        <v>1.6903981802283907E-3</v>
      </c>
      <c r="AG19" s="102">
        <f>VLOOKUP(V19,Sheet1!$C$4:$F$131,4,FALSE)</f>
        <v>51.747619648563827</v>
      </c>
      <c r="AH19" s="103">
        <f>AG19*AH18/100</f>
        <v>9.3430385764249472E-4</v>
      </c>
      <c r="AI19" s="100">
        <f>AH19/AF19-1</f>
        <v>-0.44728770500908821</v>
      </c>
    </row>
    <row r="20" spans="1:40">
      <c r="A20" s="30"/>
      <c r="B20" s="30"/>
      <c r="C20" s="31"/>
      <c r="D20" s="32"/>
      <c r="E20" s="33"/>
      <c r="F20" s="33"/>
      <c r="T20" s="18"/>
      <c r="U20" s="18"/>
      <c r="V20" s="19"/>
      <c r="W20" s="20"/>
      <c r="X20" s="20"/>
      <c r="Y20" s="21"/>
      <c r="Z20" s="21"/>
      <c r="AD20" s="104" t="s">
        <v>70</v>
      </c>
      <c r="AE20" s="105" t="s">
        <v>71</v>
      </c>
      <c r="AF20" s="106">
        <f>(AF19/($AF$19+$AF$21)*$AF$18)</f>
        <v>0</v>
      </c>
      <c r="AG20" s="105"/>
      <c r="AH20" s="106">
        <f>(AH19/($AH$19+$AH$21)*$AH$18)</f>
        <v>9.3672601937527691E-4</v>
      </c>
    </row>
    <row r="21" spans="1:40">
      <c r="A21" s="9" t="s">
        <v>19</v>
      </c>
      <c r="B21" s="9" t="s">
        <v>42</v>
      </c>
      <c r="C21" s="10" t="s">
        <v>43</v>
      </c>
      <c r="D21" s="11"/>
      <c r="E21" s="12">
        <v>6290.546750713248</v>
      </c>
      <c r="F21" s="12">
        <v>100</v>
      </c>
      <c r="G21" s="13">
        <f>VLOOKUP(B21,$L$2:$N$122,3,FALSE)</f>
        <v>4160.0958505202498</v>
      </c>
      <c r="L21" t="s">
        <v>72</v>
      </c>
      <c r="M21" t="s">
        <v>73</v>
      </c>
      <c r="N21">
        <v>2026.4841053381883</v>
      </c>
      <c r="O21">
        <v>1277.2967262748975</v>
      </c>
      <c r="P21" t="s">
        <v>72</v>
      </c>
      <c r="Q21">
        <v>5287.0732023200053</v>
      </c>
      <c r="R21">
        <v>3701.5394346061294</v>
      </c>
      <c r="T21" s="18"/>
      <c r="U21" s="18" t="s">
        <v>38</v>
      </c>
      <c r="V21" s="19" t="s">
        <v>66</v>
      </c>
      <c r="W21" s="20" t="s">
        <v>67</v>
      </c>
      <c r="X21" s="20"/>
      <c r="Y21" s="21">
        <v>743.18318429215969</v>
      </c>
      <c r="Z21" s="21">
        <v>49.82315653066442</v>
      </c>
      <c r="AD21" s="76"/>
      <c r="AE21" s="69" t="s">
        <v>74</v>
      </c>
      <c r="AF21" s="29">
        <f>Z21*AF18/100</f>
        <v>0</v>
      </c>
      <c r="AG21" s="102">
        <f>VLOOKUP(V21,Sheet1!$C$4:$F$131,4,FALSE)</f>
        <v>47.993802957119996</v>
      </c>
      <c r="AH21" s="103">
        <f>AG21*AH18/100</f>
        <v>8.6652865485022307E-4</v>
      </c>
      <c r="AI21" s="100" t="e">
        <f>AH21/AF21-1</f>
        <v>#DIV/0!</v>
      </c>
    </row>
    <row r="22" spans="1:40">
      <c r="A22" s="49"/>
      <c r="B22" s="49"/>
      <c r="C22" s="50"/>
      <c r="D22" s="51"/>
      <c r="E22" s="52"/>
      <c r="F22" s="52"/>
      <c r="G22" s="48"/>
      <c r="T22" s="30"/>
      <c r="U22" s="30"/>
      <c r="V22" s="31"/>
      <c r="W22" s="32"/>
      <c r="X22" s="32"/>
      <c r="Y22" s="33"/>
      <c r="Z22" s="33"/>
      <c r="AD22" s="104" t="s">
        <v>659</v>
      </c>
      <c r="AE22" s="105" t="s">
        <v>660</v>
      </c>
      <c r="AF22" s="106">
        <f>(AF21/($AF$19+$AF$21)*$AF$18)</f>
        <v>0</v>
      </c>
      <c r="AG22" s="105"/>
      <c r="AH22" s="106">
        <f>(AH21/($AH$19+$AH$21)*$AH$18)</f>
        <v>8.6877511089444143E-4</v>
      </c>
    </row>
    <row r="23" spans="1:40">
      <c r="A23" s="23"/>
      <c r="B23" s="23" t="s">
        <v>42</v>
      </c>
      <c r="C23" s="24" t="s">
        <v>75</v>
      </c>
      <c r="D23" s="25" t="s">
        <v>76</v>
      </c>
      <c r="E23" s="26">
        <v>2120.4018352529865</v>
      </c>
      <c r="F23" s="26">
        <v>33.707750999745237</v>
      </c>
      <c r="L23" t="s">
        <v>77</v>
      </c>
      <c r="M23" t="s">
        <v>78</v>
      </c>
      <c r="N23">
        <v>2599.6730538096072</v>
      </c>
      <c r="O23">
        <v>1887.997028188327</v>
      </c>
      <c r="P23" t="s">
        <v>77</v>
      </c>
      <c r="Q23">
        <v>8977.2815823287692</v>
      </c>
      <c r="R23">
        <v>6610.9111914478053</v>
      </c>
      <c r="T23" s="9" t="s">
        <v>19</v>
      </c>
      <c r="U23" s="9" t="s">
        <v>42</v>
      </c>
      <c r="V23" s="10" t="s">
        <v>43</v>
      </c>
      <c r="W23" s="11"/>
      <c r="X23" s="11">
        <f>VLOOKUP(U23,'[1]% SECCION_ECONOMIA 2022'!$C$81:$I$209,7,FALSE)</f>
        <v>1683.6569498450417</v>
      </c>
      <c r="Y23" s="12">
        <v>5901.3351995864268</v>
      </c>
      <c r="Z23" s="12">
        <v>100</v>
      </c>
      <c r="AA23" s="22">
        <f>X23/$X$2</f>
        <v>1.6134764654450309E-2</v>
      </c>
      <c r="AB23" t="s">
        <v>79</v>
      </c>
      <c r="AC23" t="str">
        <f>LEFT(AB23,4)</f>
        <v>1030</v>
      </c>
      <c r="AD23" s="75" t="s">
        <v>79</v>
      </c>
      <c r="AE23" s="22" t="str">
        <f>V23</f>
        <v>Elaboración y conservación de frutas, legumbres y hortalizas</v>
      </c>
      <c r="AF23" s="22">
        <f>AN23</f>
        <v>1.6286367859238836E-2</v>
      </c>
      <c r="AG23" s="22">
        <f>VLOOKUP(U23,Sheet1!$B$3:$I$129,8,FALSE)</f>
        <v>1.5778527278083959E-2</v>
      </c>
      <c r="AH23" s="71">
        <f>AG23</f>
        <v>1.5778527278083959E-2</v>
      </c>
      <c r="AI23" s="100">
        <f>AG23/AF23-1</f>
        <v>-3.1181942195097401E-2</v>
      </c>
      <c r="AL23" s="75" t="s">
        <v>79</v>
      </c>
      <c r="AM23" s="22" t="s">
        <v>43</v>
      </c>
      <c r="AN23">
        <v>1.6286367859238836E-2</v>
      </c>
    </row>
    <row r="24" spans="1:40">
      <c r="A24" s="23"/>
      <c r="B24" s="23" t="s">
        <v>42</v>
      </c>
      <c r="C24" s="24" t="s">
        <v>80</v>
      </c>
      <c r="D24" s="25" t="s">
        <v>81</v>
      </c>
      <c r="E24" s="26">
        <v>1449.3081867202857</v>
      </c>
      <c r="F24" s="26">
        <v>23.039462929926675</v>
      </c>
      <c r="L24" t="s">
        <v>82</v>
      </c>
      <c r="M24" t="s">
        <v>83</v>
      </c>
      <c r="N24">
        <v>974.77201474931667</v>
      </c>
      <c r="O24">
        <v>1030.6753235957394</v>
      </c>
      <c r="P24" t="s">
        <v>82</v>
      </c>
      <c r="Q24">
        <v>2875.8252344252123</v>
      </c>
      <c r="R24">
        <v>2496.3435611846894</v>
      </c>
      <c r="T24" s="23"/>
      <c r="U24" s="23" t="s">
        <v>42</v>
      </c>
      <c r="V24" s="24" t="s">
        <v>75</v>
      </c>
      <c r="W24" s="25" t="s">
        <v>76</v>
      </c>
      <c r="X24" s="25"/>
      <c r="Y24" s="26">
        <v>1940.2444613754376</v>
      </c>
      <c r="Z24" s="26">
        <v>32.878058875750902</v>
      </c>
      <c r="AD24" s="77"/>
      <c r="AE24" s="68" t="s">
        <v>76</v>
      </c>
      <c r="AF24" s="29">
        <f>Z24*AF23/100</f>
        <v>5.3546416134819166E-3</v>
      </c>
      <c r="AG24" s="102">
        <f>VLOOKUP(V24,Sheet1!$C$4:$F$131,4,FALSE)</f>
        <v>33.707750999745237</v>
      </c>
      <c r="AH24" s="103">
        <f>AG24*AH23/100</f>
        <v>5.318586686323421E-3</v>
      </c>
      <c r="AI24" s="100">
        <f>AH24/AF24-1</f>
        <v>-6.7333968846237102E-3</v>
      </c>
    </row>
    <row r="25" spans="1:40">
      <c r="A25" s="23"/>
      <c r="B25" s="23"/>
      <c r="C25" s="24"/>
      <c r="D25" s="25"/>
      <c r="E25" s="26"/>
      <c r="F25" s="26"/>
      <c r="T25" s="23"/>
      <c r="U25" s="23"/>
      <c r="V25" s="24"/>
      <c r="W25" s="25"/>
      <c r="X25" s="25"/>
      <c r="Y25" s="26"/>
      <c r="Z25" s="26"/>
      <c r="AD25" s="104" t="s">
        <v>346</v>
      </c>
      <c r="AE25" s="105" t="s">
        <v>349</v>
      </c>
      <c r="AF25" s="106">
        <f>(AF24/($AF$24+$AF$28+$AF$32+$AF$39)*$AF$23)</f>
        <v>6.2123982311014158E-3</v>
      </c>
      <c r="AG25" s="105"/>
      <c r="AH25" s="106">
        <f>(AH24/($AH$24+$AH$28+$AH$32+$AH$39)*$AH$23)</f>
        <v>6.1545433847194466E-3</v>
      </c>
    </row>
    <row r="26" spans="1:40">
      <c r="A26" s="23"/>
      <c r="B26" s="23"/>
      <c r="C26" s="24"/>
      <c r="D26" s="25"/>
      <c r="E26" s="26"/>
      <c r="F26" s="26"/>
      <c r="T26" s="23"/>
      <c r="U26" s="23"/>
      <c r="V26" s="24"/>
      <c r="W26" s="25"/>
      <c r="X26" s="25"/>
      <c r="Y26" s="26"/>
      <c r="Z26" s="26"/>
      <c r="AD26" s="104" t="s">
        <v>347</v>
      </c>
      <c r="AE26" s="105" t="s">
        <v>350</v>
      </c>
      <c r="AF26" s="105"/>
      <c r="AG26" s="105"/>
      <c r="AH26" s="105"/>
    </row>
    <row r="27" spans="1:40">
      <c r="A27" s="23"/>
      <c r="B27" s="23"/>
      <c r="C27" s="24"/>
      <c r="D27" s="25"/>
      <c r="E27" s="26"/>
      <c r="F27" s="26"/>
      <c r="T27" s="23"/>
      <c r="U27" s="23"/>
      <c r="V27" s="24"/>
      <c r="W27" s="25"/>
      <c r="X27" s="25"/>
      <c r="Y27" s="26"/>
      <c r="Z27" s="26"/>
      <c r="AD27" s="104" t="s">
        <v>348</v>
      </c>
      <c r="AE27" s="105" t="s">
        <v>351</v>
      </c>
      <c r="AF27" s="105"/>
      <c r="AG27" s="105"/>
      <c r="AH27" s="105"/>
    </row>
    <row r="28" spans="1:40">
      <c r="A28" s="23"/>
      <c r="B28" s="23" t="s">
        <v>42</v>
      </c>
      <c r="C28" s="24" t="s">
        <v>84</v>
      </c>
      <c r="D28" s="25" t="s">
        <v>85</v>
      </c>
      <c r="E28" s="26">
        <v>1134.6379912797011</v>
      </c>
      <c r="F28" s="26">
        <v>18.037191936472791</v>
      </c>
      <c r="L28" t="s">
        <v>86</v>
      </c>
      <c r="M28" t="s">
        <v>87</v>
      </c>
      <c r="N28">
        <v>3265.1851949527272</v>
      </c>
      <c r="O28">
        <v>2073.0569480792356</v>
      </c>
      <c r="P28" t="s">
        <v>86</v>
      </c>
      <c r="Q28">
        <v>7866.4176404272966</v>
      </c>
      <c r="R28">
        <v>5264.2733906273788</v>
      </c>
      <c r="T28" s="23"/>
      <c r="U28" s="23" t="s">
        <v>42</v>
      </c>
      <c r="V28" s="24" t="s">
        <v>80</v>
      </c>
      <c r="W28" s="25" t="s">
        <v>81</v>
      </c>
      <c r="X28" s="25"/>
      <c r="Y28" s="26">
        <v>1392.5097715427228</v>
      </c>
      <c r="Z28" s="26">
        <v>23.596520523699649</v>
      </c>
      <c r="AD28" s="76"/>
      <c r="AE28" s="69" t="str">
        <f>W28</f>
        <v>Vegetales preparados o en conserva, legumbres y papas</v>
      </c>
      <c r="AF28" s="29">
        <f>Z28*AF$23/100</f>
        <v>3.8430161344705149E-3</v>
      </c>
      <c r="AG28" s="102">
        <f>VLOOKUP(V28,Sheet1!$C$4:$F$131,4,FALSE)</f>
        <v>23.039462929926675</v>
      </c>
      <c r="AH28" s="103">
        <f>AG28*AH23/100</f>
        <v>3.635287943122522E-3</v>
      </c>
      <c r="AI28" s="100">
        <f>AH28/AF28-1</f>
        <v>-5.4053426808371552E-2</v>
      </c>
    </row>
    <row r="29" spans="1:40">
      <c r="A29" s="18"/>
      <c r="B29" s="18"/>
      <c r="C29" s="19"/>
      <c r="D29" s="20"/>
      <c r="E29" s="21"/>
      <c r="F29" s="21"/>
      <c r="T29" s="23"/>
      <c r="U29" s="23"/>
      <c r="V29" s="24"/>
      <c r="W29" s="25"/>
      <c r="X29" s="25"/>
      <c r="Y29" s="26"/>
      <c r="Z29" s="26"/>
      <c r="AD29" s="104">
        <v>21311</v>
      </c>
      <c r="AE29" s="105" t="s">
        <v>88</v>
      </c>
      <c r="AF29" s="106">
        <f>(AF28/($AF$24+$AF$28+$AF$32+$AF$39)*$AF$23)</f>
        <v>4.4586264327696554E-3</v>
      </c>
      <c r="AG29" s="105"/>
      <c r="AH29" s="106">
        <f>(AH28/($AH$24+$AH$28+$AH$32+$AH$39)*$AH$23)</f>
        <v>4.2066696815204552E-3</v>
      </c>
    </row>
    <row r="30" spans="1:40">
      <c r="A30" s="18"/>
      <c r="B30" s="18"/>
      <c r="C30" s="19"/>
      <c r="D30" s="20"/>
      <c r="E30" s="21"/>
      <c r="F30" s="21"/>
      <c r="T30" s="23"/>
      <c r="U30" s="23"/>
      <c r="V30" s="24"/>
      <c r="W30" s="25"/>
      <c r="X30" s="25"/>
      <c r="Y30" s="26"/>
      <c r="Z30" s="26"/>
      <c r="AD30" s="104">
        <v>21395</v>
      </c>
      <c r="AE30" s="105" t="s">
        <v>89</v>
      </c>
      <c r="AF30" s="105"/>
      <c r="AG30" s="105"/>
      <c r="AH30" s="105"/>
    </row>
    <row r="31" spans="1:40">
      <c r="A31" s="18"/>
      <c r="B31" s="18"/>
      <c r="C31" s="19"/>
      <c r="D31" s="20"/>
      <c r="E31" s="21"/>
      <c r="F31" s="21"/>
      <c r="T31" s="23"/>
      <c r="U31" s="23"/>
      <c r="V31" s="24"/>
      <c r="W31" s="25"/>
      <c r="X31" s="25"/>
      <c r="Y31" s="26"/>
      <c r="Z31" s="26"/>
      <c r="AD31" s="104">
        <v>21399</v>
      </c>
      <c r="AE31" s="105" t="s">
        <v>90</v>
      </c>
      <c r="AF31" s="105"/>
      <c r="AG31" s="105"/>
      <c r="AH31" s="105"/>
    </row>
    <row r="32" spans="1:40">
      <c r="A32" s="18"/>
      <c r="B32" s="18" t="s">
        <v>42</v>
      </c>
      <c r="C32" s="19" t="s">
        <v>91</v>
      </c>
      <c r="D32" s="20" t="s">
        <v>92</v>
      </c>
      <c r="E32" s="21">
        <v>731.76903177516169</v>
      </c>
      <c r="F32" s="21">
        <v>11.632836711565504</v>
      </c>
      <c r="L32" t="s">
        <v>93</v>
      </c>
      <c r="M32" t="s">
        <v>94</v>
      </c>
      <c r="N32">
        <v>2797.5387191936261</v>
      </c>
      <c r="O32">
        <v>2555.9811045869837</v>
      </c>
      <c r="P32" t="s">
        <v>93</v>
      </c>
      <c r="Q32">
        <v>7377.2438715911121</v>
      </c>
      <c r="R32">
        <v>6103.8860789649279</v>
      </c>
      <c r="T32" s="23"/>
      <c r="U32" s="23" t="s">
        <v>42</v>
      </c>
      <c r="V32" s="24" t="s">
        <v>84</v>
      </c>
      <c r="W32" s="25" t="s">
        <v>85</v>
      </c>
      <c r="X32" s="25"/>
      <c r="Y32" s="26">
        <v>1083.1775736150867</v>
      </c>
      <c r="Z32" s="26">
        <v>18.354788145079389</v>
      </c>
      <c r="AD32" s="76"/>
      <c r="AE32" s="69" t="str">
        <f>W32</f>
        <v>Otras frutas y nueces preparadas y preservadas (excepto por azúcar)</v>
      </c>
      <c r="AF32" s="29">
        <f>Z32*AF$23/100</f>
        <v>2.9893283170915898E-3</v>
      </c>
      <c r="AG32" s="102">
        <f>VLOOKUP(V32,Sheet1!$C$4:$F$131,4,FALSE)</f>
        <v>18.037191936472791</v>
      </c>
      <c r="AH32" s="103">
        <f>AG32*AH23/100</f>
        <v>2.8460032498967198E-3</v>
      </c>
      <c r="AI32" s="100">
        <f>AH32/AF32-1</f>
        <v>-4.7945575725290457E-2</v>
      </c>
    </row>
    <row r="33" spans="1:40">
      <c r="A33" s="30"/>
      <c r="B33" s="30"/>
      <c r="C33" s="31"/>
      <c r="D33" s="32"/>
      <c r="E33" s="33"/>
      <c r="F33" s="33"/>
      <c r="T33" s="18"/>
      <c r="U33" s="18"/>
      <c r="V33" s="19"/>
      <c r="W33" s="20"/>
      <c r="X33" s="20"/>
      <c r="Y33" s="21"/>
      <c r="Z33" s="21"/>
      <c r="AD33" s="104" t="s">
        <v>334</v>
      </c>
      <c r="AE33" s="105" t="s">
        <v>335</v>
      </c>
      <c r="AF33" s="106">
        <f>(AF32/($AF$24+$AF$28+$AF$32+$AF$39)*$AF$23)</f>
        <v>3.4681869095633511E-3</v>
      </c>
      <c r="AG33" s="105"/>
      <c r="AH33" s="106">
        <f>(AH32/($AH$24+$AH$28+$AH$32+$AH$39)*$AH$23)</f>
        <v>3.2933280037690019E-3</v>
      </c>
    </row>
    <row r="34" spans="1:40">
      <c r="A34" s="30"/>
      <c r="B34" s="30"/>
      <c r="C34" s="31"/>
      <c r="D34" s="32"/>
      <c r="E34" s="33"/>
      <c r="F34" s="33"/>
      <c r="T34" s="18"/>
      <c r="U34" s="18"/>
      <c r="V34" s="19"/>
      <c r="W34" s="20"/>
      <c r="X34" s="20"/>
      <c r="Y34" s="21"/>
      <c r="Z34" s="21"/>
      <c r="AD34" s="104" t="s">
        <v>338</v>
      </c>
      <c r="AE34" s="105" t="s">
        <v>339</v>
      </c>
      <c r="AF34" s="105"/>
      <c r="AG34" s="105"/>
      <c r="AH34" s="105"/>
    </row>
    <row r="35" spans="1:40">
      <c r="A35" s="30"/>
      <c r="B35" s="30"/>
      <c r="C35" s="31"/>
      <c r="D35" s="32"/>
      <c r="E35" s="33"/>
      <c r="F35" s="33"/>
      <c r="T35" s="18"/>
      <c r="U35" s="18"/>
      <c r="V35" s="19"/>
      <c r="W35" s="20"/>
      <c r="X35" s="20"/>
      <c r="Y35" s="21"/>
      <c r="Z35" s="21"/>
      <c r="AD35" s="104" t="s">
        <v>336</v>
      </c>
      <c r="AE35" s="105" t="s">
        <v>337</v>
      </c>
      <c r="AF35" s="105"/>
      <c r="AG35" s="105"/>
      <c r="AH35" s="105"/>
    </row>
    <row r="36" spans="1:40">
      <c r="A36" s="30"/>
      <c r="B36" s="30"/>
      <c r="C36" s="31"/>
      <c r="D36" s="32"/>
      <c r="E36" s="33"/>
      <c r="F36" s="33"/>
      <c r="T36" s="18"/>
      <c r="U36" s="18"/>
      <c r="V36" s="19"/>
      <c r="W36" s="20"/>
      <c r="X36" s="20"/>
      <c r="Y36" s="21"/>
      <c r="Z36" s="21"/>
      <c r="AD36" s="104" t="s">
        <v>340</v>
      </c>
      <c r="AE36" s="105" t="s">
        <v>341</v>
      </c>
      <c r="AF36" s="105"/>
      <c r="AG36" s="105"/>
      <c r="AH36" s="105"/>
    </row>
    <row r="37" spans="1:40">
      <c r="A37" s="30"/>
      <c r="B37" s="30"/>
      <c r="C37" s="31"/>
      <c r="D37" s="32"/>
      <c r="E37" s="33"/>
      <c r="F37" s="33"/>
      <c r="T37" s="18"/>
      <c r="U37" s="18"/>
      <c r="V37" s="19"/>
      <c r="W37" s="20"/>
      <c r="X37" s="20"/>
      <c r="Y37" s="21"/>
      <c r="Z37" s="21"/>
      <c r="AD37" s="104" t="s">
        <v>342</v>
      </c>
      <c r="AE37" s="105" t="s">
        <v>343</v>
      </c>
      <c r="AF37" s="105"/>
      <c r="AG37" s="105"/>
      <c r="AH37" s="105"/>
    </row>
    <row r="38" spans="1:40">
      <c r="A38" s="30"/>
      <c r="B38" s="30"/>
      <c r="C38" s="31"/>
      <c r="D38" s="32"/>
      <c r="E38" s="33"/>
      <c r="F38" s="33"/>
      <c r="T38" s="18"/>
      <c r="U38" s="18"/>
      <c r="V38" s="19"/>
      <c r="W38" s="20"/>
      <c r="X38" s="20"/>
      <c r="Y38" s="21"/>
      <c r="Z38" s="21"/>
      <c r="AD38" s="104" t="s">
        <v>344</v>
      </c>
      <c r="AE38" s="105" t="s">
        <v>345</v>
      </c>
      <c r="AF38" s="105"/>
      <c r="AG38" s="105"/>
      <c r="AH38" s="105"/>
    </row>
    <row r="39" spans="1:40">
      <c r="A39" s="9" t="s">
        <v>19</v>
      </c>
      <c r="B39" s="9" t="s">
        <v>47</v>
      </c>
      <c r="C39" s="10" t="s">
        <v>48</v>
      </c>
      <c r="D39" s="11"/>
      <c r="E39" s="12">
        <v>15643.131228180451</v>
      </c>
      <c r="F39" s="12">
        <v>100</v>
      </c>
      <c r="G39" s="13">
        <f>VLOOKUP(B39,$L$2:$N$122,3,FALSE)</f>
        <v>2724.879805186144</v>
      </c>
      <c r="L39" t="s">
        <v>95</v>
      </c>
      <c r="M39" t="s">
        <v>96</v>
      </c>
      <c r="N39">
        <v>2201.8797171851224</v>
      </c>
      <c r="O39">
        <v>1938.7121088693382</v>
      </c>
      <c r="P39" t="s">
        <v>95</v>
      </c>
      <c r="Q39">
        <v>6160.5907210755067</v>
      </c>
      <c r="R39">
        <v>4844.2719664716542</v>
      </c>
      <c r="T39" s="18"/>
      <c r="U39" s="18" t="s">
        <v>42</v>
      </c>
      <c r="V39" s="19" t="s">
        <v>91</v>
      </c>
      <c r="W39" s="20" t="s">
        <v>92</v>
      </c>
      <c r="X39" s="20"/>
      <c r="Y39" s="21">
        <v>670.59578865742958</v>
      </c>
      <c r="Z39" s="21">
        <v>11.363458708538126</v>
      </c>
      <c r="AD39" s="76"/>
      <c r="AE39" s="69" t="str">
        <f>W39</f>
        <v>Bebidas no alcohólicas</v>
      </c>
      <c r="AF39" s="29">
        <f>Z39*AF$23/100</f>
        <v>1.8506946868052298E-3</v>
      </c>
      <c r="AG39" s="102">
        <f>VLOOKUP(V39,Sheet1!$C$4:$F$131,4,FALSE)</f>
        <v>11.632836711565504</v>
      </c>
      <c r="AH39" s="103">
        <f>AG39*AH23/100</f>
        <v>1.8354903137493281E-3</v>
      </c>
      <c r="AI39" s="100">
        <f>AH39/AF39-1</f>
        <v>-8.2154950593975595E-3</v>
      </c>
    </row>
    <row r="40" spans="1:40">
      <c r="A40" s="44"/>
      <c r="B40" s="44"/>
      <c r="C40" s="45"/>
      <c r="D40" s="46"/>
      <c r="E40" s="47"/>
      <c r="F40" s="47"/>
      <c r="G40" s="48"/>
      <c r="T40" s="30"/>
      <c r="U40" s="30"/>
      <c r="V40" s="31"/>
      <c r="W40" s="32"/>
      <c r="X40" s="32"/>
      <c r="Y40" s="33"/>
      <c r="Z40" s="33"/>
      <c r="AD40" s="104" t="s">
        <v>352</v>
      </c>
      <c r="AE40" s="105" t="s">
        <v>353</v>
      </c>
      <c r="AF40" s="106">
        <f>(AF39/($AF$24+$AF$28+$AF$32+$AF$39)*$AF$23)</f>
        <v>2.147156285804416E-3</v>
      </c>
      <c r="AG40" s="105"/>
      <c r="AH40" s="106">
        <f>(AH39/($AH$24+$AH$28+$AH$32+$AH$39)*$AH$23)</f>
        <v>2.1239862080750537E-3</v>
      </c>
    </row>
    <row r="41" spans="1:40">
      <c r="A41" s="44"/>
      <c r="B41" s="44"/>
      <c r="C41" s="45"/>
      <c r="D41" s="46"/>
      <c r="E41" s="47"/>
      <c r="F41" s="47"/>
      <c r="G41" s="48"/>
      <c r="T41" s="30"/>
      <c r="U41" s="30"/>
      <c r="V41" s="31"/>
      <c r="W41" s="32"/>
      <c r="X41" s="32"/>
      <c r="Y41" s="33"/>
      <c r="Z41" s="33"/>
      <c r="AD41" s="104" t="s">
        <v>354</v>
      </c>
      <c r="AE41" s="105" t="s">
        <v>355</v>
      </c>
      <c r="AF41" s="105"/>
      <c r="AG41" s="105"/>
      <c r="AH41" s="105"/>
    </row>
    <row r="42" spans="1:40">
      <c r="A42" s="18"/>
      <c r="B42" s="18" t="s">
        <v>47</v>
      </c>
      <c r="C42" s="19" t="s">
        <v>97</v>
      </c>
      <c r="D42" s="20" t="s">
        <v>98</v>
      </c>
      <c r="E42" s="21">
        <v>12582.036219753147</v>
      </c>
      <c r="F42" s="21">
        <v>80.431698975248196</v>
      </c>
      <c r="L42" t="s">
        <v>99</v>
      </c>
      <c r="M42" t="s">
        <v>100</v>
      </c>
      <c r="N42">
        <v>2593.1235523040641</v>
      </c>
      <c r="O42">
        <v>1949.1815818056873</v>
      </c>
      <c r="P42" t="s">
        <v>99</v>
      </c>
      <c r="Q42">
        <v>6585.0922849848557</v>
      </c>
      <c r="R42">
        <v>5302.0912515356549</v>
      </c>
      <c r="T42" s="9" t="s">
        <v>19</v>
      </c>
      <c r="U42" s="9" t="s">
        <v>47</v>
      </c>
      <c r="V42" s="10" t="s">
        <v>48</v>
      </c>
      <c r="W42" s="11"/>
      <c r="X42" s="11">
        <f>VLOOKUP(U42,'[1]% SECCION_ECONOMIA 2022'!$C$81:$I$209,7,FALSE)</f>
        <v>5881.5027195020648</v>
      </c>
      <c r="Y42" s="12">
        <v>15864.34442747215</v>
      </c>
      <c r="Z42" s="12">
        <v>100</v>
      </c>
      <c r="AA42" s="22">
        <f>X42/$X$2</f>
        <v>5.6363419045910315E-2</v>
      </c>
      <c r="AB42" t="s">
        <v>101</v>
      </c>
      <c r="AC42" t="str">
        <f>LEFT(AB42,4)</f>
        <v>1040</v>
      </c>
      <c r="AD42" s="75" t="s">
        <v>101</v>
      </c>
      <c r="AE42" s="22" t="str">
        <f>V42</f>
        <v>Elaboración de aceites y grasas de origen vegetal y animal</v>
      </c>
      <c r="AF42" s="22">
        <f>AN42</f>
        <v>5.6893013071184301E-2</v>
      </c>
      <c r="AG42" s="22">
        <f>VLOOKUP(U42,Sheet1!$B$3:$I$129,8,FALSE)</f>
        <v>5.2262228338387832E-2</v>
      </c>
      <c r="AH42" s="71">
        <f>AG42</f>
        <v>5.2262228338387832E-2</v>
      </c>
      <c r="AI42" s="100">
        <f>AG42/AF42-1</f>
        <v>-8.1394612146880818E-2</v>
      </c>
      <c r="AL42" s="75" t="s">
        <v>101</v>
      </c>
      <c r="AM42" s="22" t="s">
        <v>48</v>
      </c>
      <c r="AN42">
        <v>5.6893013071184301E-2</v>
      </c>
    </row>
    <row r="43" spans="1:40">
      <c r="A43" s="9" t="s">
        <v>19</v>
      </c>
      <c r="B43" s="9" t="s">
        <v>50</v>
      </c>
      <c r="C43" s="10" t="s">
        <v>51</v>
      </c>
      <c r="D43" s="11"/>
      <c r="E43" s="12">
        <v>5704.068465810009</v>
      </c>
      <c r="F43" s="12">
        <v>100</v>
      </c>
      <c r="G43" s="13">
        <f>VLOOKUP(B43,$L$2:$N$122,3,FALSE)</f>
        <v>1049.29531600974</v>
      </c>
      <c r="L43" t="s">
        <v>102</v>
      </c>
      <c r="M43" t="s">
        <v>103</v>
      </c>
      <c r="N43">
        <v>6307.2972528732407</v>
      </c>
      <c r="O43">
        <v>3548.4509220330769</v>
      </c>
      <c r="P43" t="s">
        <v>102</v>
      </c>
      <c r="Q43">
        <v>16764.058496540427</v>
      </c>
      <c r="R43">
        <v>11435.851539504027</v>
      </c>
      <c r="T43" s="18"/>
      <c r="U43" s="18" t="s">
        <v>47</v>
      </c>
      <c r="V43" s="19" t="s">
        <v>97</v>
      </c>
      <c r="W43" s="20" t="s">
        <v>98</v>
      </c>
      <c r="X43" s="20"/>
      <c r="Y43" s="21">
        <v>12982.824730678154</v>
      </c>
      <c r="Z43" s="21">
        <v>81.836503172459544</v>
      </c>
      <c r="AD43" s="76"/>
      <c r="AE43" s="69" t="str">
        <f>W43</f>
        <v>Aceites de origen vegetal</v>
      </c>
      <c r="AF43" s="29">
        <f>$Z43*AF42/100</f>
        <v>4.6559252446907562E-2</v>
      </c>
      <c r="AG43" s="102">
        <f>VLOOKUP(V43,Sheet1!$C$4:$F$131,4,FALSE)</f>
        <v>80.431698975248196</v>
      </c>
      <c r="AH43" s="103">
        <f>AG43*AH42/100</f>
        <v>4.2035398174888966E-2</v>
      </c>
      <c r="AI43" s="100">
        <f>AH43/AF43-1</f>
        <v>-9.7163378582532767E-2</v>
      </c>
    </row>
    <row r="44" spans="1:40">
      <c r="A44" s="49"/>
      <c r="B44" s="49"/>
      <c r="C44" s="50"/>
      <c r="D44" s="51"/>
      <c r="E44" s="52"/>
      <c r="F44" s="52"/>
      <c r="G44" s="48"/>
      <c r="T44" s="30"/>
      <c r="U44" s="30"/>
      <c r="V44" s="31"/>
      <c r="W44" s="32"/>
      <c r="X44" s="32"/>
      <c r="Y44" s="33"/>
      <c r="Z44" s="33"/>
      <c r="AD44" s="104" t="s">
        <v>356</v>
      </c>
      <c r="AE44" s="105" t="s">
        <v>360</v>
      </c>
      <c r="AF44" s="105"/>
      <c r="AG44" s="105"/>
      <c r="AH44" s="106">
        <f>AH43/$AH$43*$AH$42</f>
        <v>5.2262228338387832E-2</v>
      </c>
    </row>
    <row r="45" spans="1:40">
      <c r="A45" s="49"/>
      <c r="B45" s="49"/>
      <c r="C45" s="50"/>
      <c r="D45" s="51"/>
      <c r="E45" s="52"/>
      <c r="F45" s="52"/>
      <c r="G45" s="48"/>
      <c r="T45" s="30"/>
      <c r="U45" s="30"/>
      <c r="V45" s="31"/>
      <c r="W45" s="32"/>
      <c r="X45" s="32"/>
      <c r="Y45" s="33"/>
      <c r="Z45" s="33"/>
      <c r="AD45" s="74" t="s">
        <v>357</v>
      </c>
      <c r="AE45" t="s">
        <v>361</v>
      </c>
    </row>
    <row r="46" spans="1:40">
      <c r="A46" s="49"/>
      <c r="B46" s="49"/>
      <c r="C46" s="50"/>
      <c r="D46" s="51"/>
      <c r="E46" s="52"/>
      <c r="F46" s="52"/>
      <c r="G46" s="48"/>
      <c r="T46" s="30"/>
      <c r="U46" s="30"/>
      <c r="V46" s="31"/>
      <c r="W46" s="32"/>
      <c r="X46" s="32"/>
      <c r="Y46" s="33"/>
      <c r="Z46" s="33"/>
      <c r="AD46" s="74" t="s">
        <v>358</v>
      </c>
      <c r="AE46" t="s">
        <v>362</v>
      </c>
    </row>
    <row r="47" spans="1:40">
      <c r="A47" s="49"/>
      <c r="B47" s="49"/>
      <c r="C47" s="50"/>
      <c r="D47" s="51"/>
      <c r="E47" s="52"/>
      <c r="F47" s="52"/>
      <c r="G47" s="48"/>
      <c r="T47" s="30"/>
      <c r="U47" s="30"/>
      <c r="V47" s="31"/>
      <c r="W47" s="32"/>
      <c r="X47" s="32"/>
      <c r="Y47" s="33"/>
      <c r="Z47" s="33"/>
      <c r="AD47" s="74" t="s">
        <v>359</v>
      </c>
      <c r="AE47" t="s">
        <v>363</v>
      </c>
    </row>
    <row r="48" spans="1:40">
      <c r="A48" s="23"/>
      <c r="B48" s="23" t="s">
        <v>50</v>
      </c>
      <c r="C48" s="24" t="s">
        <v>104</v>
      </c>
      <c r="D48" s="25" t="s">
        <v>105</v>
      </c>
      <c r="E48" s="26">
        <v>3833.6388060677555</v>
      </c>
      <c r="F48" s="26">
        <v>67.208849771815593</v>
      </c>
      <c r="L48" t="s">
        <v>106</v>
      </c>
      <c r="M48" t="s">
        <v>107</v>
      </c>
      <c r="N48">
        <v>498.44563923866065</v>
      </c>
      <c r="O48">
        <v>353.90975866617492</v>
      </c>
      <c r="P48" t="s">
        <v>106</v>
      </c>
      <c r="Q48">
        <v>1306.7459380271307</v>
      </c>
      <c r="R48">
        <v>1022.1865201204145</v>
      </c>
      <c r="T48" s="9" t="s">
        <v>19</v>
      </c>
      <c r="U48" s="9" t="s">
        <v>50</v>
      </c>
      <c r="V48" s="10" t="s">
        <v>51</v>
      </c>
      <c r="W48" s="11"/>
      <c r="X48" s="11">
        <f>VLOOKUP(U48,'[1]% SECCION_ECONOMIA 2022'!$C$81:$I$209,7,FALSE)</f>
        <v>2004.8728096294944</v>
      </c>
      <c r="Y48" s="12">
        <v>4950.6646427537808</v>
      </c>
      <c r="Z48" s="12">
        <v>100</v>
      </c>
      <c r="AA48" s="22">
        <f>X48/$X$2</f>
        <v>1.9213029678317586E-2</v>
      </c>
      <c r="AB48" t="s">
        <v>108</v>
      </c>
      <c r="AC48" t="str">
        <f>LEFT(AB48,4)</f>
        <v>1050</v>
      </c>
      <c r="AD48" s="75" t="s">
        <v>108</v>
      </c>
      <c r="AE48" s="22" t="str">
        <f>V48</f>
        <v>Elaboración de productos lácteos</v>
      </c>
      <c r="AF48" s="22">
        <f>AN48</f>
        <v>1.9393556443678659E-2</v>
      </c>
      <c r="AG48" s="22">
        <f>VLOOKUP(U48,Sheet1!$B$3:$I$129,8,FALSE)</f>
        <v>2.1160641328307996E-2</v>
      </c>
      <c r="AH48" s="71">
        <f>AG48</f>
        <v>2.1160641328307996E-2</v>
      </c>
      <c r="AI48" s="100">
        <f>AG48/AF48-1</f>
        <v>9.111711355063612E-2</v>
      </c>
      <c r="AL48" s="75" t="s">
        <v>108</v>
      </c>
      <c r="AM48" s="22" t="s">
        <v>51</v>
      </c>
      <c r="AN48">
        <v>1.9393556443678659E-2</v>
      </c>
    </row>
    <row r="49" spans="1:40">
      <c r="A49" s="18"/>
      <c r="B49" s="18" t="s">
        <v>50</v>
      </c>
      <c r="C49" s="19" t="s">
        <v>109</v>
      </c>
      <c r="D49" s="20" t="s">
        <v>110</v>
      </c>
      <c r="E49" s="21">
        <v>1815.5238904066593</v>
      </c>
      <c r="F49" s="21">
        <v>31.828578168176758</v>
      </c>
      <c r="L49" t="s">
        <v>111</v>
      </c>
      <c r="M49" t="s">
        <v>112</v>
      </c>
      <c r="N49">
        <v>5444.9937426938186</v>
      </c>
      <c r="O49">
        <v>4998.4167613614691</v>
      </c>
      <c r="P49" t="s">
        <v>111</v>
      </c>
      <c r="Q49">
        <v>12573.944132778439</v>
      </c>
      <c r="R49">
        <v>11168.637777282062</v>
      </c>
      <c r="T49" s="23"/>
      <c r="U49" s="23" t="s">
        <v>50</v>
      </c>
      <c r="V49" s="24" t="s">
        <v>104</v>
      </c>
      <c r="W49" s="25" t="s">
        <v>105</v>
      </c>
      <c r="X49" s="25"/>
      <c r="Y49" s="26">
        <v>3340.5071829020808</v>
      </c>
      <c r="Z49" s="26">
        <v>67.475933515139928</v>
      </c>
      <c r="AD49" s="76"/>
      <c r="AE49" s="69" t="str">
        <f>W49</f>
        <v>Otros productos lácteos n.c.p.</v>
      </c>
      <c r="AF49" s="29">
        <f>$Z49*AF48/100</f>
        <v>1.3085983252157747E-2</v>
      </c>
      <c r="AG49" s="102">
        <f>VLOOKUP(V49,Sheet1!$C$4:$F$131,4,FALSE)</f>
        <v>67.208849771815593</v>
      </c>
      <c r="AH49" s="103">
        <f>AG49*AH$48/100</f>
        <v>1.4221823641095246E-2</v>
      </c>
      <c r="AI49" s="100">
        <f>AH49/AF49-1</f>
        <v>8.6798245653433082E-2</v>
      </c>
    </row>
    <row r="50" spans="1:40">
      <c r="A50" s="30"/>
      <c r="B50" s="30"/>
      <c r="C50" s="31"/>
      <c r="D50" s="32"/>
      <c r="E50" s="33"/>
      <c r="F50" s="33"/>
      <c r="T50" s="18"/>
      <c r="U50" s="18"/>
      <c r="V50" s="19"/>
      <c r="W50" s="20"/>
      <c r="X50" s="20"/>
      <c r="Y50" s="21"/>
      <c r="Z50" s="21"/>
      <c r="AD50" s="104" t="s">
        <v>368</v>
      </c>
      <c r="AE50" s="105" t="s">
        <v>372</v>
      </c>
      <c r="AF50" s="105"/>
      <c r="AG50" s="105"/>
      <c r="AH50" s="106">
        <f>AH49/($AH$49+$AH$55)*$AH$48</f>
        <v>1.4360049465049084E-2</v>
      </c>
    </row>
    <row r="51" spans="1:40">
      <c r="A51" s="30"/>
      <c r="B51" s="30"/>
      <c r="C51" s="31"/>
      <c r="D51" s="32"/>
      <c r="E51" s="33"/>
      <c r="F51" s="33"/>
      <c r="T51" s="18"/>
      <c r="U51" s="18"/>
      <c r="V51" s="19"/>
      <c r="W51" s="20"/>
      <c r="X51" s="20"/>
      <c r="Y51" s="21"/>
      <c r="Z51" s="21"/>
      <c r="AD51" s="104" t="s">
        <v>369</v>
      </c>
      <c r="AE51" s="105" t="s">
        <v>373</v>
      </c>
      <c r="AF51" s="105"/>
      <c r="AG51" s="105"/>
    </row>
    <row r="52" spans="1:40">
      <c r="A52" s="30"/>
      <c r="B52" s="30"/>
      <c r="C52" s="31"/>
      <c r="D52" s="32"/>
      <c r="E52" s="33"/>
      <c r="F52" s="33"/>
      <c r="T52" s="18"/>
      <c r="U52" s="18"/>
      <c r="V52" s="19"/>
      <c r="W52" s="20"/>
      <c r="X52" s="20"/>
      <c r="Y52" s="21"/>
      <c r="Z52" s="21"/>
      <c r="AD52" s="104" t="s">
        <v>385</v>
      </c>
      <c r="AE52" s="105" t="s">
        <v>386</v>
      </c>
      <c r="AF52" s="105"/>
      <c r="AG52" s="105"/>
    </row>
    <row r="53" spans="1:40">
      <c r="A53" s="30"/>
      <c r="B53" s="30"/>
      <c r="C53" s="31"/>
      <c r="D53" s="32"/>
      <c r="E53" s="33"/>
      <c r="F53" s="33"/>
      <c r="T53" s="18"/>
      <c r="U53" s="18"/>
      <c r="V53" s="19"/>
      <c r="W53" s="20"/>
      <c r="X53" s="20"/>
      <c r="Y53" s="21"/>
      <c r="Z53" s="21"/>
      <c r="AD53" s="104" t="s">
        <v>370</v>
      </c>
      <c r="AE53" s="105" t="s">
        <v>374</v>
      </c>
      <c r="AF53" s="105"/>
      <c r="AG53" s="105"/>
    </row>
    <row r="54" spans="1:40">
      <c r="A54" s="30"/>
      <c r="B54" s="30"/>
      <c r="C54" s="31"/>
      <c r="D54" s="32"/>
      <c r="E54" s="33"/>
      <c r="F54" s="33"/>
      <c r="T54" s="18"/>
      <c r="U54" s="18"/>
      <c r="V54" s="19"/>
      <c r="W54" s="20"/>
      <c r="X54" s="20"/>
      <c r="Y54" s="21"/>
      <c r="Z54" s="21"/>
      <c r="AD54" s="104" t="s">
        <v>371</v>
      </c>
      <c r="AE54" s="105" t="s">
        <v>375</v>
      </c>
      <c r="AF54" s="105"/>
      <c r="AG54" s="105"/>
    </row>
    <row r="55" spans="1:40">
      <c r="A55" s="9" t="s">
        <v>19</v>
      </c>
      <c r="B55" s="9" t="s">
        <v>54</v>
      </c>
      <c r="C55" s="10" t="s">
        <v>55</v>
      </c>
      <c r="D55" s="11"/>
      <c r="E55" s="12">
        <v>4078.0056753200997</v>
      </c>
      <c r="F55" s="12">
        <v>100</v>
      </c>
      <c r="G55" s="13">
        <f>VLOOKUP(B55,$L$2:$N$122,3,FALSE)</f>
        <v>3733.6506540269165</v>
      </c>
      <c r="L55" t="s">
        <v>113</v>
      </c>
      <c r="M55" t="s">
        <v>114</v>
      </c>
      <c r="N55">
        <v>1144.4534768966082</v>
      </c>
      <c r="O55">
        <v>851.4341163841857</v>
      </c>
      <c r="P55" t="s">
        <v>113</v>
      </c>
      <c r="Q55">
        <v>2509.4652770015487</v>
      </c>
      <c r="R55">
        <v>1989.1877668877255</v>
      </c>
      <c r="T55" s="18"/>
      <c r="U55" s="18" t="s">
        <v>50</v>
      </c>
      <c r="V55" s="19" t="s">
        <v>109</v>
      </c>
      <c r="W55" s="20" t="s">
        <v>110</v>
      </c>
      <c r="X55" s="20"/>
      <c r="Y55" s="21">
        <v>1560.7598771317005</v>
      </c>
      <c r="Z55" s="21">
        <v>31.526269496281937</v>
      </c>
      <c r="AD55" s="76"/>
      <c r="AE55" s="69" t="str">
        <f>W55</f>
        <v>Leche líquida y crema procesadas</v>
      </c>
      <c r="AF55" s="29">
        <f>$Z55*AF48/100</f>
        <v>6.1140648693476848E-3</v>
      </c>
      <c r="AG55" s="102">
        <f>VLOOKUP(V55,Sheet1!$C$4:$F$131,4,FALSE)</f>
        <v>31.828578168176758</v>
      </c>
      <c r="AH55" s="103">
        <f>AG55*AH$48/100</f>
        <v>6.7351312660680271E-3</v>
      </c>
      <c r="AI55" s="100">
        <f>AH55/AF55-1</f>
        <v>0.10157994885432164</v>
      </c>
    </row>
    <row r="56" spans="1:40">
      <c r="A56" s="44"/>
      <c r="B56" s="44"/>
      <c r="C56" s="45"/>
      <c r="D56" s="46"/>
      <c r="E56" s="47"/>
      <c r="F56" s="47"/>
      <c r="G56" s="48"/>
      <c r="T56" s="30"/>
      <c r="U56" s="30"/>
      <c r="V56" s="31"/>
      <c r="W56" s="32"/>
      <c r="X56" s="32"/>
      <c r="Y56" s="33"/>
      <c r="Z56" s="33"/>
      <c r="AD56" s="104" t="s">
        <v>364</v>
      </c>
      <c r="AE56" s="105" t="s">
        <v>366</v>
      </c>
      <c r="AF56" s="105"/>
      <c r="AG56" s="105"/>
      <c r="AH56" s="106">
        <f>AH55/($AH$49+$AH$55)*$AH$48</f>
        <v>6.8005918632589105E-3</v>
      </c>
    </row>
    <row r="57" spans="1:40">
      <c r="A57" s="44"/>
      <c r="B57" s="44"/>
      <c r="C57" s="45"/>
      <c r="D57" s="46"/>
      <c r="E57" s="47"/>
      <c r="F57" s="47"/>
      <c r="G57" s="48"/>
      <c r="T57" s="30"/>
      <c r="U57" s="30"/>
      <c r="V57" s="31"/>
      <c r="W57" s="32"/>
      <c r="X57" s="32"/>
      <c r="Y57" s="33"/>
      <c r="Z57" s="33"/>
      <c r="AD57" s="104" t="s">
        <v>365</v>
      </c>
      <c r="AE57" s="105" t="s">
        <v>367</v>
      </c>
      <c r="AF57" s="105"/>
      <c r="AG57" s="105"/>
    </row>
    <row r="58" spans="1:40">
      <c r="A58" s="18"/>
      <c r="B58" s="18" t="s">
        <v>54</v>
      </c>
      <c r="C58" s="19" t="s">
        <v>115</v>
      </c>
      <c r="D58" s="20" t="s">
        <v>116</v>
      </c>
      <c r="E58" s="21">
        <v>3554.1725279777665</v>
      </c>
      <c r="F58" s="21">
        <v>87.154673410276331</v>
      </c>
      <c r="L58" t="s">
        <v>117</v>
      </c>
      <c r="M58" t="s">
        <v>118</v>
      </c>
      <c r="N58">
        <v>6842.7117945950213</v>
      </c>
      <c r="O58">
        <v>4194.9073822386063</v>
      </c>
      <c r="P58" t="s">
        <v>117</v>
      </c>
      <c r="Q58">
        <v>22618.360106032233</v>
      </c>
      <c r="R58">
        <v>14444.072274311726</v>
      </c>
      <c r="T58" s="9" t="s">
        <v>19</v>
      </c>
      <c r="U58" s="9" t="s">
        <v>54</v>
      </c>
      <c r="V58" s="10" t="s">
        <v>55</v>
      </c>
      <c r="W58" s="11"/>
      <c r="X58" s="11">
        <f>VLOOKUP(U58,'[1]% SECCION_ECONOMIA 2022'!$C$81:$I$209,7,FALSE)</f>
        <v>974.22887396186206</v>
      </c>
      <c r="Y58" s="12">
        <v>3945.6109500818343</v>
      </c>
      <c r="Z58" s="12">
        <v>100</v>
      </c>
      <c r="AA58" s="22">
        <f>X58/$X$2</f>
        <v>9.336197378207893E-3</v>
      </c>
      <c r="AB58" t="s">
        <v>119</v>
      </c>
      <c r="AC58" t="str">
        <f>LEFT(AB58,4)</f>
        <v>1061</v>
      </c>
      <c r="AD58" s="75" t="s">
        <v>650</v>
      </c>
      <c r="AE58" s="22" t="str">
        <f>V58</f>
        <v>Elaboración de harina de trigo</v>
      </c>
      <c r="AF58" s="22">
        <f>AN58</f>
        <v>9.4239208420071746E-3</v>
      </c>
      <c r="AG58" s="22">
        <f>VLOOKUP(U58,Sheet1!$B$3:$I$129,8,FALSE)</f>
        <v>1.181411719066513E-2</v>
      </c>
      <c r="AH58" s="71">
        <f>AG58</f>
        <v>1.181411719066513E-2</v>
      </c>
      <c r="AI58" s="100">
        <f>AG58/AF58-1</f>
        <v>0.25363077520808996</v>
      </c>
      <c r="AL58" s="75" t="s">
        <v>650</v>
      </c>
      <c r="AM58" s="22" t="s">
        <v>55</v>
      </c>
      <c r="AN58">
        <v>9.4239208420071746E-3</v>
      </c>
    </row>
    <row r="59" spans="1:40">
      <c r="A59" s="9" t="s">
        <v>19</v>
      </c>
      <c r="B59" s="9" t="s">
        <v>57</v>
      </c>
      <c r="C59" s="10" t="s">
        <v>58</v>
      </c>
      <c r="D59" s="11"/>
      <c r="E59" s="28">
        <v>1694.4916509209452</v>
      </c>
      <c r="F59" s="28">
        <v>100</v>
      </c>
      <c r="G59" s="13">
        <f>VLOOKUP(B59,$L$2:$N$122,3,FALSE)</f>
        <v>2833.2947533626711</v>
      </c>
      <c r="L59" t="s">
        <v>120</v>
      </c>
      <c r="M59" t="s">
        <v>121</v>
      </c>
      <c r="N59">
        <v>2897.0784764291157</v>
      </c>
      <c r="O59">
        <v>3153.8338056358389</v>
      </c>
      <c r="P59" t="s">
        <v>120</v>
      </c>
      <c r="Q59">
        <v>9182.8126362122694</v>
      </c>
      <c r="R59">
        <v>7925.7278027130124</v>
      </c>
      <c r="T59" s="18"/>
      <c r="U59" s="18" t="s">
        <v>54</v>
      </c>
      <c r="V59" s="19" t="s">
        <v>115</v>
      </c>
      <c r="W59" s="20" t="s">
        <v>116</v>
      </c>
      <c r="X59" s="20"/>
      <c r="Y59" s="21">
        <v>3450.3240786082069</v>
      </c>
      <c r="Z59" s="21">
        <v>87.447143731610069</v>
      </c>
      <c r="AD59" s="76"/>
      <c r="AE59" s="69" t="str">
        <f>W59</f>
        <v>Harina de trigo</v>
      </c>
      <c r="AF59" s="29">
        <f>$Z59*AF58/100</f>
        <v>8.2409496038631722E-3</v>
      </c>
      <c r="AG59" s="102">
        <f>VLOOKUP(V59,Sheet1!$C$4:$F$131,4,FALSE)</f>
        <v>87.154673410276331</v>
      </c>
      <c r="AH59" s="103">
        <f>AG59*AH58/100</f>
        <v>1.0296555253831507E-2</v>
      </c>
      <c r="AI59" s="100">
        <f>AH59/AF59-1</f>
        <v>0.2494379590678133</v>
      </c>
    </row>
    <row r="60" spans="1:40">
      <c r="A60" s="49"/>
      <c r="B60" s="49"/>
      <c r="C60" s="50"/>
      <c r="D60" s="51"/>
      <c r="E60" s="53"/>
      <c r="F60" s="53"/>
      <c r="G60" s="48"/>
      <c r="T60" s="30"/>
      <c r="U60" s="30"/>
      <c r="V60" s="31"/>
      <c r="W60" s="32"/>
      <c r="X60" s="32"/>
      <c r="Y60" s="33"/>
      <c r="Z60" s="33"/>
      <c r="AD60" s="74" t="s">
        <v>376</v>
      </c>
      <c r="AE60" t="s">
        <v>379</v>
      </c>
      <c r="AH60" s="106">
        <f>AH59/AH59*AH58</f>
        <v>1.181411719066513E-2</v>
      </c>
    </row>
    <row r="61" spans="1:40">
      <c r="A61" s="23"/>
      <c r="B61" s="23" t="s">
        <v>57</v>
      </c>
      <c r="C61" s="24" t="s">
        <v>122</v>
      </c>
      <c r="D61" s="25" t="s">
        <v>123</v>
      </c>
      <c r="E61" s="26">
        <v>1085.1922089046941</v>
      </c>
      <c r="F61" s="26">
        <v>64.042346170009111</v>
      </c>
      <c r="L61" t="s">
        <v>124</v>
      </c>
      <c r="M61" t="s">
        <v>125</v>
      </c>
      <c r="N61">
        <v>3485.7240607585518</v>
      </c>
      <c r="O61">
        <v>2599.5473390641514</v>
      </c>
      <c r="P61" t="s">
        <v>124</v>
      </c>
      <c r="Q61">
        <v>9233.8962785053245</v>
      </c>
      <c r="R61">
        <v>6798.6616257612395</v>
      </c>
      <c r="T61" s="9" t="s">
        <v>19</v>
      </c>
      <c r="U61" s="9" t="s">
        <v>57</v>
      </c>
      <c r="V61" s="10" t="s">
        <v>58</v>
      </c>
      <c r="W61" s="11"/>
      <c r="X61" s="11">
        <f>VLOOKUP(U61,'[1]% SECCION_ECONOMIA 2022'!$C$81:$I$209,7,FALSE)</f>
        <v>765.900937209821</v>
      </c>
      <c r="Y61" s="12">
        <v>1520.33015374405</v>
      </c>
      <c r="Z61" s="12">
        <v>100</v>
      </c>
      <c r="AA61" s="22">
        <f>X61/$X$2</f>
        <v>7.3397561015269425E-3</v>
      </c>
      <c r="AB61" t="s">
        <v>126</v>
      </c>
      <c r="AC61" t="str">
        <f>LEFT(AB61,4)</f>
        <v>1061</v>
      </c>
      <c r="AD61" s="75" t="s">
        <v>650</v>
      </c>
      <c r="AE61" s="22" t="str">
        <f>V61</f>
        <v>Beneficios de arroz</v>
      </c>
      <c r="AF61" s="22">
        <f>AN61</f>
        <v>7.4087208847877098E-3</v>
      </c>
      <c r="AG61" s="22">
        <f>VLOOKUP(U61,Sheet1!$B$3:$I$129,8,FALSE)</f>
        <v>7.7423414388978345E-3</v>
      </c>
      <c r="AH61" s="71">
        <f>AG61</f>
        <v>7.7423414388978345E-3</v>
      </c>
      <c r="AI61" s="100">
        <f>AG61/AF61-1</f>
        <v>4.5030789970120999E-2</v>
      </c>
      <c r="AL61" s="75" t="s">
        <v>650</v>
      </c>
      <c r="AM61" s="22" t="s">
        <v>58</v>
      </c>
      <c r="AN61">
        <v>7.4087208847877098E-3</v>
      </c>
    </row>
    <row r="62" spans="1:40">
      <c r="A62" s="18"/>
      <c r="B62" s="18" t="s">
        <v>57</v>
      </c>
      <c r="C62" s="19" t="s">
        <v>127</v>
      </c>
      <c r="D62" s="20" t="s">
        <v>128</v>
      </c>
      <c r="E62" s="21">
        <v>424.9214807025545</v>
      </c>
      <c r="F62" s="21">
        <v>25.076634663358327</v>
      </c>
      <c r="L62" t="s">
        <v>129</v>
      </c>
      <c r="M62" t="s">
        <v>130</v>
      </c>
      <c r="N62">
        <v>824.95014759750165</v>
      </c>
      <c r="O62">
        <v>794.56315321087754</v>
      </c>
      <c r="P62" t="s">
        <v>129</v>
      </c>
      <c r="Q62">
        <v>2015.2722334135103</v>
      </c>
      <c r="R62">
        <v>1702.1295582927853</v>
      </c>
      <c r="T62" s="23"/>
      <c r="U62" s="23" t="s">
        <v>57</v>
      </c>
      <c r="V62" s="24" t="s">
        <v>122</v>
      </c>
      <c r="W62" s="25" t="s">
        <v>123</v>
      </c>
      <c r="X62" s="25"/>
      <c r="Y62" s="26">
        <v>967.800986927233</v>
      </c>
      <c r="Z62" s="26">
        <v>63.657290789363884</v>
      </c>
      <c r="AD62" s="76"/>
      <c r="AE62" s="69" t="str">
        <f>W62</f>
        <v>Arroz sin cáscara</v>
      </c>
      <c r="AF62" s="29">
        <f>$Z62*AF61/100</f>
        <v>4.7161909974016451E-3</v>
      </c>
      <c r="AG62" s="102">
        <f>VLOOKUP(V62,Sheet1!$C$4:$F$131,4,FALSE)</f>
        <v>64.042346170009111</v>
      </c>
      <c r="AH62" s="103">
        <f>AG62*AH$61/100</f>
        <v>4.9583771059630152E-3</v>
      </c>
      <c r="AI62" s="100">
        <f>AH62/AF62-1</f>
        <v>5.135205692364897E-2</v>
      </c>
    </row>
    <row r="63" spans="1:40">
      <c r="A63" s="30"/>
      <c r="B63" s="30"/>
      <c r="C63" s="31"/>
      <c r="D63" s="32"/>
      <c r="E63" s="33"/>
      <c r="F63" s="33"/>
      <c r="T63" s="18"/>
      <c r="U63" s="18"/>
      <c r="V63" s="19"/>
      <c r="W63" s="20"/>
      <c r="X63" s="20"/>
      <c r="Y63" s="21"/>
      <c r="Z63" s="21"/>
      <c r="AD63" s="104" t="s">
        <v>383</v>
      </c>
      <c r="AE63" s="105" t="s">
        <v>384</v>
      </c>
      <c r="AF63" s="105"/>
      <c r="AG63" s="105"/>
      <c r="AH63" s="106">
        <f>AH62/($AH$62+$AH$64)*$AH$61</f>
        <v>5.5637722285380165E-3</v>
      </c>
    </row>
    <row r="64" spans="1:40">
      <c r="A64" s="9" t="s">
        <v>19</v>
      </c>
      <c r="B64" s="9" t="s">
        <v>63</v>
      </c>
      <c r="C64" s="10" t="s">
        <v>64</v>
      </c>
      <c r="D64" s="11"/>
      <c r="E64" s="12">
        <v>2608.9432924843286</v>
      </c>
      <c r="F64" s="12">
        <v>100</v>
      </c>
      <c r="G64" s="13">
        <f>VLOOKUP(B64,$L$2:$N$122,3,FALSE)</f>
        <v>7713.4459698159008</v>
      </c>
      <c r="L64" t="s">
        <v>131</v>
      </c>
      <c r="M64" t="s">
        <v>132</v>
      </c>
      <c r="N64">
        <v>12093.331056389025</v>
      </c>
      <c r="O64">
        <v>12733.837611057517</v>
      </c>
      <c r="P64" t="s">
        <v>131</v>
      </c>
      <c r="Q64">
        <v>20749.447699276145</v>
      </c>
      <c r="R64">
        <v>19926.1782853654</v>
      </c>
      <c r="T64" s="18"/>
      <c r="U64" s="18" t="s">
        <v>57</v>
      </c>
      <c r="V64" s="19" t="s">
        <v>127</v>
      </c>
      <c r="W64" s="20" t="s">
        <v>128</v>
      </c>
      <c r="X64" s="20"/>
      <c r="Y64" s="21">
        <v>386.30193112372262</v>
      </c>
      <c r="Z64" s="21">
        <v>25.409081716388631</v>
      </c>
      <c r="AD64" s="76"/>
      <c r="AE64" s="69" t="str">
        <f>W64</f>
        <v>Otros productos de molinería n.c.p.</v>
      </c>
      <c r="AF64" s="29">
        <f>$Z64*AF61/100</f>
        <v>1.88248794375486E-3</v>
      </c>
      <c r="AG64" s="102">
        <f>VLOOKUP(V64,Sheet1!$C$4:$F$131,4,FALSE)</f>
        <v>25.076634663358327</v>
      </c>
      <c r="AH64" s="103">
        <f>AG64*AH$61/100</f>
        <v>1.9415186770222101E-3</v>
      </c>
      <c r="AI64" s="100">
        <f>AH64/AF64-1</f>
        <v>3.135782806109555E-2</v>
      </c>
    </row>
    <row r="65" spans="1:40">
      <c r="A65" s="49"/>
      <c r="B65" s="49"/>
      <c r="C65" s="50"/>
      <c r="D65" s="51"/>
      <c r="E65" s="52"/>
      <c r="F65" s="52"/>
      <c r="G65" s="48"/>
      <c r="T65" s="30"/>
      <c r="U65" s="30"/>
      <c r="V65" s="31"/>
      <c r="W65" s="32"/>
      <c r="X65" s="32"/>
      <c r="Y65" s="33"/>
      <c r="Z65" s="33"/>
      <c r="AD65" s="104" t="s">
        <v>378</v>
      </c>
      <c r="AE65" s="105" t="s">
        <v>382</v>
      </c>
      <c r="AF65" s="105"/>
      <c r="AG65" s="105"/>
      <c r="AH65" s="106">
        <f>AH64/($AH$62+$AH$64)*$AH$61</f>
        <v>2.1785692103598177E-3</v>
      </c>
    </row>
    <row r="66" spans="1:40">
      <c r="A66" s="23"/>
      <c r="B66" s="23" t="s">
        <v>63</v>
      </c>
      <c r="C66" s="24" t="s">
        <v>127</v>
      </c>
      <c r="D66" s="25" t="s">
        <v>128</v>
      </c>
      <c r="E66" s="26">
        <v>1992.2121579562902</v>
      </c>
      <c r="F66" s="26">
        <v>76.36088387567959</v>
      </c>
      <c r="L66" t="s">
        <v>133</v>
      </c>
      <c r="M66" t="s">
        <v>134</v>
      </c>
      <c r="N66">
        <v>4926.3287901064441</v>
      </c>
      <c r="O66">
        <v>3514.9755755277465</v>
      </c>
      <c r="P66" t="s">
        <v>133</v>
      </c>
      <c r="Q66">
        <v>7099.2328415768106</v>
      </c>
      <c r="R66">
        <v>5404.0962225765552</v>
      </c>
      <c r="T66" s="9" t="s">
        <v>19</v>
      </c>
      <c r="U66" s="9" t="s">
        <v>63</v>
      </c>
      <c r="V66" s="10" t="s">
        <v>64</v>
      </c>
      <c r="W66" s="11"/>
      <c r="X66" s="11">
        <f>VLOOKUP(U66,'[1]% SECCION_ECONOMIA 2022'!$C$81:$I$209,7,FALSE)</f>
        <v>899.59999198330388</v>
      </c>
      <c r="Y66" s="12">
        <v>2366.5371905558918</v>
      </c>
      <c r="Z66" s="12">
        <v>100</v>
      </c>
      <c r="AA66" s="22">
        <f>X66/$X$2</f>
        <v>8.6210163864627477E-3</v>
      </c>
      <c r="AB66" t="s">
        <v>135</v>
      </c>
      <c r="AC66" t="str">
        <f>LEFT(AB66,4)</f>
        <v>1061</v>
      </c>
      <c r="AD66" s="75" t="s">
        <v>650</v>
      </c>
      <c r="AE66" s="22" t="str">
        <f>V66</f>
        <v>Elaboración de otros productos de molinería n.c.p. por cuenta propia</v>
      </c>
      <c r="AF66" s="22">
        <f>AN66</f>
        <v>8.7020199672842181E-3</v>
      </c>
      <c r="AG66" s="22">
        <f>VLOOKUP(U66,Sheet1!$B$3:$I$129,8,FALSE)</f>
        <v>9.6381247187045712E-3</v>
      </c>
      <c r="AH66" s="71">
        <f>AG66</f>
        <v>9.6381247187045712E-3</v>
      </c>
      <c r="AI66" s="100">
        <f>AG66/AF66-1</f>
        <v>0.10757327091177649</v>
      </c>
      <c r="AL66" s="75" t="s">
        <v>650</v>
      </c>
      <c r="AM66" s="22" t="s">
        <v>64</v>
      </c>
      <c r="AN66">
        <v>8.7020199672842181E-3</v>
      </c>
    </row>
    <row r="67" spans="1:40">
      <c r="A67" s="18"/>
      <c r="B67" s="18" t="s">
        <v>63</v>
      </c>
      <c r="C67" s="19" t="s">
        <v>136</v>
      </c>
      <c r="D67" s="20" t="s">
        <v>137</v>
      </c>
      <c r="E67" s="21">
        <v>367.22096486407884</v>
      </c>
      <c r="F67" s="21">
        <v>14.075467486086982</v>
      </c>
      <c r="L67" t="s">
        <v>138</v>
      </c>
      <c r="M67" t="s">
        <v>139</v>
      </c>
      <c r="N67">
        <v>18547.442704415578</v>
      </c>
      <c r="O67">
        <v>11009.920180574671</v>
      </c>
      <c r="P67" t="s">
        <v>138</v>
      </c>
      <c r="Q67">
        <v>38374.52923030599</v>
      </c>
      <c r="R67">
        <v>25703.892535383256</v>
      </c>
      <c r="T67" s="23"/>
      <c r="U67" s="23" t="s">
        <v>63</v>
      </c>
      <c r="V67" s="24" t="s">
        <v>127</v>
      </c>
      <c r="W67" s="25" t="s">
        <v>128</v>
      </c>
      <c r="X67" s="25"/>
      <c r="Y67" s="26">
        <v>1827.8865945315831</v>
      </c>
      <c r="Z67" s="26">
        <v>77.238870440156433</v>
      </c>
      <c r="AD67" s="76"/>
      <c r="AE67" s="69" t="str">
        <f>W67</f>
        <v>Otros productos de molinería n.c.p.</v>
      </c>
      <c r="AF67" s="29">
        <f>$Z67*AF66/100</f>
        <v>6.7213419282072008E-3</v>
      </c>
      <c r="AG67" s="102">
        <f>VLOOKUP(V67,Sheet1!$C$4:$F$131,4,FALSE)</f>
        <v>25.076634663358327</v>
      </c>
      <c r="AH67" s="103">
        <f>AG67*AH$66/100</f>
        <v>2.4169173241083779E-3</v>
      </c>
      <c r="AI67" s="100">
        <f>AH67/AF67-1</f>
        <v>-0.64041149075225701</v>
      </c>
    </row>
    <row r="68" spans="1:40">
      <c r="A68" s="30"/>
      <c r="B68" s="30"/>
      <c r="C68" s="31"/>
      <c r="D68" s="32"/>
      <c r="E68" s="33"/>
      <c r="F68" s="33"/>
      <c r="T68" s="18"/>
      <c r="U68" s="18"/>
      <c r="V68" s="19"/>
      <c r="W68" s="20"/>
      <c r="X68" s="20"/>
      <c r="Y68" s="21"/>
      <c r="Z68" s="21"/>
      <c r="AD68" s="104" t="s">
        <v>377</v>
      </c>
      <c r="AE68" s="105" t="s">
        <v>380</v>
      </c>
      <c r="AF68" s="106">
        <f>AF67/(AF$67+AF$70)*AF$66</f>
        <v>8.7020199672842181E-3</v>
      </c>
      <c r="AG68" s="105"/>
      <c r="AH68" s="106">
        <f>AH67/(AH$67+AH$70)*AH$66</f>
        <v>6.173148289414696E-3</v>
      </c>
    </row>
    <row r="69" spans="1:40">
      <c r="A69" s="30"/>
      <c r="B69" s="30"/>
      <c r="C69" s="31"/>
      <c r="D69" s="32"/>
      <c r="E69" s="33"/>
      <c r="F69" s="33"/>
      <c r="T69" s="18"/>
      <c r="U69" s="18"/>
      <c r="V69" s="19"/>
      <c r="W69" s="20"/>
      <c r="X69" s="20"/>
      <c r="Y69" s="21"/>
      <c r="Z69" s="21"/>
      <c r="AD69" s="104" t="s">
        <v>378</v>
      </c>
      <c r="AE69" s="105" t="s">
        <v>381</v>
      </c>
      <c r="AF69" s="105"/>
      <c r="AG69" s="105"/>
    </row>
    <row r="70" spans="1:40">
      <c r="A70" s="9" t="s">
        <v>19</v>
      </c>
      <c r="B70" s="9" t="s">
        <v>68</v>
      </c>
      <c r="C70" s="10" t="s">
        <v>69</v>
      </c>
      <c r="D70" s="11"/>
      <c r="E70" s="12">
        <v>2299.0025424509777</v>
      </c>
      <c r="F70" s="12">
        <v>100</v>
      </c>
      <c r="G70" s="13">
        <f>VLOOKUP(B70,$L$2:$N$122,3,FALSE)</f>
        <v>1035.9503971494917</v>
      </c>
      <c r="L70" t="s">
        <v>140</v>
      </c>
      <c r="M70" t="s">
        <v>141</v>
      </c>
      <c r="N70">
        <v>10920.516163037231</v>
      </c>
      <c r="O70">
        <v>7549.4446322820559</v>
      </c>
      <c r="P70" t="s">
        <v>140</v>
      </c>
      <c r="Q70">
        <v>27490.035870215805</v>
      </c>
      <c r="R70">
        <v>19875.635877900717</v>
      </c>
      <c r="T70" s="18"/>
      <c r="U70" s="18" t="s">
        <v>63</v>
      </c>
      <c r="V70" s="19" t="s">
        <v>136</v>
      </c>
      <c r="W70" s="20" t="s">
        <v>137</v>
      </c>
      <c r="X70" s="20"/>
      <c r="Y70" s="21">
        <v>319.81572529933311</v>
      </c>
      <c r="Z70" s="21">
        <v>0</v>
      </c>
      <c r="AD70" s="76"/>
      <c r="AE70" s="69" t="str">
        <f>W70</f>
        <v>Productos alimenticios n.c.p.</v>
      </c>
      <c r="AF70" s="29">
        <f>$Z70*AF66/100</f>
        <v>0</v>
      </c>
      <c r="AG70" s="102">
        <f>VLOOKUP(V70,Sheet1!$C$4:$F$131,4,FALSE)</f>
        <v>14.075467486086982</v>
      </c>
      <c r="AH70" s="103">
        <f>AG70*AH$66/100</f>
        <v>1.3566111110497744E-3</v>
      </c>
      <c r="AI70" s="100" t="e">
        <f>AH70/AF70-1</f>
        <v>#DIV/0!</v>
      </c>
    </row>
    <row r="71" spans="1:40">
      <c r="A71" s="44"/>
      <c r="B71" s="44"/>
      <c r="C71" s="45"/>
      <c r="D71" s="46"/>
      <c r="E71" s="47"/>
      <c r="F71" s="47"/>
      <c r="G71" s="48"/>
      <c r="T71" s="30"/>
      <c r="U71" s="30"/>
      <c r="V71" s="31"/>
      <c r="W71" s="32"/>
      <c r="X71" s="32"/>
      <c r="Y71" s="33"/>
      <c r="Z71" s="33"/>
      <c r="AD71" s="104" t="s">
        <v>387</v>
      </c>
      <c r="AE71" s="105" t="s">
        <v>394</v>
      </c>
      <c r="AF71" s="106">
        <f>AF70/(AF$67+AF$70)*AF$66</f>
        <v>0</v>
      </c>
      <c r="AG71" s="105"/>
      <c r="AH71" s="106">
        <f>AH70/($AH$67+$AH$70)*$AH$66</f>
        <v>3.4649764292898743E-3</v>
      </c>
    </row>
    <row r="72" spans="1:40">
      <c r="A72" s="44"/>
      <c r="B72" s="44"/>
      <c r="C72" s="45"/>
      <c r="D72" s="46"/>
      <c r="E72" s="47"/>
      <c r="F72" s="47"/>
      <c r="G72" s="48"/>
      <c r="T72" s="30"/>
      <c r="U72" s="30"/>
      <c r="V72" s="31"/>
      <c r="W72" s="32"/>
      <c r="X72" s="32"/>
      <c r="Y72" s="33"/>
      <c r="Z72" s="33"/>
      <c r="AD72" s="104" t="s">
        <v>388</v>
      </c>
      <c r="AE72" s="105" t="s">
        <v>395</v>
      </c>
      <c r="AF72" s="105"/>
      <c r="AG72" s="105"/>
    </row>
    <row r="73" spans="1:40">
      <c r="A73" s="44"/>
      <c r="B73" s="44"/>
      <c r="C73" s="45"/>
      <c r="D73" s="46"/>
      <c r="E73" s="47"/>
      <c r="F73" s="47"/>
      <c r="G73" s="48"/>
      <c r="T73" s="30"/>
      <c r="U73" s="30"/>
      <c r="V73" s="31"/>
      <c r="W73" s="32"/>
      <c r="X73" s="32"/>
      <c r="Y73" s="33"/>
      <c r="Z73" s="33"/>
      <c r="AD73" s="104" t="s">
        <v>389</v>
      </c>
      <c r="AE73" s="105" t="s">
        <v>396</v>
      </c>
      <c r="AF73" s="105"/>
      <c r="AG73" s="105"/>
    </row>
    <row r="74" spans="1:40">
      <c r="A74" s="44"/>
      <c r="B74" s="44"/>
      <c r="C74" s="45"/>
      <c r="D74" s="46"/>
      <c r="E74" s="47"/>
      <c r="F74" s="47"/>
      <c r="G74" s="48"/>
      <c r="T74" s="30"/>
      <c r="U74" s="30"/>
      <c r="V74" s="31"/>
      <c r="W74" s="32"/>
      <c r="X74" s="32"/>
      <c r="Y74" s="33"/>
      <c r="Z74" s="33"/>
      <c r="AD74" s="104" t="s">
        <v>390</v>
      </c>
      <c r="AE74" s="105" t="s">
        <v>397</v>
      </c>
      <c r="AF74" s="105"/>
      <c r="AG74" s="105"/>
    </row>
    <row r="75" spans="1:40">
      <c r="A75" s="44"/>
      <c r="B75" s="44"/>
      <c r="C75" s="45"/>
      <c r="D75" s="46"/>
      <c r="E75" s="47"/>
      <c r="F75" s="47"/>
      <c r="G75" s="48"/>
      <c r="T75" s="30"/>
      <c r="U75" s="30"/>
      <c r="V75" s="31"/>
      <c r="W75" s="32"/>
      <c r="X75" s="32"/>
      <c r="Y75" s="33"/>
      <c r="Z75" s="33"/>
      <c r="AD75" s="104" t="s">
        <v>391</v>
      </c>
      <c r="AE75" s="105" t="s">
        <v>398</v>
      </c>
      <c r="AF75" s="105"/>
      <c r="AG75" s="105"/>
    </row>
    <row r="76" spans="1:40">
      <c r="A76" s="44"/>
      <c r="B76" s="44"/>
      <c r="C76" s="45"/>
      <c r="D76" s="46"/>
      <c r="E76" s="47"/>
      <c r="F76" s="47"/>
      <c r="G76" s="48"/>
      <c r="T76" s="30"/>
      <c r="U76" s="30"/>
      <c r="V76" s="31"/>
      <c r="W76" s="32"/>
      <c r="X76" s="32"/>
      <c r="Y76" s="33"/>
      <c r="Z76" s="33"/>
      <c r="AD76" s="104" t="s">
        <v>392</v>
      </c>
      <c r="AE76" s="105" t="s">
        <v>399</v>
      </c>
      <c r="AF76" s="105"/>
      <c r="AG76" s="105"/>
    </row>
    <row r="77" spans="1:40">
      <c r="A77" s="44"/>
      <c r="B77" s="44"/>
      <c r="C77" s="45"/>
      <c r="D77" s="46"/>
      <c r="E77" s="47"/>
      <c r="F77" s="47"/>
      <c r="G77" s="48"/>
      <c r="T77" s="30"/>
      <c r="U77" s="30"/>
      <c r="V77" s="31"/>
      <c r="W77" s="32"/>
      <c r="X77" s="32"/>
      <c r="Y77" s="33"/>
      <c r="Z77" s="33"/>
      <c r="AD77" s="104" t="s">
        <v>393</v>
      </c>
      <c r="AE77" s="105" t="s">
        <v>400</v>
      </c>
      <c r="AF77" s="105"/>
      <c r="AG77" s="105"/>
    </row>
    <row r="78" spans="1:40">
      <c r="A78" s="18"/>
      <c r="B78" s="18" t="s">
        <v>68</v>
      </c>
      <c r="C78" s="19" t="s">
        <v>142</v>
      </c>
      <c r="D78" s="20" t="s">
        <v>143</v>
      </c>
      <c r="E78" s="21">
        <v>2226.3365158993074</v>
      </c>
      <c r="F78" s="21">
        <v>96.839236790308163</v>
      </c>
      <c r="L78" t="s">
        <v>144</v>
      </c>
      <c r="M78" t="s">
        <v>145</v>
      </c>
      <c r="N78">
        <v>2252.6195241777541</v>
      </c>
      <c r="O78">
        <v>1648.0084160855126</v>
      </c>
      <c r="P78" t="s">
        <v>144</v>
      </c>
      <c r="Q78">
        <v>4083.9897789363677</v>
      </c>
      <c r="R78">
        <v>3056.569832645203</v>
      </c>
      <c r="T78" s="9" t="s">
        <v>19</v>
      </c>
      <c r="U78" s="9" t="s">
        <v>68</v>
      </c>
      <c r="V78" s="10" t="s">
        <v>69</v>
      </c>
      <c r="W78" s="11"/>
      <c r="X78" s="11">
        <f>VLOOKUP(U78,'[1]% SECCION_ECONOMIA 2022'!$C$81:$I$209,7,FALSE)</f>
        <v>1181.3967791707048</v>
      </c>
      <c r="Y78" s="12">
        <v>2091.5041076723992</v>
      </c>
      <c r="Z78" s="12">
        <v>100</v>
      </c>
      <c r="AA78" s="22">
        <f>X78/$X$2</f>
        <v>1.1321521879620008E-2</v>
      </c>
      <c r="AB78" t="s">
        <v>146</v>
      </c>
      <c r="AC78" t="str">
        <f>LEFT(AB78,4)</f>
        <v>1062</v>
      </c>
      <c r="AD78" s="75" t="s">
        <v>146</v>
      </c>
      <c r="AE78" s="22" t="str">
        <f>V78</f>
        <v>Elaboración de almidones y productos derivados del almidón</v>
      </c>
      <c r="AF78" s="22">
        <f>AN78</f>
        <v>1.142789957007863E-2</v>
      </c>
      <c r="AG78" s="22">
        <f>VLOOKUP(U78,Sheet1!$B$3:$I$129,8,FALSE)</f>
        <v>1.1977572007027435E-2</v>
      </c>
      <c r="AH78" s="71">
        <f>AG78</f>
        <v>1.1977572007027435E-2</v>
      </c>
      <c r="AI78" s="100">
        <f>AG78/AF78-1</f>
        <v>4.8099165868415339E-2</v>
      </c>
      <c r="AL78" s="75" t="s">
        <v>146</v>
      </c>
      <c r="AM78" s="22" t="s">
        <v>69</v>
      </c>
      <c r="AN78">
        <v>1.142789957007863E-2</v>
      </c>
    </row>
    <row r="79" spans="1:40">
      <c r="A79" s="9" t="s">
        <v>19</v>
      </c>
      <c r="B79" s="9" t="s">
        <v>72</v>
      </c>
      <c r="C79" s="10" t="s">
        <v>73</v>
      </c>
      <c r="D79" s="11"/>
      <c r="E79" s="12">
        <v>13772.923954393016</v>
      </c>
      <c r="F79" s="12">
        <v>100</v>
      </c>
      <c r="G79" s="13">
        <f>VLOOKUP(B79,$L$2:$N$122,3,FALSE)</f>
        <v>2026.4841053381883</v>
      </c>
      <c r="L79" t="s">
        <v>147</v>
      </c>
      <c r="M79" t="s">
        <v>148</v>
      </c>
      <c r="N79">
        <v>141617.77102402865</v>
      </c>
      <c r="O79">
        <v>95775.071017057591</v>
      </c>
      <c r="P79" t="s">
        <v>147</v>
      </c>
      <c r="Q79">
        <v>191741.69560840962</v>
      </c>
      <c r="R79">
        <v>136921.70795610396</v>
      </c>
      <c r="T79" s="18"/>
      <c r="U79" s="18" t="s">
        <v>68</v>
      </c>
      <c r="V79" s="19" t="s">
        <v>142</v>
      </c>
      <c r="W79" s="20" t="s">
        <v>143</v>
      </c>
      <c r="X79" s="20"/>
      <c r="Y79" s="21">
        <v>2021.8558307581347</v>
      </c>
      <c r="Z79" s="21">
        <v>96.669943096990863</v>
      </c>
      <c r="AD79" s="76"/>
      <c r="AE79" s="69" t="str">
        <f>W79</f>
        <v>Servicios de manufactura</v>
      </c>
      <c r="AF79" s="29">
        <f>$Z79*AF78/100</f>
        <v>1.1047344011576275E-2</v>
      </c>
      <c r="AG79" s="102">
        <f>VLOOKUP(V79,Sheet1!$C$4:$F$131,4,FALSE)</f>
        <v>96.839236790308163</v>
      </c>
      <c r="AH79" s="103">
        <f>AG79*AH78/100</f>
        <v>1.1598989317614963E-2</v>
      </c>
      <c r="AI79" s="100">
        <f>AH79/AF79-1</f>
        <v>4.9934654470850992E-2</v>
      </c>
    </row>
    <row r="80" spans="1:40">
      <c r="A80" s="49"/>
      <c r="B80" s="49"/>
      <c r="C80" s="50"/>
      <c r="D80" s="51"/>
      <c r="E80" s="52"/>
      <c r="F80" s="52"/>
      <c r="G80" s="48"/>
      <c r="T80" s="30"/>
      <c r="U80" s="30"/>
      <c r="V80" s="31"/>
      <c r="W80" s="32"/>
      <c r="X80" s="32"/>
      <c r="Y80" s="33"/>
      <c r="Z80" s="33"/>
      <c r="AD80" s="104" t="s">
        <v>402</v>
      </c>
      <c r="AE80" s="105" t="s">
        <v>401</v>
      </c>
      <c r="AF80" s="106">
        <f>AF79/AF79*AF78</f>
        <v>1.142789957007863E-2</v>
      </c>
      <c r="AG80" s="105"/>
      <c r="AH80" s="106">
        <f>AH79/AH79*AH78</f>
        <v>1.1977572007027435E-2</v>
      </c>
    </row>
    <row r="81" spans="1:40">
      <c r="A81" s="23"/>
      <c r="B81" s="23" t="s">
        <v>72</v>
      </c>
      <c r="C81" s="24" t="s">
        <v>149</v>
      </c>
      <c r="D81" s="25" t="s">
        <v>150</v>
      </c>
      <c r="E81" s="26">
        <v>10902.946074816435</v>
      </c>
      <c r="F81" s="26">
        <v>79.162174356875241</v>
      </c>
      <c r="L81" t="s">
        <v>151</v>
      </c>
      <c r="M81" t="s">
        <v>152</v>
      </c>
      <c r="N81">
        <v>11033.039323876648</v>
      </c>
      <c r="O81">
        <v>8300.9834873038053</v>
      </c>
      <c r="P81" t="s">
        <v>151</v>
      </c>
      <c r="Q81">
        <v>15557.367490014092</v>
      </c>
      <c r="R81">
        <v>12013.633913360771</v>
      </c>
      <c r="T81" s="9" t="s">
        <v>19</v>
      </c>
      <c r="U81" s="9" t="s">
        <v>72</v>
      </c>
      <c r="V81" s="10" t="s">
        <v>73</v>
      </c>
      <c r="W81" s="11"/>
      <c r="X81" s="11">
        <f>VLOOKUP(U81,'[1]% SECCION_ECONOMIA 2022'!$C$81:$I$209,7,FALSE)</f>
        <v>5985.6467383188892</v>
      </c>
      <c r="Y81" s="12">
        <v>12936.486303296619</v>
      </c>
      <c r="Z81" s="12">
        <v>100</v>
      </c>
      <c r="AA81" s="22">
        <f>X81/$X$2</f>
        <v>5.7361448504306072E-2</v>
      </c>
      <c r="AB81" t="s">
        <v>153</v>
      </c>
      <c r="AC81" t="str">
        <f>LEFT(AB81,4)</f>
        <v>1071</v>
      </c>
      <c r="AD81" s="75" t="s">
        <v>651</v>
      </c>
      <c r="AE81" s="22" t="str">
        <f>V81</f>
        <v>Elaboración de productos de panadería</v>
      </c>
      <c r="AF81" s="22">
        <f>AN81</f>
        <v>5.7900420073511233E-2</v>
      </c>
      <c r="AG81" s="22">
        <f>VLOOKUP(U81,Sheet1!$B$3:$I$129,8,FALSE)</f>
        <v>5.6213062953229281E-2</v>
      </c>
      <c r="AH81" s="71">
        <f>AG81</f>
        <v>5.6213062953229281E-2</v>
      </c>
      <c r="AI81" s="100">
        <f>AG81/AF81-1</f>
        <v>-2.9142398589503404E-2</v>
      </c>
      <c r="AL81" s="75" t="s">
        <v>651</v>
      </c>
      <c r="AM81" s="22" t="s">
        <v>73</v>
      </c>
      <c r="AN81">
        <v>5.7900420073511233E-2</v>
      </c>
    </row>
    <row r="82" spans="1:40">
      <c r="A82" s="18"/>
      <c r="B82" s="18" t="s">
        <v>72</v>
      </c>
      <c r="C82" s="19" t="s">
        <v>154</v>
      </c>
      <c r="D82" s="20" t="s">
        <v>155</v>
      </c>
      <c r="E82" s="21">
        <v>2681.7031074179308</v>
      </c>
      <c r="F82" s="21">
        <v>19.470833617451099</v>
      </c>
      <c r="L82" t="s">
        <v>156</v>
      </c>
      <c r="M82" t="s">
        <v>157</v>
      </c>
      <c r="N82">
        <v>16191.747085217619</v>
      </c>
      <c r="O82">
        <v>9475.9892938484791</v>
      </c>
      <c r="P82" t="s">
        <v>156</v>
      </c>
      <c r="Q82">
        <v>28702.692630940866</v>
      </c>
      <c r="R82">
        <v>20844.673889031084</v>
      </c>
      <c r="T82" s="23"/>
      <c r="U82" s="23" t="s">
        <v>72</v>
      </c>
      <c r="V82" s="24" t="s">
        <v>149</v>
      </c>
      <c r="W82" s="25" t="s">
        <v>150</v>
      </c>
      <c r="X82" s="25"/>
      <c r="Y82" s="26">
        <v>10246.002565375236</v>
      </c>
      <c r="Z82" s="26">
        <v>79.202360866445147</v>
      </c>
      <c r="AD82" s="76"/>
      <c r="AE82" s="69" t="str">
        <f>W82</f>
        <v>Pan</v>
      </c>
      <c r="AF82" s="29">
        <f>$Z82*AF81/100</f>
        <v>4.5858499649810015E-2</v>
      </c>
      <c r="AG82" s="102">
        <f>VLOOKUP(V82,Sheet1!$C$4:$F$131,4,FALSE)</f>
        <v>79.162174356875241</v>
      </c>
      <c r="AH82" s="103">
        <f>AG82*AH$81/100</f>
        <v>4.4499482906375405E-2</v>
      </c>
      <c r="AI82" s="100">
        <f>AH82/AF82-1</f>
        <v>-2.9635002318272319E-2</v>
      </c>
    </row>
    <row r="83" spans="1:40">
      <c r="A83" s="30"/>
      <c r="B83" s="30"/>
      <c r="C83" s="31"/>
      <c r="D83" s="32"/>
      <c r="E83" s="33"/>
      <c r="F83" s="33"/>
      <c r="T83" s="18"/>
      <c r="U83" s="18"/>
      <c r="V83" s="19"/>
      <c r="W83" s="20"/>
      <c r="X83" s="20"/>
      <c r="Y83" s="21"/>
      <c r="Z83" s="21"/>
      <c r="AD83" s="104" t="s">
        <v>403</v>
      </c>
      <c r="AE83" s="105" t="s">
        <v>404</v>
      </c>
      <c r="AF83" s="106">
        <f>AF82/(AF$82+AF$84)*AF$81</f>
        <v>4.6450241179079338E-2</v>
      </c>
      <c r="AG83" s="105"/>
      <c r="AH83" s="106">
        <f>AH82/(AH$82+AH$84)*AH$81</f>
        <v>4.5116218008841816E-2</v>
      </c>
    </row>
    <row r="84" spans="1:40">
      <c r="A84" s="9" t="s">
        <v>19</v>
      </c>
      <c r="B84" s="9" t="s">
        <v>77</v>
      </c>
      <c r="C84" s="10" t="s">
        <v>78</v>
      </c>
      <c r="D84" s="11"/>
      <c r="E84" s="12">
        <v>11657.460935015724</v>
      </c>
      <c r="F84" s="12">
        <v>100</v>
      </c>
      <c r="G84" s="13">
        <f>VLOOKUP(B84,$L$2:$N$122,3,FALSE)</f>
        <v>2599.6730538096072</v>
      </c>
      <c r="L84" t="s">
        <v>158</v>
      </c>
      <c r="M84" t="s">
        <v>159</v>
      </c>
      <c r="N84">
        <v>5033.6150368828366</v>
      </c>
      <c r="O84">
        <v>3969.8469899301845</v>
      </c>
      <c r="P84" t="s">
        <v>158</v>
      </c>
      <c r="Q84">
        <v>10156.599153194766</v>
      </c>
      <c r="R84">
        <v>8114.6254627139042</v>
      </c>
      <c r="T84" s="18"/>
      <c r="U84" s="18" t="s">
        <v>72</v>
      </c>
      <c r="V84" s="19" t="s">
        <v>154</v>
      </c>
      <c r="W84" s="20" t="s">
        <v>155</v>
      </c>
      <c r="X84" s="20"/>
      <c r="Y84" s="21">
        <v>2525.6825228109574</v>
      </c>
      <c r="Z84" s="21">
        <v>19.523713499911757</v>
      </c>
      <c r="AD84" s="76"/>
      <c r="AE84" s="69" t="str">
        <f>W84</f>
        <v>Otros productos de panadería y repostería n.c.p.</v>
      </c>
      <c r="AF84" s="29">
        <f>$Z84*AF81/100</f>
        <v>1.1304312130397729E-2</v>
      </c>
      <c r="AG84" s="102">
        <f>VLOOKUP(V84,Sheet1!$C$4:$F$131,4,FALSE)</f>
        <v>19.470833617451099</v>
      </c>
      <c r="AH84" s="103">
        <f>AG84*AH$81/100</f>
        <v>1.0945151958896317E-2</v>
      </c>
      <c r="AI84" s="100">
        <f>AH84/AF84-1</f>
        <v>-3.1771961651308023E-2</v>
      </c>
    </row>
    <row r="85" spans="1:40">
      <c r="A85" s="44"/>
      <c r="B85" s="44"/>
      <c r="C85" s="45"/>
      <c r="D85" s="46"/>
      <c r="E85" s="47"/>
      <c r="F85" s="47"/>
      <c r="G85" s="48"/>
      <c r="T85" s="30"/>
      <c r="U85" s="30"/>
      <c r="V85" s="31"/>
      <c r="W85" s="32"/>
      <c r="X85" s="32"/>
      <c r="Y85" s="33"/>
      <c r="Z85" s="33"/>
      <c r="AD85" s="104" t="s">
        <v>405</v>
      </c>
      <c r="AE85" s="105" t="s">
        <v>407</v>
      </c>
      <c r="AF85" s="106">
        <f>AF84/(AF$82+AF$84)*AF$81</f>
        <v>1.1450178894431888E-2</v>
      </c>
      <c r="AG85" s="105"/>
      <c r="AH85" s="106">
        <f>AH84/($AH$82+$AH$84)*$AH$81</f>
        <v>1.1096844944387466E-2</v>
      </c>
    </row>
    <row r="86" spans="1:40">
      <c r="A86" s="44"/>
      <c r="B86" s="44"/>
      <c r="C86" s="45"/>
      <c r="D86" s="46"/>
      <c r="E86" s="47"/>
      <c r="F86" s="47"/>
      <c r="G86" s="48"/>
      <c r="T86" s="30"/>
      <c r="U86" s="30"/>
      <c r="V86" s="31"/>
      <c r="W86" s="32"/>
      <c r="X86" s="32"/>
      <c r="Y86" s="33"/>
      <c r="Z86" s="33"/>
      <c r="AD86" s="104" t="s">
        <v>406</v>
      </c>
      <c r="AE86" s="105" t="s">
        <v>408</v>
      </c>
      <c r="AF86" s="105"/>
      <c r="AG86" s="105"/>
    </row>
    <row r="87" spans="1:40">
      <c r="A87" s="18"/>
      <c r="B87" s="18" t="s">
        <v>77</v>
      </c>
      <c r="C87" s="19" t="s">
        <v>160</v>
      </c>
      <c r="D87" s="20" t="s">
        <v>161</v>
      </c>
      <c r="E87" s="21">
        <v>11596.061795543999</v>
      </c>
      <c r="F87" s="21">
        <v>99.473306067127368</v>
      </c>
      <c r="L87" t="s">
        <v>162</v>
      </c>
      <c r="M87" t="s">
        <v>163</v>
      </c>
      <c r="N87">
        <v>889.81897074497704</v>
      </c>
      <c r="O87">
        <v>617.91324037155857</v>
      </c>
      <c r="P87" t="s">
        <v>162</v>
      </c>
      <c r="Q87">
        <v>1759.7917313938119</v>
      </c>
      <c r="R87">
        <v>1341.2064859664736</v>
      </c>
      <c r="T87" s="9" t="s">
        <v>19</v>
      </c>
      <c r="U87" s="9" t="s">
        <v>77</v>
      </c>
      <c r="V87" s="10" t="s">
        <v>78</v>
      </c>
      <c r="W87" s="11"/>
      <c r="X87" s="11">
        <f>VLOOKUP(U87,'[1]% SECCION_ECONOMIA 2022'!$C$81:$I$209,7,FALSE)</f>
        <v>5629.0697314511908</v>
      </c>
      <c r="Y87" s="12">
        <v>10633.24960188697</v>
      </c>
      <c r="Z87" s="12">
        <v>100</v>
      </c>
      <c r="AA87" s="22">
        <f>X87/$X$2</f>
        <v>5.3944311725030378E-2</v>
      </c>
      <c r="AB87" t="s">
        <v>164</v>
      </c>
      <c r="AC87" t="str">
        <f>LEFT(AB87,4)</f>
        <v>1071</v>
      </c>
      <c r="AD87" s="75" t="s">
        <v>651</v>
      </c>
      <c r="AE87" s="22" t="str">
        <f>V87</f>
        <v>Elaboración de tortillas de maíz</v>
      </c>
      <c r="AF87" s="22">
        <f>AN87</f>
        <v>5.4451175674568704E-2</v>
      </c>
      <c r="AG87" s="22">
        <f>VLOOKUP(U87,Sheet1!$B$3:$I$129,8,FALSE)</f>
        <v>5.4799346646353241E-2</v>
      </c>
      <c r="AH87" s="71">
        <f>AG87</f>
        <v>5.4799346646353241E-2</v>
      </c>
      <c r="AI87" s="100">
        <f>AG87/AF87-1</f>
        <v>6.3941864885599387E-3</v>
      </c>
      <c r="AL87" s="75" t="s">
        <v>651</v>
      </c>
      <c r="AM87" s="22" t="s">
        <v>78</v>
      </c>
      <c r="AN87">
        <v>5.4451175674568704E-2</v>
      </c>
    </row>
    <row r="88" spans="1:40">
      <c r="A88" s="9" t="s">
        <v>19</v>
      </c>
      <c r="B88" s="9" t="s">
        <v>82</v>
      </c>
      <c r="C88" s="10" t="s">
        <v>83</v>
      </c>
      <c r="D88" s="11"/>
      <c r="E88" s="12">
        <v>14046.281418581602</v>
      </c>
      <c r="F88" s="12">
        <v>100</v>
      </c>
      <c r="G88" s="13">
        <f>VLOOKUP(B88,$L$2:$N$122,3,FALSE)</f>
        <v>974.77201474931667</v>
      </c>
      <c r="L88" t="s">
        <v>165</v>
      </c>
      <c r="M88" t="s">
        <v>166</v>
      </c>
      <c r="N88">
        <v>1888.7155080501054</v>
      </c>
      <c r="O88">
        <v>1495.5733544547952</v>
      </c>
      <c r="P88" t="s">
        <v>165</v>
      </c>
      <c r="Q88">
        <v>3285.8738433470317</v>
      </c>
      <c r="R88">
        <v>2672.9299396883589</v>
      </c>
      <c r="T88" s="18"/>
      <c r="U88" s="18" t="s">
        <v>77</v>
      </c>
      <c r="V88" s="19" t="s">
        <v>160</v>
      </c>
      <c r="W88" s="20" t="s">
        <v>161</v>
      </c>
      <c r="X88" s="20"/>
      <c r="Y88" s="21">
        <v>10581.927533079841</v>
      </c>
      <c r="Z88" s="21">
        <v>99.517343514648417</v>
      </c>
      <c r="AD88" s="76"/>
      <c r="AE88" s="69" t="str">
        <f>W88</f>
        <v>Tortillas de maíz, incluso tostadas, horneadas o fritas</v>
      </c>
      <c r="AF88" s="29">
        <f>$Z88*AF87/100</f>
        <v>5.418836354382521E-2</v>
      </c>
      <c r="AG88" s="102">
        <f>VLOOKUP(V88,Sheet1!$C$4:$F$131,4,FALSE)</f>
        <v>99.473306067127368</v>
      </c>
      <c r="AH88" s="103">
        <f>AG88*AH87/100</f>
        <v>5.4510721812313055E-2</v>
      </c>
      <c r="AI88" s="100">
        <f>AH88/AF88-1</f>
        <v>5.948846715533973E-3</v>
      </c>
    </row>
    <row r="89" spans="1:40">
      <c r="A89" s="44"/>
      <c r="B89" s="44"/>
      <c r="C89" s="45"/>
      <c r="D89" s="46"/>
      <c r="E89" s="47"/>
      <c r="F89" s="47"/>
      <c r="G89" s="48"/>
      <c r="T89" s="30"/>
      <c r="U89" s="30"/>
      <c r="V89" s="31"/>
      <c r="W89" s="32"/>
      <c r="X89" s="32"/>
      <c r="Y89" s="33"/>
      <c r="Z89" s="33"/>
      <c r="AD89" s="104" t="s">
        <v>403</v>
      </c>
      <c r="AE89" s="105" t="s">
        <v>404</v>
      </c>
      <c r="AF89" s="106">
        <f>AF88/AF88*AF87</f>
        <v>5.4451175674568704E-2</v>
      </c>
      <c r="AG89" s="105"/>
      <c r="AH89" s="106">
        <f>AH88/AH88*AH87</f>
        <v>5.4799346646353241E-2</v>
      </c>
    </row>
    <row r="90" spans="1:40">
      <c r="A90" s="18"/>
      <c r="B90" s="18" t="s">
        <v>82</v>
      </c>
      <c r="C90" s="19" t="s">
        <v>167</v>
      </c>
      <c r="D90" s="20" t="s">
        <v>168</v>
      </c>
      <c r="E90" s="21">
        <v>12280.494592792595</v>
      </c>
      <c r="F90" s="21">
        <v>87.428795044266465</v>
      </c>
      <c r="L90" t="s">
        <v>169</v>
      </c>
      <c r="M90" t="s">
        <v>170</v>
      </c>
      <c r="N90">
        <v>18950.262635072308</v>
      </c>
      <c r="O90">
        <v>15185.453217211165</v>
      </c>
      <c r="P90" t="s">
        <v>169</v>
      </c>
      <c r="Q90">
        <v>48773.389376479186</v>
      </c>
      <c r="R90">
        <v>38234.56578550327</v>
      </c>
      <c r="T90" s="9" t="s">
        <v>19</v>
      </c>
      <c r="U90" s="9" t="s">
        <v>82</v>
      </c>
      <c r="V90" s="10" t="s">
        <v>83</v>
      </c>
      <c r="W90" s="11"/>
      <c r="X90" s="11">
        <f>VLOOKUP(U90,'[1]% SECCION_ECONOMIA 2022'!$C$81:$I$209,7,FALSE)</f>
        <v>4028.7624489067166</v>
      </c>
      <c r="Y90" s="12">
        <v>13926.703018197051</v>
      </c>
      <c r="Z90" s="12">
        <v>100</v>
      </c>
      <c r="AA90" s="22">
        <f>X90/$X$2</f>
        <v>3.8608300798912414E-2</v>
      </c>
      <c r="AB90" t="s">
        <v>171</v>
      </c>
      <c r="AC90" t="str">
        <f>LEFT(AB90,4)</f>
        <v>1072</v>
      </c>
      <c r="AD90" s="75" t="s">
        <v>171</v>
      </c>
      <c r="AE90" s="22" t="str">
        <f>V90</f>
        <v>Elaboración de azúcar</v>
      </c>
      <c r="AF90" s="22">
        <f>AN90</f>
        <v>3.8971066681025249E-2</v>
      </c>
      <c r="AG90" s="22">
        <f>VLOOKUP(U90,Sheet1!$B$3:$I$129,8,FALSE)</f>
        <v>3.6351826514453539E-2</v>
      </c>
      <c r="AH90" s="71">
        <f>AG90</f>
        <v>3.6351826514453539E-2</v>
      </c>
      <c r="AI90" s="100">
        <f>AG90/AF90-1</f>
        <v>-6.7209865924634848E-2</v>
      </c>
      <c r="AL90" s="75" t="s">
        <v>171</v>
      </c>
      <c r="AM90" s="22" t="s">
        <v>83</v>
      </c>
      <c r="AN90">
        <v>3.8971066681025249E-2</v>
      </c>
    </row>
    <row r="91" spans="1:40">
      <c r="A91" s="9" t="s">
        <v>19</v>
      </c>
      <c r="B91" s="9" t="s">
        <v>86</v>
      </c>
      <c r="C91" s="10" t="s">
        <v>87</v>
      </c>
      <c r="D91" s="11"/>
      <c r="E91" s="12">
        <v>2257.5409953114631</v>
      </c>
      <c r="F91" s="12">
        <v>100</v>
      </c>
      <c r="G91" s="13">
        <f>VLOOKUP(B91,$L$2:$N$122,3,FALSE)</f>
        <v>3265.1851949527272</v>
      </c>
      <c r="L91" t="s">
        <v>172</v>
      </c>
      <c r="M91" t="s">
        <v>173</v>
      </c>
      <c r="N91">
        <v>2299.9047219672834</v>
      </c>
      <c r="O91">
        <v>1844.0713982509326</v>
      </c>
      <c r="P91" t="s">
        <v>172</v>
      </c>
      <c r="Q91">
        <v>4694.2480097839525</v>
      </c>
      <c r="R91">
        <v>3754.5534229763189</v>
      </c>
      <c r="T91" s="18"/>
      <c r="U91" s="18" t="s">
        <v>82</v>
      </c>
      <c r="V91" s="19" t="s">
        <v>167</v>
      </c>
      <c r="W91" s="20" t="s">
        <v>168</v>
      </c>
      <c r="X91" s="20"/>
      <c r="Y91" s="21">
        <v>12219.085600297092</v>
      </c>
      <c r="Z91" s="21">
        <v>87.738537860190348</v>
      </c>
      <c r="AD91" s="76"/>
      <c r="AE91" s="69" t="str">
        <f>W91</f>
        <v>Azúcar de caña sin refinar, refinada y los demás azúcares n.c.p.</v>
      </c>
      <c r="AF91" s="29">
        <f>$Z91*AF90/100</f>
        <v>3.4192644094451365E-2</v>
      </c>
      <c r="AG91" s="102">
        <f>VLOOKUP(V91,Sheet1!$C$4:$F$131,4,FALSE)</f>
        <v>87.428795044266465</v>
      </c>
      <c r="AH91" s="103">
        <f>AG91*AH90/100</f>
        <v>3.1781963898168897E-2</v>
      </c>
      <c r="AI91" s="100">
        <f>AH91/AF91-1</f>
        <v>-7.0502889148419623E-2</v>
      </c>
    </row>
    <row r="92" spans="1:40">
      <c r="A92" s="44"/>
      <c r="B92" s="44"/>
      <c r="C92" s="45"/>
      <c r="D92" s="46"/>
      <c r="E92" s="47"/>
      <c r="F92" s="47"/>
      <c r="G92" s="48"/>
      <c r="T92" s="30"/>
      <c r="U92" s="30"/>
      <c r="V92" s="31"/>
      <c r="W92" s="32"/>
      <c r="X92" s="32"/>
      <c r="Y92" s="33"/>
      <c r="Z92" s="33"/>
      <c r="AD92" s="104" t="s">
        <v>421</v>
      </c>
      <c r="AE92" s="105" t="s">
        <v>423</v>
      </c>
      <c r="AF92" s="106">
        <f>AF91/AF91*AF90</f>
        <v>3.8971066681025249E-2</v>
      </c>
      <c r="AG92" s="105"/>
      <c r="AH92" s="106">
        <f>AH91/AH91*AH90</f>
        <v>3.6351826514453539E-2</v>
      </c>
    </row>
    <row r="93" spans="1:40">
      <c r="A93" s="44"/>
      <c r="B93" s="44"/>
      <c r="C93" s="45"/>
      <c r="D93" s="46"/>
      <c r="E93" s="47"/>
      <c r="F93" s="47"/>
      <c r="G93" s="48"/>
      <c r="T93" s="30"/>
      <c r="U93" s="30"/>
      <c r="V93" s="31"/>
      <c r="W93" s="32"/>
      <c r="X93" s="32"/>
      <c r="Y93" s="33"/>
      <c r="Z93" s="33"/>
      <c r="AD93" s="104" t="s">
        <v>422</v>
      </c>
      <c r="AE93" s="105" t="s">
        <v>424</v>
      </c>
      <c r="AF93" s="105"/>
      <c r="AG93" s="105"/>
    </row>
    <row r="94" spans="1:40">
      <c r="A94" s="18"/>
      <c r="B94" s="18" t="s">
        <v>86</v>
      </c>
      <c r="C94" s="19" t="s">
        <v>174</v>
      </c>
      <c r="D94" s="20" t="s">
        <v>175</v>
      </c>
      <c r="E94" s="21">
        <v>2056.9972923677001</v>
      </c>
      <c r="F94" s="21">
        <v>91.116719326016266</v>
      </c>
      <c r="L94" t="s">
        <v>176</v>
      </c>
      <c r="M94" t="s">
        <v>177</v>
      </c>
      <c r="N94">
        <v>20130.487782213553</v>
      </c>
      <c r="O94">
        <v>22258.834986891179</v>
      </c>
      <c r="P94" t="s">
        <v>176</v>
      </c>
      <c r="Q94">
        <v>33997.540003353999</v>
      </c>
      <c r="R94">
        <v>36393.561955690035</v>
      </c>
      <c r="T94" s="9" t="s">
        <v>19</v>
      </c>
      <c r="U94" s="9" t="s">
        <v>86</v>
      </c>
      <c r="V94" s="10" t="s">
        <v>87</v>
      </c>
      <c r="W94" s="11"/>
      <c r="X94" s="11">
        <f>VLOOKUP(U94,'[1]% SECCION_ECONOMIA 2022'!$C$81:$I$209,7,FALSE)</f>
        <v>665.01541447940258</v>
      </c>
      <c r="Y94" s="12">
        <v>2058.1049198310357</v>
      </c>
      <c r="Z94" s="12">
        <v>100</v>
      </c>
      <c r="AA94" s="22">
        <f>X94/$X$2</f>
        <v>6.3729533532317431E-3</v>
      </c>
      <c r="AB94" t="s">
        <v>178</v>
      </c>
      <c r="AC94" t="str">
        <f>LEFT(AB94,4)</f>
        <v>1073</v>
      </c>
      <c r="AD94" s="75" t="s">
        <v>178</v>
      </c>
      <c r="AE94" s="22" t="str">
        <f>V94</f>
        <v>Elaboración de cacao y chocolate y de productos de confitería</v>
      </c>
      <c r="AF94" s="22">
        <f>AN94</f>
        <v>6.4328340005798427E-3</v>
      </c>
      <c r="AG94" s="22">
        <f>VLOOKUP(U94,Sheet1!$B$3:$I$129,8,FALSE)</f>
        <v>6.7524230601194108E-3</v>
      </c>
      <c r="AH94" s="71">
        <f>AG94</f>
        <v>6.7524230601194108E-3</v>
      </c>
      <c r="AI94" s="100">
        <f>AG94/AF94-1</f>
        <v>4.9680911944993689E-2</v>
      </c>
      <c r="AL94" s="75" t="s">
        <v>178</v>
      </c>
      <c r="AM94" s="22" t="s">
        <v>87</v>
      </c>
      <c r="AN94">
        <v>6.4328340005798427E-3</v>
      </c>
    </row>
    <row r="95" spans="1:40">
      <c r="A95" s="9" t="s">
        <v>19</v>
      </c>
      <c r="B95" s="9" t="s">
        <v>93</v>
      </c>
      <c r="C95" s="10" t="s">
        <v>94</v>
      </c>
      <c r="D95" s="11"/>
      <c r="E95" s="28">
        <v>1218.6848077550624</v>
      </c>
      <c r="F95" s="28">
        <v>100</v>
      </c>
      <c r="G95" s="13">
        <f>VLOOKUP(B95,$L$2:$N$122,3,FALSE)</f>
        <v>2797.5387191936261</v>
      </c>
      <c r="L95" t="s">
        <v>179</v>
      </c>
      <c r="M95" t="s">
        <v>180</v>
      </c>
      <c r="N95">
        <v>2650.7789482238049</v>
      </c>
      <c r="O95">
        <v>2355.7293130355342</v>
      </c>
      <c r="P95" t="s">
        <v>179</v>
      </c>
      <c r="Q95">
        <v>4351.4329085767858</v>
      </c>
      <c r="R95">
        <v>3812.3746141499032</v>
      </c>
      <c r="T95" s="18"/>
      <c r="U95" s="18" t="s">
        <v>86</v>
      </c>
      <c r="V95" s="19" t="s">
        <v>174</v>
      </c>
      <c r="W95" s="20" t="s">
        <v>175</v>
      </c>
      <c r="X95" s="20"/>
      <c r="Y95" s="21">
        <v>1874.9165041829406</v>
      </c>
      <c r="Z95" s="21">
        <v>91.09917021805019</v>
      </c>
      <c r="AD95" s="76"/>
      <c r="AE95" s="69" t="str">
        <f>W95</f>
        <v>Cacao, chocolate y productos de confitería</v>
      </c>
      <c r="AF95" s="29">
        <f>$Z95*AF94/100</f>
        <v>5.8602583960328395E-3</v>
      </c>
      <c r="AG95" s="102">
        <f>VLOOKUP(V95,Sheet1!$C$4:$F$131,4,FALSE)</f>
        <v>91.116719326016266</v>
      </c>
      <c r="AH95" s="103">
        <f>AG95*AH94/100</f>
        <v>6.1525863673942017E-3</v>
      </c>
      <c r="AI95" s="100">
        <f>AH95/AF95-1</f>
        <v>4.9883119754456029E-2</v>
      </c>
    </row>
    <row r="96" spans="1:40">
      <c r="A96" s="44"/>
      <c r="B96" s="44"/>
      <c r="C96" s="45"/>
      <c r="D96" s="46"/>
      <c r="E96" s="56"/>
      <c r="F96" s="56"/>
      <c r="G96" s="48"/>
      <c r="T96" s="30"/>
      <c r="U96" s="30"/>
      <c r="V96" s="31"/>
      <c r="W96" s="32"/>
      <c r="X96" s="32"/>
      <c r="Y96" s="33"/>
      <c r="Z96" s="33"/>
      <c r="AD96" s="104" t="s">
        <v>425</v>
      </c>
      <c r="AE96" s="105" t="s">
        <v>428</v>
      </c>
      <c r="AF96" s="106">
        <f>AF95/AF95*AF94</f>
        <v>6.4328340005798427E-3</v>
      </c>
      <c r="AG96" s="105"/>
      <c r="AH96" s="106">
        <f>AH95/AH95*AH94</f>
        <v>6.7524230601194108E-3</v>
      </c>
    </row>
    <row r="97" spans="1:40">
      <c r="A97" s="44"/>
      <c r="B97" s="44"/>
      <c r="C97" s="45"/>
      <c r="D97" s="46"/>
      <c r="E97" s="56"/>
      <c r="F97" s="56"/>
      <c r="G97" s="48"/>
      <c r="T97" s="30"/>
      <c r="U97" s="30"/>
      <c r="V97" s="31"/>
      <c r="W97" s="32"/>
      <c r="X97" s="32"/>
      <c r="Y97" s="33"/>
      <c r="Z97" s="33"/>
      <c r="AD97" s="104" t="s">
        <v>426</v>
      </c>
      <c r="AE97" s="105" t="s">
        <v>429</v>
      </c>
      <c r="AF97" s="105"/>
      <c r="AG97" s="105"/>
    </row>
    <row r="98" spans="1:40">
      <c r="A98" s="44"/>
      <c r="B98" s="44"/>
      <c r="C98" s="45"/>
      <c r="D98" s="46"/>
      <c r="E98" s="56"/>
      <c r="F98" s="56"/>
      <c r="G98" s="48"/>
      <c r="T98" s="30"/>
      <c r="U98" s="30"/>
      <c r="V98" s="31"/>
      <c r="W98" s="32"/>
      <c r="X98" s="32"/>
      <c r="Y98" s="33"/>
      <c r="Z98" s="33"/>
      <c r="AD98" s="104" t="s">
        <v>427</v>
      </c>
      <c r="AE98" s="105" t="s">
        <v>430</v>
      </c>
      <c r="AF98" s="105"/>
      <c r="AG98" s="105"/>
    </row>
    <row r="99" spans="1:40">
      <c r="A99" s="18"/>
      <c r="B99" s="18" t="s">
        <v>93</v>
      </c>
      <c r="C99" s="19" t="s">
        <v>181</v>
      </c>
      <c r="D99" s="20" t="s">
        <v>182</v>
      </c>
      <c r="E99" s="21">
        <v>1163.3132093259583</v>
      </c>
      <c r="F99" s="21">
        <v>95.456446320102728</v>
      </c>
      <c r="L99" t="s">
        <v>183</v>
      </c>
      <c r="M99" t="s">
        <v>184</v>
      </c>
      <c r="N99">
        <v>23307.258304379135</v>
      </c>
      <c r="O99">
        <v>20372.616093086381</v>
      </c>
      <c r="P99" t="s">
        <v>183</v>
      </c>
      <c r="Q99">
        <v>34621.046432034258</v>
      </c>
      <c r="R99">
        <v>30052.234577343603</v>
      </c>
      <c r="T99" s="9" t="s">
        <v>19</v>
      </c>
      <c r="U99" s="9" t="s">
        <v>93</v>
      </c>
      <c r="V99" s="10" t="s">
        <v>94</v>
      </c>
      <c r="W99" s="11"/>
      <c r="X99" s="11">
        <f>VLOOKUP(U99,'[1]% SECCION_ECONOMIA 2022'!$C$81:$I$209,7,FALSE)</f>
        <v>471.95034198907513</v>
      </c>
      <c r="Y99" s="12">
        <v>1155.3669533160687</v>
      </c>
      <c r="Z99" s="12">
        <v>100</v>
      </c>
      <c r="AA99" s="22">
        <f>X99/$X$2</f>
        <v>4.5227786439998403E-3</v>
      </c>
      <c r="AB99" t="s">
        <v>185</v>
      </c>
      <c r="AC99" t="str">
        <f>LEFT(AB99,4)</f>
        <v>1074</v>
      </c>
      <c r="AD99" s="75" t="s">
        <v>185</v>
      </c>
      <c r="AE99" s="22" t="str">
        <f>V99</f>
        <v>Elaboración de macarrones, fideos, alcuzcuz y productos farináceos similares</v>
      </c>
      <c r="AF99" s="22">
        <f>AN99</f>
        <v>4.5652749401444738E-3</v>
      </c>
      <c r="AG99" s="22">
        <f>VLOOKUP(U99,Sheet1!$B$3:$I$129,8,FALSE)</f>
        <v>4.8009303264544079E-3</v>
      </c>
      <c r="AH99" s="71">
        <f>AG99</f>
        <v>4.8009303264544079E-3</v>
      </c>
      <c r="AI99" s="100">
        <f>AG99/AF99-1</f>
        <v>5.1619100579838539E-2</v>
      </c>
      <c r="AL99" s="75" t="s">
        <v>185</v>
      </c>
      <c r="AM99" s="22" t="s">
        <v>94</v>
      </c>
      <c r="AN99">
        <v>4.5652749401444738E-3</v>
      </c>
    </row>
    <row r="100" spans="1:40">
      <c r="A100" s="9" t="s">
        <v>19</v>
      </c>
      <c r="B100" s="9" t="s">
        <v>95</v>
      </c>
      <c r="C100" s="10" t="s">
        <v>96</v>
      </c>
      <c r="D100" s="11"/>
      <c r="E100" s="12">
        <v>9306.9636809697568</v>
      </c>
      <c r="F100" s="12">
        <v>100</v>
      </c>
      <c r="G100" s="13">
        <f>VLOOKUP(B100,$L$2:$N$122,3,FALSE)</f>
        <v>2201.8797171851224</v>
      </c>
      <c r="L100" t="s">
        <v>186</v>
      </c>
      <c r="M100" t="s">
        <v>187</v>
      </c>
      <c r="N100">
        <v>1752.023738088069</v>
      </c>
      <c r="O100">
        <v>1449.682209017421</v>
      </c>
      <c r="P100" t="s">
        <v>186</v>
      </c>
      <c r="Q100">
        <v>6165.1139056864877</v>
      </c>
      <c r="R100">
        <v>5015.9454656099933</v>
      </c>
      <c r="T100" s="18"/>
      <c r="U100" s="18" t="s">
        <v>93</v>
      </c>
      <c r="V100" s="19" t="s">
        <v>181</v>
      </c>
      <c r="W100" s="20" t="s">
        <v>182</v>
      </c>
      <c r="X100" s="20"/>
      <c r="Y100" s="21">
        <v>1101.7418991776758</v>
      </c>
      <c r="Z100" s="21">
        <v>95.358612778002581</v>
      </c>
      <c r="AD100" s="76"/>
      <c r="AE100" s="69" t="str">
        <f>W100</f>
        <v>Macarrones, fideos y productos farináceos similares</v>
      </c>
      <c r="AF100" s="29">
        <f>$Z100*AF99/100</f>
        <v>4.3533828524235582E-3</v>
      </c>
      <c r="AG100" s="102">
        <f>VLOOKUP(V100,Sheet1!$C$4:$F$131,4,FALSE)</f>
        <v>95.456446320102728</v>
      </c>
      <c r="AH100" s="103">
        <f>AG100*AH99/100</f>
        <v>4.5827974799374843E-3</v>
      </c>
      <c r="AI100" s="100">
        <f>AH100/AF100-1</f>
        <v>5.2698013313074332E-2</v>
      </c>
    </row>
    <row r="101" spans="1:40">
      <c r="A101" s="44"/>
      <c r="B101" s="44"/>
      <c r="C101" s="45"/>
      <c r="D101" s="46"/>
      <c r="E101" s="47"/>
      <c r="F101" s="47"/>
      <c r="G101" s="48"/>
      <c r="T101" s="30"/>
      <c r="U101" s="30"/>
      <c r="V101" s="31"/>
      <c r="W101" s="32"/>
      <c r="X101" s="32"/>
      <c r="Y101" s="33"/>
      <c r="Z101" s="33"/>
      <c r="AD101" s="104" t="s">
        <v>431</v>
      </c>
      <c r="AE101" s="105" t="s">
        <v>432</v>
      </c>
      <c r="AF101" s="106">
        <f>AF100/AF100*AF99</f>
        <v>4.5652749401444738E-3</v>
      </c>
      <c r="AG101" s="105"/>
      <c r="AH101" s="106">
        <f>AH100/AH100*AH99</f>
        <v>4.8009303264544079E-3</v>
      </c>
    </row>
    <row r="102" spans="1:40">
      <c r="A102" s="18"/>
      <c r="B102" s="18" t="s">
        <v>95</v>
      </c>
      <c r="C102" s="19" t="s">
        <v>136</v>
      </c>
      <c r="D102" s="20" t="s">
        <v>137</v>
      </c>
      <c r="E102" s="21">
        <v>8911.0524723613144</v>
      </c>
      <c r="F102" s="21">
        <v>95.74607549594316</v>
      </c>
      <c r="L102" t="s">
        <v>188</v>
      </c>
      <c r="M102" t="s">
        <v>189</v>
      </c>
      <c r="N102">
        <v>3619.8774272212363</v>
      </c>
      <c r="O102">
        <v>3004.4123237831022</v>
      </c>
      <c r="P102" t="s">
        <v>188</v>
      </c>
      <c r="Q102">
        <v>6585.0890948486813</v>
      </c>
      <c r="R102">
        <v>5510.9288218802812</v>
      </c>
      <c r="T102" s="9" t="s">
        <v>19</v>
      </c>
      <c r="U102" s="9" t="s">
        <v>95</v>
      </c>
      <c r="V102" s="10" t="s">
        <v>96</v>
      </c>
      <c r="W102" s="11"/>
      <c r="X102" s="11">
        <f>VLOOKUP(U102,'[1]% SECCION_ECONOMIA 2022'!$C$81:$I$209,7,FALSE)</f>
        <v>3023.1300940517722</v>
      </c>
      <c r="Y102" s="12">
        <v>8185.5011525767268</v>
      </c>
      <c r="Z102" s="12">
        <v>100</v>
      </c>
      <c r="AA102" s="22">
        <f>X102/$X$2</f>
        <v>2.8971158638819442E-2</v>
      </c>
      <c r="AB102" t="s">
        <v>190</v>
      </c>
      <c r="AC102" t="str">
        <f>LEFT(AB102,4)</f>
        <v>1075</v>
      </c>
      <c r="AD102" s="75" t="str">
        <f>MID(AB102,7,4)</f>
        <v>1079</v>
      </c>
      <c r="AE102" s="22" t="str">
        <f>V102</f>
        <v xml:space="preserve">Elaboración de otros productos alimenticios n.c.p  incluyendo comidas y platos preparados </v>
      </c>
      <c r="AF102" s="22">
        <f>AN102</f>
        <v>2.9243373362129364E-2</v>
      </c>
      <c r="AG102" s="22">
        <f>VLOOKUP(U102,Sheet1!$B$3:$I$129,8,FALSE)</f>
        <v>3.5734826813387223E-2</v>
      </c>
      <c r="AH102" s="71">
        <f>AG102</f>
        <v>3.5734826813387223E-2</v>
      </c>
      <c r="AI102" s="100">
        <f>AG102/AF102-1</f>
        <v>0.22198032254597533</v>
      </c>
      <c r="AL102" s="75" t="s">
        <v>663</v>
      </c>
      <c r="AM102" s="22" t="s">
        <v>96</v>
      </c>
      <c r="AN102">
        <v>2.9243373362129364E-2</v>
      </c>
    </row>
    <row r="103" spans="1:40">
      <c r="A103" s="9" t="s">
        <v>19</v>
      </c>
      <c r="B103" s="9" t="s">
        <v>99</v>
      </c>
      <c r="C103" s="10" t="s">
        <v>100</v>
      </c>
      <c r="D103" s="11"/>
      <c r="E103" s="12">
        <v>7523.7923091811699</v>
      </c>
      <c r="F103" s="12">
        <v>100</v>
      </c>
      <c r="G103" s="13">
        <f>VLOOKUP(B103,$L$2:$N$122,3,FALSE)</f>
        <v>2593.1235523040641</v>
      </c>
      <c r="L103" t="s">
        <v>191</v>
      </c>
      <c r="M103" t="s">
        <v>192</v>
      </c>
      <c r="N103">
        <v>7478.1464205460206</v>
      </c>
      <c r="O103">
        <v>7039.172332433267</v>
      </c>
      <c r="P103" t="s">
        <v>191</v>
      </c>
      <c r="Q103">
        <v>7768.4220506159872</v>
      </c>
      <c r="R103">
        <v>7266.2872869901885</v>
      </c>
      <c r="T103" s="18"/>
      <c r="U103" s="18" t="s">
        <v>95</v>
      </c>
      <c r="V103" s="19" t="s">
        <v>136</v>
      </c>
      <c r="W103" s="20" t="s">
        <v>137</v>
      </c>
      <c r="X103" s="20"/>
      <c r="Y103" s="21">
        <v>7822.1232879446334</v>
      </c>
      <c r="Z103" s="21">
        <v>95.560713292212967</v>
      </c>
      <c r="AD103" s="76"/>
      <c r="AE103" s="69" t="str">
        <f>W103</f>
        <v>Productos alimenticios n.c.p.</v>
      </c>
      <c r="AF103" s="29">
        <f>$Z103*AF102/100</f>
        <v>2.7945176175555822E-2</v>
      </c>
      <c r="AG103" s="102">
        <v>95.74607549594316</v>
      </c>
      <c r="AH103" s="103">
        <f>AG103*AH102/100</f>
        <v>3.4214694259090267E-2</v>
      </c>
      <c r="AI103" s="100">
        <f>AH103/AF103-1</f>
        <v>0.22435063726735471</v>
      </c>
    </row>
    <row r="104" spans="1:40">
      <c r="A104" s="44"/>
      <c r="B104" s="44"/>
      <c r="C104" s="45"/>
      <c r="D104" s="46"/>
      <c r="E104" s="47"/>
      <c r="F104" s="47"/>
      <c r="G104" s="48"/>
      <c r="T104" s="30"/>
      <c r="U104" s="30"/>
      <c r="V104" s="31"/>
      <c r="W104" s="32"/>
      <c r="X104" s="32"/>
      <c r="Y104" s="33"/>
      <c r="Z104" s="33"/>
      <c r="AD104" s="104" t="s">
        <v>387</v>
      </c>
      <c r="AE104" s="105" t="s">
        <v>394</v>
      </c>
      <c r="AF104" s="106">
        <f>AF103/AF103*AF102</f>
        <v>2.9243373362129364E-2</v>
      </c>
      <c r="AG104" s="105"/>
      <c r="AH104" s="106">
        <f>AH103/AH103*AH102</f>
        <v>3.5734826813387223E-2</v>
      </c>
    </row>
    <row r="105" spans="1:40">
      <c r="A105" s="44"/>
      <c r="B105" s="44"/>
      <c r="C105" s="45"/>
      <c r="D105" s="46"/>
      <c r="E105" s="47"/>
      <c r="F105" s="47"/>
      <c r="G105" s="48"/>
      <c r="T105" s="30"/>
      <c r="U105" s="30"/>
      <c r="V105" s="31"/>
      <c r="W105" s="32"/>
      <c r="X105" s="32"/>
      <c r="Y105" s="33"/>
      <c r="Z105" s="33"/>
      <c r="AD105" s="104" t="s">
        <v>388</v>
      </c>
      <c r="AE105" s="105" t="s">
        <v>395</v>
      </c>
      <c r="AF105" s="105"/>
      <c r="AG105" s="105"/>
    </row>
    <row r="106" spans="1:40">
      <c r="A106" s="44"/>
      <c r="B106" s="44"/>
      <c r="C106" s="45"/>
      <c r="D106" s="46"/>
      <c r="E106" s="47"/>
      <c r="F106" s="47"/>
      <c r="G106" s="48"/>
      <c r="T106" s="30"/>
      <c r="U106" s="30"/>
      <c r="V106" s="31"/>
      <c r="W106" s="32"/>
      <c r="X106" s="32"/>
      <c r="Y106" s="33"/>
      <c r="Z106" s="33"/>
      <c r="AD106" s="104" t="s">
        <v>389</v>
      </c>
      <c r="AE106" s="105" t="s">
        <v>396</v>
      </c>
      <c r="AF106" s="105"/>
      <c r="AG106" s="105"/>
    </row>
    <row r="107" spans="1:40">
      <c r="A107" s="44"/>
      <c r="B107" s="44"/>
      <c r="C107" s="45"/>
      <c r="D107" s="46"/>
      <c r="E107" s="47"/>
      <c r="F107" s="47"/>
      <c r="G107" s="48"/>
      <c r="T107" s="30"/>
      <c r="U107" s="30"/>
      <c r="V107" s="31"/>
      <c r="W107" s="32"/>
      <c r="X107" s="32"/>
      <c r="Y107" s="33"/>
      <c r="Z107" s="33"/>
      <c r="AD107" s="104" t="s">
        <v>390</v>
      </c>
      <c r="AE107" s="105" t="s">
        <v>397</v>
      </c>
      <c r="AF107" s="105"/>
      <c r="AG107" s="105"/>
    </row>
    <row r="108" spans="1:40">
      <c r="A108" s="44"/>
      <c r="B108" s="44"/>
      <c r="C108" s="45"/>
      <c r="D108" s="46"/>
      <c r="E108" s="47"/>
      <c r="F108" s="47"/>
      <c r="G108" s="48"/>
      <c r="T108" s="30"/>
      <c r="U108" s="30"/>
      <c r="V108" s="31"/>
      <c r="W108" s="32"/>
      <c r="X108" s="32"/>
      <c r="Y108" s="33"/>
      <c r="Z108" s="33"/>
      <c r="AD108" s="104" t="s">
        <v>391</v>
      </c>
      <c r="AE108" s="105" t="s">
        <v>398</v>
      </c>
      <c r="AF108" s="105"/>
      <c r="AG108" s="105"/>
    </row>
    <row r="109" spans="1:40">
      <c r="A109" s="44"/>
      <c r="B109" s="44"/>
      <c r="C109" s="45"/>
      <c r="D109" s="46"/>
      <c r="E109" s="47"/>
      <c r="F109" s="47"/>
      <c r="G109" s="48"/>
      <c r="T109" s="30"/>
      <c r="U109" s="30"/>
      <c r="V109" s="31"/>
      <c r="W109" s="32"/>
      <c r="X109" s="32"/>
      <c r="Y109" s="33"/>
      <c r="Z109" s="33"/>
      <c r="AD109" s="104" t="s">
        <v>392</v>
      </c>
      <c r="AE109" s="105" t="s">
        <v>399</v>
      </c>
      <c r="AF109" s="105"/>
      <c r="AG109" s="105"/>
    </row>
    <row r="110" spans="1:40">
      <c r="A110" s="44"/>
      <c r="B110" s="44"/>
      <c r="C110" s="45"/>
      <c r="D110" s="46"/>
      <c r="E110" s="47"/>
      <c r="F110" s="47"/>
      <c r="G110" s="48"/>
      <c r="T110" s="30"/>
      <c r="U110" s="30"/>
      <c r="V110" s="31"/>
      <c r="W110" s="32"/>
      <c r="X110" s="32"/>
      <c r="Y110" s="33"/>
      <c r="Z110" s="33"/>
      <c r="AD110" s="104" t="s">
        <v>393</v>
      </c>
      <c r="AE110" s="105" t="s">
        <v>400</v>
      </c>
      <c r="AF110" s="105"/>
      <c r="AG110" s="105"/>
    </row>
    <row r="111" spans="1:40">
      <c r="A111" s="44"/>
      <c r="B111" s="44"/>
      <c r="C111" s="45"/>
      <c r="D111" s="46"/>
      <c r="E111" s="47"/>
      <c r="F111" s="47"/>
      <c r="G111" s="48"/>
      <c r="T111" s="30"/>
      <c r="U111" s="30"/>
      <c r="V111" s="31"/>
      <c r="W111" s="32"/>
      <c r="X111" s="32"/>
      <c r="Y111" s="33"/>
      <c r="Z111" s="33"/>
      <c r="AD111" s="104" t="s">
        <v>433</v>
      </c>
      <c r="AE111" s="105" t="s">
        <v>434</v>
      </c>
      <c r="AF111" s="105"/>
      <c r="AG111" s="105"/>
    </row>
    <row r="112" spans="1:40">
      <c r="A112" s="18"/>
      <c r="B112" s="18" t="s">
        <v>99</v>
      </c>
      <c r="C112" s="19" t="s">
        <v>193</v>
      </c>
      <c r="D112" s="20" t="s">
        <v>194</v>
      </c>
      <c r="E112" s="21">
        <v>7429.9258803018492</v>
      </c>
      <c r="F112" s="21">
        <v>98.752405369234125</v>
      </c>
      <c r="L112" t="s">
        <v>195</v>
      </c>
      <c r="M112" t="s">
        <v>196</v>
      </c>
      <c r="N112">
        <v>13617.794134058777</v>
      </c>
      <c r="O112">
        <v>10190.122290606578</v>
      </c>
      <c r="P112" t="s">
        <v>195</v>
      </c>
      <c r="Q112">
        <v>18424.505532445462</v>
      </c>
      <c r="R112">
        <v>14114.935248718561</v>
      </c>
      <c r="T112" s="9" t="s">
        <v>19</v>
      </c>
      <c r="U112" s="9" t="s">
        <v>99</v>
      </c>
      <c r="V112" s="10" t="s">
        <v>100</v>
      </c>
      <c r="W112" s="11"/>
      <c r="X112" s="11">
        <f>VLOOKUP(U112,'[1]% SECCION_ECONOMIA 2022'!$C$81:$I$209,7,FALSE)</f>
        <v>2724.8798051861431</v>
      </c>
      <c r="Y112" s="12">
        <v>7267.5921563897145</v>
      </c>
      <c r="Z112" s="12">
        <v>100</v>
      </c>
      <c r="AA112" s="22">
        <f>X112/$X$2</f>
        <v>2.6112976501768515E-2</v>
      </c>
      <c r="AB112" t="s">
        <v>197</v>
      </c>
      <c r="AC112" t="str">
        <f>LEFT(AB112,4)</f>
        <v>1080</v>
      </c>
      <c r="AD112" s="75" t="s">
        <v>197</v>
      </c>
      <c r="AE112" s="22" t="str">
        <f>V112</f>
        <v>Elaboración de alimentos preparados para animales</v>
      </c>
      <c r="AF112" s="22">
        <f>AN112</f>
        <v>2.6358335576351838E-2</v>
      </c>
      <c r="AG112" s="22">
        <f>VLOOKUP(U112,Sheet1!$B$3:$I$129,8,FALSE)</f>
        <v>2.6955218755409321E-2</v>
      </c>
      <c r="AH112" s="71">
        <f>AG112</f>
        <v>2.6955218755409321E-2</v>
      </c>
      <c r="AI112" s="100">
        <f>AG112/AF112-1</f>
        <v>2.2644949538960901E-2</v>
      </c>
      <c r="AL112" s="75" t="s">
        <v>197</v>
      </c>
      <c r="AM112" s="22" t="s">
        <v>100</v>
      </c>
      <c r="AN112">
        <v>2.6358335576351838E-2</v>
      </c>
    </row>
    <row r="113" spans="1:40">
      <c r="A113" s="9" t="s">
        <v>19</v>
      </c>
      <c r="B113" s="9" t="s">
        <v>102</v>
      </c>
      <c r="C113" s="10" t="s">
        <v>103</v>
      </c>
      <c r="D113" s="11"/>
      <c r="E113" s="12">
        <v>879.39370169610845</v>
      </c>
      <c r="F113" s="12">
        <v>100</v>
      </c>
      <c r="G113" s="13">
        <f>VLOOKUP(B113,$L$2:$N$122,3,FALSE)</f>
        <v>6307.2972528732407</v>
      </c>
      <c r="L113" t="s">
        <v>198</v>
      </c>
      <c r="M113" t="s">
        <v>199</v>
      </c>
      <c r="N113">
        <v>5187.6165928981327</v>
      </c>
      <c r="O113">
        <v>4194.3792631274482</v>
      </c>
      <c r="P113" t="s">
        <v>198</v>
      </c>
      <c r="Q113">
        <v>6465.651439989515</v>
      </c>
      <c r="R113">
        <v>5240.4092192023545</v>
      </c>
      <c r="T113" s="18"/>
      <c r="U113" s="18" t="s">
        <v>99</v>
      </c>
      <c r="V113" s="19" t="s">
        <v>193</v>
      </c>
      <c r="W113" s="20" t="s">
        <v>194</v>
      </c>
      <c r="X113" s="20"/>
      <c r="Y113" s="21">
        <v>7162.7511675951937</v>
      </c>
      <c r="Z113" s="21">
        <v>98.557417827824253</v>
      </c>
      <c r="AD113" s="76"/>
      <c r="AE113" s="69" t="str">
        <f>W113</f>
        <v>Preparados para alimentación animal</v>
      </c>
      <c r="AF113" s="29">
        <f>$Z113*AF112/100</f>
        <v>2.5978094926445129E-2</v>
      </c>
      <c r="AG113" s="102">
        <f>VLOOKUP(V113,Sheet1!$C$4:$F$131,4,FALSE)</f>
        <v>98.752405369234125</v>
      </c>
      <c r="AH113" s="103">
        <f>AG113*AH112/100</f>
        <v>2.6618926893505635E-2</v>
      </c>
      <c r="AI113" s="100">
        <f>AH113/AF113-1</f>
        <v>2.4668166348416509E-2</v>
      </c>
    </row>
    <row r="114" spans="1:40">
      <c r="A114" s="44"/>
      <c r="B114" s="44"/>
      <c r="C114" s="45"/>
      <c r="D114" s="46"/>
      <c r="E114" s="47"/>
      <c r="F114" s="47"/>
      <c r="G114" s="48"/>
      <c r="T114" s="30"/>
      <c r="U114" s="30"/>
      <c r="V114" s="31"/>
      <c r="W114" s="32"/>
      <c r="X114" s="32"/>
      <c r="Y114" s="33"/>
      <c r="Z114" s="33"/>
      <c r="AD114" s="104" t="s">
        <v>435</v>
      </c>
      <c r="AE114" s="105" t="s">
        <v>437</v>
      </c>
      <c r="AF114" s="106">
        <f>AF113/AF113*AF112</f>
        <v>2.6358335576351838E-2</v>
      </c>
      <c r="AG114" s="105"/>
      <c r="AH114" s="106">
        <f>AH113/AH113*AH112</f>
        <v>2.6955218755409321E-2</v>
      </c>
    </row>
    <row r="115" spans="1:40">
      <c r="A115" s="44"/>
      <c r="B115" s="44"/>
      <c r="C115" s="45"/>
      <c r="D115" s="46"/>
      <c r="E115" s="47"/>
      <c r="F115" s="47"/>
      <c r="G115" s="48"/>
      <c r="T115" s="30"/>
      <c r="U115" s="30"/>
      <c r="V115" s="31"/>
      <c r="W115" s="32"/>
      <c r="X115" s="32"/>
      <c r="Y115" s="33"/>
      <c r="Z115" s="33"/>
      <c r="AD115" s="104" t="s">
        <v>436</v>
      </c>
      <c r="AE115" s="105" t="s">
        <v>438</v>
      </c>
      <c r="AF115" s="105"/>
      <c r="AG115" s="105"/>
    </row>
    <row r="116" spans="1:40">
      <c r="A116" s="18"/>
      <c r="B116" s="18" t="s">
        <v>102</v>
      </c>
      <c r="C116" s="19" t="s">
        <v>200</v>
      </c>
      <c r="D116" s="20" t="s">
        <v>201</v>
      </c>
      <c r="E116" s="21">
        <v>803.48521515158154</v>
      </c>
      <c r="F116" s="21">
        <v>91.368088445696131</v>
      </c>
      <c r="L116" t="s">
        <v>202</v>
      </c>
      <c r="M116" t="s">
        <v>203</v>
      </c>
      <c r="N116">
        <v>6039.7360558036289</v>
      </c>
      <c r="O116">
        <v>5295.8676149211678</v>
      </c>
      <c r="P116" t="s">
        <v>202</v>
      </c>
      <c r="Q116">
        <v>8523.1470535507797</v>
      </c>
      <c r="R116">
        <v>7333.4611864639101</v>
      </c>
      <c r="T116" s="9" t="s">
        <v>19</v>
      </c>
      <c r="U116" s="9" t="s">
        <v>102</v>
      </c>
      <c r="V116" s="10" t="s">
        <v>103</v>
      </c>
      <c r="W116" s="11"/>
      <c r="X116" s="11">
        <f>VLOOKUP(U116,'[1]% SECCION_ECONOMIA 2022'!$C$81:$I$209,7,FALSE)</f>
        <v>240.86267546609474</v>
      </c>
      <c r="Y116" s="12">
        <v>878.1311479969014</v>
      </c>
      <c r="Z116" s="12">
        <v>100</v>
      </c>
      <c r="AA116" s="22">
        <f>X116/$X$2</f>
        <v>2.3082270904677821E-3</v>
      </c>
      <c r="AB116" t="s">
        <v>204</v>
      </c>
      <c r="AC116" t="str">
        <f>LEFT(AB116,4)</f>
        <v>1101</v>
      </c>
      <c r="AD116" s="75" t="s">
        <v>204</v>
      </c>
      <c r="AE116" s="22" t="str">
        <f>V116</f>
        <v>Destilación, rectificación y mezcla de bebidas alcohólicas</v>
      </c>
      <c r="AF116" s="22">
        <f>AN116</f>
        <v>0</v>
      </c>
      <c r="AG116" s="22">
        <f>VLOOKUP(U116,Sheet1!$B$3:$I$129,8,FALSE)</f>
        <v>2.0535363449582381E-3</v>
      </c>
      <c r="AH116" s="71">
        <f>AG116</f>
        <v>2.0535363449582381E-3</v>
      </c>
      <c r="AI116" s="100" t="e">
        <f>AG116/AF116-1</f>
        <v>#DIV/0!</v>
      </c>
      <c r="AL116" s="75" t="s">
        <v>204</v>
      </c>
      <c r="AM116" s="111" t="s">
        <v>103</v>
      </c>
    </row>
    <row r="117" spans="1:40">
      <c r="A117" s="9" t="s">
        <v>19</v>
      </c>
      <c r="B117" s="9" t="s">
        <v>106</v>
      </c>
      <c r="C117" s="10" t="s">
        <v>107</v>
      </c>
      <c r="D117" s="11"/>
      <c r="E117" s="12">
        <v>38.215260484391642</v>
      </c>
      <c r="F117" s="12">
        <v>100</v>
      </c>
      <c r="G117" s="13">
        <f>VLOOKUP(B117,$L$2:$N$122,3,FALSE)</f>
        <v>498.44563923866065</v>
      </c>
      <c r="L117" t="s">
        <v>205</v>
      </c>
      <c r="M117" t="s">
        <v>206</v>
      </c>
      <c r="N117">
        <v>1971.0781078954508</v>
      </c>
      <c r="O117">
        <v>1524.2706949233752</v>
      </c>
      <c r="P117" t="s">
        <v>205</v>
      </c>
      <c r="Q117">
        <v>3413.5208674757482</v>
      </c>
      <c r="R117">
        <v>2703.8682283503872</v>
      </c>
      <c r="T117" s="18"/>
      <c r="U117" s="18" t="s">
        <v>102</v>
      </c>
      <c r="V117" s="19" t="s">
        <v>200</v>
      </c>
      <c r="W117" s="20" t="s">
        <v>201</v>
      </c>
      <c r="X117" s="20"/>
      <c r="Y117" s="21">
        <v>799.91634450329082</v>
      </c>
      <c r="Z117" s="21">
        <v>91.09303847471692</v>
      </c>
      <c r="AD117" s="76"/>
      <c r="AE117" s="69" t="str">
        <f>W117</f>
        <v>Aguardientes, licores y demás bebidas espirituosas</v>
      </c>
      <c r="AF117" s="29">
        <f>$Z117*AF116/100</f>
        <v>0</v>
      </c>
      <c r="AG117" s="102">
        <f>VLOOKUP(V117,Sheet1!$C$4:$F$131,4,FALSE)</f>
        <v>91.368088445696131</v>
      </c>
      <c r="AH117" s="103">
        <f>AG117*AH116/100</f>
        <v>1.8762769039259587E-3</v>
      </c>
      <c r="AI117" s="100" t="e">
        <f>AH117/AF117-1</f>
        <v>#DIV/0!</v>
      </c>
    </row>
    <row r="118" spans="1:40">
      <c r="A118" s="44"/>
      <c r="B118" s="44"/>
      <c r="C118" s="45"/>
      <c r="D118" s="46"/>
      <c r="E118" s="47"/>
      <c r="F118" s="47"/>
      <c r="G118" s="48"/>
      <c r="T118" s="30"/>
      <c r="U118" s="30"/>
      <c r="V118" s="31"/>
      <c r="W118" s="32"/>
      <c r="X118" s="32"/>
      <c r="Y118" s="33"/>
      <c r="Z118" s="33"/>
      <c r="AD118" s="104" t="s">
        <v>439</v>
      </c>
      <c r="AE118" s="105" t="s">
        <v>440</v>
      </c>
      <c r="AF118" s="106" t="e">
        <f>AF117/AF117*AF116</f>
        <v>#DIV/0!</v>
      </c>
      <c r="AG118" s="105"/>
      <c r="AH118" s="106">
        <f>AH117/AH117*AH116</f>
        <v>2.0535363449582381E-3</v>
      </c>
    </row>
    <row r="119" spans="1:40">
      <c r="A119" s="18"/>
      <c r="B119" s="18" t="s">
        <v>106</v>
      </c>
      <c r="C119" s="19" t="s">
        <v>207</v>
      </c>
      <c r="D119" s="20" t="s">
        <v>208</v>
      </c>
      <c r="E119" s="21">
        <v>35.10522907617964</v>
      </c>
      <c r="F119" s="21">
        <v>91.861807642310225</v>
      </c>
      <c r="L119" t="s">
        <v>209</v>
      </c>
      <c r="M119" t="s">
        <v>210</v>
      </c>
      <c r="N119">
        <v>3171.0527222929395</v>
      </c>
      <c r="O119">
        <v>2184.6143527014324</v>
      </c>
      <c r="P119" t="s">
        <v>209</v>
      </c>
      <c r="Q119">
        <v>5559.8525531102305</v>
      </c>
      <c r="R119">
        <v>4144.6770972175173</v>
      </c>
      <c r="T119" s="9" t="s">
        <v>19</v>
      </c>
      <c r="U119" s="9" t="s">
        <v>106</v>
      </c>
      <c r="V119" s="10" t="s">
        <v>107</v>
      </c>
      <c r="W119" s="11"/>
      <c r="X119" s="11">
        <f>VLOOKUP(U119,'[1]% SECCION_ECONOMIA 2022'!$C$81:$I$209,7,FALSE)</f>
        <v>13.349359091360686</v>
      </c>
      <c r="Y119" s="12">
        <v>34.667856858564441</v>
      </c>
      <c r="Z119" s="12">
        <v>100</v>
      </c>
      <c r="AA119" s="22">
        <f>X119/$X$2</f>
        <v>1.2792912905843138E-4</v>
      </c>
      <c r="AB119" t="s">
        <v>211</v>
      </c>
      <c r="AC119" t="str">
        <f>LEFT(AB119,4)</f>
        <v>1102</v>
      </c>
      <c r="AD119" s="75" t="s">
        <v>211</v>
      </c>
      <c r="AE119" s="22" t="str">
        <f>V119</f>
        <v>Elaboración de vinos</v>
      </c>
      <c r="AF119" s="22">
        <f>AN119</f>
        <v>0</v>
      </c>
      <c r="AG119" s="22">
        <f>VLOOKUP(U119,Sheet1!$B$3:$I$129,8,FALSE)</f>
        <v>1.4386627712033258E-4</v>
      </c>
      <c r="AH119" s="71">
        <f>AG119</f>
        <v>1.4386627712033258E-4</v>
      </c>
      <c r="AI119" s="100" t="e">
        <f>AG119/AF119-1</f>
        <v>#DIV/0!</v>
      </c>
      <c r="AL119" s="75" t="s">
        <v>211</v>
      </c>
      <c r="AM119" s="111" t="s">
        <v>107</v>
      </c>
    </row>
    <row r="120" spans="1:40">
      <c r="A120" s="9" t="s">
        <v>19</v>
      </c>
      <c r="B120" s="9" t="s">
        <v>111</v>
      </c>
      <c r="C120" s="10" t="s">
        <v>112</v>
      </c>
      <c r="D120" s="11"/>
      <c r="E120" s="12">
        <v>3428.6402603418906</v>
      </c>
      <c r="F120" s="12">
        <v>100</v>
      </c>
      <c r="G120" s="13">
        <f>VLOOKUP(B120,$L$2:$N$122,3,FALSE)</f>
        <v>5444.9937426938186</v>
      </c>
      <c r="L120" t="s">
        <v>212</v>
      </c>
      <c r="M120" t="s">
        <v>213</v>
      </c>
      <c r="N120">
        <v>814.73954029918548</v>
      </c>
      <c r="O120">
        <v>689.9089504437494</v>
      </c>
      <c r="P120" t="s">
        <v>212</v>
      </c>
      <c r="Q120">
        <v>1395.5779096142346</v>
      </c>
      <c r="R120">
        <v>1167.5372909642072</v>
      </c>
      <c r="T120" s="18"/>
      <c r="U120" s="18" t="s">
        <v>106</v>
      </c>
      <c r="V120" s="19" t="s">
        <v>207</v>
      </c>
      <c r="W120" s="20" t="s">
        <v>208</v>
      </c>
      <c r="X120" s="20"/>
      <c r="Y120" s="21">
        <v>32.035334722564535</v>
      </c>
      <c r="Z120" s="21">
        <v>92.406446851503134</v>
      </c>
      <c r="AD120" s="76"/>
      <c r="AE120" s="69" t="str">
        <f>W120</f>
        <v>Vinos</v>
      </c>
      <c r="AF120" s="29">
        <f>$Z120*AF119/100</f>
        <v>0</v>
      </c>
      <c r="AG120" s="102">
        <f>VLOOKUP(V120,Sheet1!$C$4:$F$131,4,FALSE)</f>
        <v>91.861807642310225</v>
      </c>
      <c r="AH120" s="103">
        <f>AG120*AH119/100</f>
        <v>1.3215816275043287E-4</v>
      </c>
      <c r="AI120" s="100" t="e">
        <f>AH120/AF120-1</f>
        <v>#DIV/0!</v>
      </c>
    </row>
    <row r="121" spans="1:40">
      <c r="A121" s="49"/>
      <c r="B121" s="49"/>
      <c r="C121" s="50"/>
      <c r="D121" s="51"/>
      <c r="E121" s="52"/>
      <c r="F121" s="52"/>
      <c r="G121" s="48"/>
      <c r="T121" s="30"/>
      <c r="U121" s="30"/>
      <c r="V121" s="31"/>
      <c r="W121" s="32"/>
      <c r="X121" s="32"/>
      <c r="Y121" s="33"/>
      <c r="Z121" s="33"/>
      <c r="AD121" s="104" t="s">
        <v>441</v>
      </c>
      <c r="AE121" s="105" t="s">
        <v>442</v>
      </c>
      <c r="AF121" s="106" t="e">
        <f>AF120/AF120*AF119</f>
        <v>#DIV/0!</v>
      </c>
      <c r="AG121" s="105"/>
      <c r="AH121" s="106">
        <f>AH120/AH120*AH119</f>
        <v>1.4386627712033258E-4</v>
      </c>
    </row>
    <row r="122" spans="1:40">
      <c r="A122" s="23"/>
      <c r="B122" s="23" t="s">
        <v>111</v>
      </c>
      <c r="C122" s="24" t="s">
        <v>214</v>
      </c>
      <c r="D122" s="25" t="s">
        <v>215</v>
      </c>
      <c r="E122" s="26">
        <v>2998.2345878029055</v>
      </c>
      <c r="F122" s="26">
        <v>87.446753235754542</v>
      </c>
      <c r="L122" t="s">
        <v>216</v>
      </c>
      <c r="M122" t="s">
        <v>217</v>
      </c>
      <c r="N122">
        <v>3451.9687156580494</v>
      </c>
      <c r="O122">
        <v>2954.8307321334614</v>
      </c>
      <c r="P122" t="s">
        <v>216</v>
      </c>
      <c r="Q122">
        <v>0</v>
      </c>
      <c r="R122">
        <v>4491.5061486696877</v>
      </c>
      <c r="T122" s="9" t="s">
        <v>19</v>
      </c>
      <c r="U122" s="9" t="s">
        <v>111</v>
      </c>
      <c r="V122" s="10" t="s">
        <v>112</v>
      </c>
      <c r="W122" s="11"/>
      <c r="X122" s="11">
        <f>VLOOKUP(U122,'[1]% SECCION_ECONOMIA 2022'!$C$81:$I$209,7,FALSE)</f>
        <v>658.64412518399376</v>
      </c>
      <c r="Y122" s="12">
        <v>3029.7594103614033</v>
      </c>
      <c r="Z122" s="12">
        <v>100</v>
      </c>
      <c r="AA122" s="22">
        <f>X122/$X$2</f>
        <v>6.3118962279448488E-3</v>
      </c>
      <c r="AB122" t="s">
        <v>218</v>
      </c>
      <c r="AC122" t="str">
        <f>LEFT(AB122,4)</f>
        <v>1103</v>
      </c>
      <c r="AD122" s="75" t="s">
        <v>218</v>
      </c>
      <c r="AE122" s="22" t="str">
        <f>V122</f>
        <v>Elaboración de bebidas malteadas y de malta</v>
      </c>
      <c r="AF122" s="22">
        <f>AN122</f>
        <v>6.6859506898360463E-3</v>
      </c>
      <c r="AG122" s="22">
        <f>VLOOKUP(U122,Sheet1!$B$3:$I$129,8,FALSE)</f>
        <v>8.1895583025796779E-3</v>
      </c>
      <c r="AH122" s="71">
        <f>AG122</f>
        <v>8.1895583025796779E-3</v>
      </c>
      <c r="AI122" s="100">
        <f>AG122/AF122-1</f>
        <v>0.2248906225152707</v>
      </c>
      <c r="AL122" s="75" t="s">
        <v>218</v>
      </c>
      <c r="AM122" s="22" t="s">
        <v>112</v>
      </c>
      <c r="AN122">
        <v>6.6859506898360463E-3</v>
      </c>
    </row>
    <row r="123" spans="1:40">
      <c r="A123" s="18"/>
      <c r="B123" s="18" t="s">
        <v>111</v>
      </c>
      <c r="C123" s="19" t="s">
        <v>219</v>
      </c>
      <c r="D123" s="20" t="s">
        <v>220</v>
      </c>
      <c r="E123" s="21">
        <v>329.23212490510099</v>
      </c>
      <c r="F123" s="21">
        <v>9.6024108657077729</v>
      </c>
      <c r="T123" s="23"/>
      <c r="U123" s="23" t="s">
        <v>111</v>
      </c>
      <c r="V123" s="24" t="s">
        <v>214</v>
      </c>
      <c r="W123" s="25" t="s">
        <v>215</v>
      </c>
      <c r="X123" s="25"/>
      <c r="Y123" s="26">
        <v>2573.7402812742039</v>
      </c>
      <c r="Z123" s="26">
        <v>84.948668612838688</v>
      </c>
      <c r="AD123" s="76"/>
      <c r="AE123" s="69" t="str">
        <f>W123</f>
        <v>Cerveza de malta</v>
      </c>
      <c r="AF123" s="29">
        <f>$Z123*AF122/100</f>
        <v>5.6796260951266254E-3</v>
      </c>
      <c r="AG123" s="102">
        <f>VLOOKUP(V123,Sheet1!$C$4:$F$131,4,FALSE)</f>
        <v>87.446753235754542</v>
      </c>
      <c r="AH123" s="103">
        <f>AG123*AH$122/100</f>
        <v>7.1615028399550995E-3</v>
      </c>
      <c r="AI123" s="100">
        <f>AH123/AF123-1</f>
        <v>0.26091096843505079</v>
      </c>
    </row>
    <row r="124" spans="1:40">
      <c r="A124" s="30"/>
      <c r="B124" s="30"/>
      <c r="C124" s="31"/>
      <c r="D124" s="32"/>
      <c r="E124" s="33"/>
      <c r="F124" s="33"/>
      <c r="T124" s="18"/>
      <c r="U124" s="18"/>
      <c r="V124" s="19"/>
      <c r="W124" s="20"/>
      <c r="X124" s="20"/>
      <c r="Y124" s="21"/>
      <c r="Z124" s="21"/>
      <c r="AD124" s="74" t="s">
        <v>443</v>
      </c>
      <c r="AE124" t="s">
        <v>444</v>
      </c>
      <c r="AF124" s="106">
        <f>AF123/AF123*AF122</f>
        <v>6.6859506898360463E-3</v>
      </c>
      <c r="AH124" s="106">
        <f>AH123/AH123*AH122</f>
        <v>8.1895583025796779E-3</v>
      </c>
    </row>
    <row r="125" spans="1:40">
      <c r="A125" s="9" t="s">
        <v>19</v>
      </c>
      <c r="B125" s="9" t="s">
        <v>113</v>
      </c>
      <c r="C125" s="10" t="s">
        <v>114</v>
      </c>
      <c r="D125" s="11"/>
      <c r="E125" s="12">
        <v>16590.236747271294</v>
      </c>
      <c r="F125" s="12">
        <v>100</v>
      </c>
      <c r="G125" s="13">
        <f>VLOOKUP(B125,$L$2:$N$122,3,FALSE)</f>
        <v>1144.4534768966082</v>
      </c>
      <c r="T125" s="18"/>
      <c r="U125" s="18" t="s">
        <v>111</v>
      </c>
      <c r="V125" s="19" t="s">
        <v>219</v>
      </c>
      <c r="W125" s="20" t="s">
        <v>220</v>
      </c>
      <c r="X125" s="20"/>
      <c r="Y125" s="21">
        <v>368.268524007949</v>
      </c>
      <c r="Z125" s="21">
        <v>12.155041840897205</v>
      </c>
      <c r="AD125" s="76"/>
      <c r="AE125" s="69" t="str">
        <f>W125</f>
        <v xml:space="preserve">Servicios de Comercio </v>
      </c>
      <c r="AF125" s="29">
        <f>$Z125*AF122/100</f>
        <v>8.126801038113267E-4</v>
      </c>
      <c r="AG125" s="102">
        <f>VLOOKUP(V125,Sheet1!$C$4:$F$131,4,FALSE)</f>
        <v>9.6024108657077729</v>
      </c>
      <c r="AH125" s="103">
        <f>AG125*AH$122/100</f>
        <v>7.8639503630038409E-4</v>
      </c>
      <c r="AI125" s="100">
        <f>AH125/AF125-1</f>
        <v>-3.2343682818947173E-2</v>
      </c>
    </row>
    <row r="126" spans="1:40">
      <c r="A126" s="18"/>
      <c r="B126" s="18" t="s">
        <v>113</v>
      </c>
      <c r="C126" s="19" t="s">
        <v>91</v>
      </c>
      <c r="D126" s="20" t="s">
        <v>92</v>
      </c>
      <c r="E126" s="21">
        <v>13464.372045382079</v>
      </c>
      <c r="F126" s="21">
        <v>81.158408107688118</v>
      </c>
      <c r="T126" s="9" t="s">
        <v>19</v>
      </c>
      <c r="U126" s="9" t="s">
        <v>113</v>
      </c>
      <c r="V126" s="10" t="s">
        <v>114</v>
      </c>
      <c r="W126" s="11"/>
      <c r="X126" s="11">
        <f>VLOOKUP(U126,'[1]% SECCION_ECONOMIA 2022'!$C$81:$I$209,7,FALSE)</f>
        <v>3733.6506540269183</v>
      </c>
      <c r="Y126" s="12">
        <v>14340.218678954658</v>
      </c>
      <c r="Z126" s="12">
        <v>100</v>
      </c>
      <c r="AA126" s="22">
        <f>X126/$X$2</f>
        <v>3.5780195371867912E-2</v>
      </c>
      <c r="AB126" t="s">
        <v>221</v>
      </c>
      <c r="AC126" t="str">
        <f>LEFT(AB126,4)</f>
        <v>1104</v>
      </c>
      <c r="AD126" s="75" t="s">
        <v>221</v>
      </c>
      <c r="AE126" s="22" t="str">
        <f>V126</f>
        <v>Elaboración de bebidas no alcohólicas; producción de aguas minerales y otras aguas embotelladas</v>
      </c>
      <c r="AF126" s="22">
        <f>AA126</f>
        <v>3.5780195371867912E-2</v>
      </c>
      <c r="AG126" s="22">
        <f>VLOOKUP(U126,Sheet1!$B$3:$I$129,8,FALSE)</f>
        <v>4.213128196630591E-2</v>
      </c>
      <c r="AH126" s="71">
        <f>AG126</f>
        <v>4.213128196630591E-2</v>
      </c>
      <c r="AI126" s="100">
        <f>AG126/AF126-1</f>
        <v>0.17750284838946184</v>
      </c>
      <c r="AL126" s="75" t="s">
        <v>221</v>
      </c>
      <c r="AM126" s="22" t="s">
        <v>114</v>
      </c>
      <c r="AN126">
        <v>3.7900594890942982E-2</v>
      </c>
    </row>
    <row r="127" spans="1:40">
      <c r="A127" s="9" t="s">
        <v>19</v>
      </c>
      <c r="B127" s="9" t="s">
        <v>117</v>
      </c>
      <c r="C127" s="10" t="s">
        <v>118</v>
      </c>
      <c r="D127" s="11"/>
      <c r="E127" s="12">
        <v>592.10473339875182</v>
      </c>
      <c r="F127" s="12">
        <v>100</v>
      </c>
      <c r="G127" s="13">
        <f>VLOOKUP(B127,$L$2:$N$122,3,FALSE)</f>
        <v>6842.7117945950213</v>
      </c>
      <c r="T127" s="18"/>
      <c r="U127" s="18" t="s">
        <v>113</v>
      </c>
      <c r="V127" s="19" t="s">
        <v>91</v>
      </c>
      <c r="W127" s="20" t="s">
        <v>92</v>
      </c>
      <c r="X127" s="20"/>
      <c r="Y127" s="21">
        <v>11621.953178657766</v>
      </c>
      <c r="Z127" s="21">
        <v>81.044462702049657</v>
      </c>
      <c r="AD127" s="76"/>
      <c r="AE127" s="69" t="str">
        <f>W127</f>
        <v>Bebidas no alcohólicas</v>
      </c>
      <c r="AF127" s="29">
        <f>$Z127*AF126/100</f>
        <v>2.8997867092873986E-2</v>
      </c>
      <c r="AG127" s="21">
        <v>81.158408107688118</v>
      </c>
      <c r="AH127" s="103">
        <f>AG127*AH126/100</f>
        <v>3.419307775921536E-2</v>
      </c>
      <c r="AI127" s="100">
        <f>AH127/AF127-1</f>
        <v>0.17915837222448872</v>
      </c>
    </row>
    <row r="128" spans="1:40">
      <c r="A128" s="44"/>
      <c r="B128" s="44"/>
      <c r="C128" s="45"/>
      <c r="D128" s="46"/>
      <c r="E128" s="47"/>
      <c r="F128" s="47"/>
      <c r="G128" s="48"/>
      <c r="T128" s="30"/>
      <c r="U128" s="30"/>
      <c r="V128" s="31"/>
      <c r="W128" s="32"/>
      <c r="X128" s="32"/>
      <c r="Y128" s="33"/>
      <c r="Z128" s="33"/>
      <c r="AD128" s="104" t="s">
        <v>352</v>
      </c>
      <c r="AE128" s="105" t="s">
        <v>353</v>
      </c>
      <c r="AF128" s="106">
        <f>AF127/AF127*AF126</f>
        <v>3.5780195371867912E-2</v>
      </c>
      <c r="AG128" s="105"/>
      <c r="AH128" s="106">
        <f>AH127/AH127*AH126</f>
        <v>4.213128196630591E-2</v>
      </c>
    </row>
    <row r="129" spans="1:40">
      <c r="A129" s="18"/>
      <c r="B129" s="18" t="s">
        <v>117</v>
      </c>
      <c r="C129" s="19" t="s">
        <v>222</v>
      </c>
      <c r="D129" s="20" t="s">
        <v>223</v>
      </c>
      <c r="E129" s="21">
        <v>543.99873855699116</v>
      </c>
      <c r="F129" s="21">
        <v>91.875424713187726</v>
      </c>
      <c r="N129" s="12">
        <f>SUBTOTAL(9,N2:N127)</f>
        <v>425482.97135527123</v>
      </c>
      <c r="O129" s="12"/>
      <c r="P129" s="12"/>
      <c r="Q129" s="12">
        <f>SUBTOTAL(9,Q2:Q127)</f>
        <v>769383.63828854763</v>
      </c>
      <c r="R129" s="12">
        <f>SUBTOTAL(9,R2:R127)</f>
        <v>604051.16714122542</v>
      </c>
      <c r="T129" s="9" t="s">
        <v>19</v>
      </c>
      <c r="U129" s="9" t="s">
        <v>117</v>
      </c>
      <c r="V129" s="10" t="s">
        <v>118</v>
      </c>
      <c r="W129" s="11"/>
      <c r="X129" s="11">
        <f>VLOOKUP(U129,'[1]% SECCION_ECONOMIA 2022'!$C$81:$I$209,7,FALSE)</f>
        <v>136.43915626828903</v>
      </c>
      <c r="Y129" s="12">
        <v>440.11407276109418</v>
      </c>
      <c r="Z129" s="12">
        <v>100</v>
      </c>
      <c r="AA129" s="22">
        <f>X129/$X$2</f>
        <v>1.3075191334215816E-3</v>
      </c>
      <c r="AB129" t="s">
        <v>224</v>
      </c>
      <c r="AC129" t="str">
        <f>LEFT(AB129,4)</f>
        <v>1200</v>
      </c>
      <c r="AD129" s="75" t="s">
        <v>224</v>
      </c>
      <c r="AE129" s="22" t="str">
        <f>V129</f>
        <v>Elaboración de productos de tabaco</v>
      </c>
      <c r="AF129" s="22">
        <f>AN129</f>
        <v>0</v>
      </c>
      <c r="AG129" s="22">
        <f>VLOOKUP(U129,Sheet1!$B$3:$I$129,8,FALSE)</f>
        <v>1.6469629976673013E-3</v>
      </c>
      <c r="AH129" s="71">
        <f>AG129</f>
        <v>1.6469629976673013E-3</v>
      </c>
      <c r="AI129" s="100" t="e">
        <f>AG129/AF129-1</f>
        <v>#DIV/0!</v>
      </c>
      <c r="AL129" s="75" t="s">
        <v>224</v>
      </c>
      <c r="AM129" s="111" t="s">
        <v>118</v>
      </c>
    </row>
    <row r="130" spans="1:40">
      <c r="A130" s="9" t="s">
        <v>19</v>
      </c>
      <c r="B130" s="9" t="s">
        <v>120</v>
      </c>
      <c r="C130" s="10" t="s">
        <v>121</v>
      </c>
      <c r="D130" s="11"/>
      <c r="E130" s="12">
        <v>4025.3308073487096</v>
      </c>
      <c r="F130" s="12">
        <v>100</v>
      </c>
      <c r="G130" s="13">
        <f>VLOOKUP(B130,$L$2:$N$122,3,FALSE)</f>
        <v>2897.0784764291157</v>
      </c>
      <c r="T130" s="18"/>
      <c r="U130" s="18" t="s">
        <v>117</v>
      </c>
      <c r="V130" s="19" t="s">
        <v>222</v>
      </c>
      <c r="W130" s="20" t="s">
        <v>223</v>
      </c>
      <c r="X130" s="20"/>
      <c r="Y130" s="21">
        <v>404.96309744396495</v>
      </c>
      <c r="Z130" s="21">
        <v>92.013212598132455</v>
      </c>
      <c r="AC130" t="s">
        <v>44</v>
      </c>
      <c r="AD130" s="76"/>
      <c r="AE130" s="69" t="str">
        <f>W130</f>
        <v>Productos del tabaco</v>
      </c>
      <c r="AF130" s="29">
        <f>$Z130*AF129/100</f>
        <v>0</v>
      </c>
      <c r="AG130" s="102">
        <f>VLOOKUP(V130,Sheet1!$C$4:$F$131,4,FALSE)</f>
        <v>91.875424713187726</v>
      </c>
      <c r="AH130" s="103">
        <f>AG130*AH129/100</f>
        <v>1.5131542489758812E-3</v>
      </c>
      <c r="AI130" s="100" t="e">
        <f>AH130/AF130-1</f>
        <v>#DIV/0!</v>
      </c>
    </row>
    <row r="131" spans="1:40">
      <c r="A131" s="23"/>
      <c r="B131" s="23" t="s">
        <v>120</v>
      </c>
      <c r="C131" s="24" t="s">
        <v>225</v>
      </c>
      <c r="D131" s="25" t="s">
        <v>226</v>
      </c>
      <c r="E131" s="26">
        <v>3041.0786451123008</v>
      </c>
      <c r="F131" s="26">
        <v>75.548539751328221</v>
      </c>
      <c r="T131" s="9" t="s">
        <v>19</v>
      </c>
      <c r="U131" s="9" t="s">
        <v>120</v>
      </c>
      <c r="V131" s="10" t="s">
        <v>121</v>
      </c>
      <c r="W131" s="11"/>
      <c r="X131" s="11">
        <f>VLOOKUP(U131,'[1]% SECCION_ECONOMIA 2022'!$C$81:$I$209,7,FALSE)</f>
        <v>1009.9897097161256</v>
      </c>
      <c r="Y131" s="12">
        <v>3739.5654325200658</v>
      </c>
      <c r="Z131" s="12">
        <v>100</v>
      </c>
      <c r="AA131" s="22">
        <f>X131/$X$2</f>
        <v>9.6788994166454746E-3</v>
      </c>
      <c r="AB131" t="s">
        <v>227</v>
      </c>
      <c r="AC131" t="str">
        <f>LEFT(AB131,4)</f>
        <v>1311</v>
      </c>
      <c r="AD131" s="75" t="s">
        <v>654</v>
      </c>
      <c r="AE131" s="22" t="str">
        <f>V131</f>
        <v>Hilatura, tejedura y acabado de productos textiles</v>
      </c>
      <c r="AF131" s="22">
        <f>AN131</f>
        <v>9.6915713315944545E-3</v>
      </c>
      <c r="AG131" s="22">
        <f>VLOOKUP(U131,Sheet1!$B$3:$I$129,8,FALSE)</f>
        <v>1.0292549259207926E-2</v>
      </c>
      <c r="AH131" s="71">
        <f>AG131</f>
        <v>1.0292549259207926E-2</v>
      </c>
      <c r="AI131" s="100">
        <f>AG131/AF131-1</f>
        <v>6.2010370357001632E-2</v>
      </c>
      <c r="AL131" s="75" t="s">
        <v>654</v>
      </c>
      <c r="AM131" s="22" t="s">
        <v>121</v>
      </c>
      <c r="AN131">
        <v>9.6915713315944545E-3</v>
      </c>
    </row>
    <row r="132" spans="1:40">
      <c r="A132" s="18"/>
      <c r="B132" s="18" t="s">
        <v>120</v>
      </c>
      <c r="C132" s="19" t="s">
        <v>142</v>
      </c>
      <c r="D132" s="20" t="s">
        <v>143</v>
      </c>
      <c r="E132" s="21">
        <v>727.34211651231885</v>
      </c>
      <c r="F132" s="21">
        <v>18.069126522085373</v>
      </c>
      <c r="T132" s="23"/>
      <c r="U132" s="23" t="s">
        <v>120</v>
      </c>
      <c r="V132" s="24" t="s">
        <v>225</v>
      </c>
      <c r="W132" s="25" t="s">
        <v>226</v>
      </c>
      <c r="X132" s="25"/>
      <c r="Y132" s="26">
        <v>2822.1039207318322</v>
      </c>
      <c r="Z132" s="26">
        <v>75.466092829669705</v>
      </c>
      <c r="AD132" s="76"/>
      <c r="AE132" s="69" t="str">
        <f>W132</f>
        <v>Hilados e hilos, tejidos y telas textiles</v>
      </c>
      <c r="AF132" s="29">
        <f>$Z132*AF131/100</f>
        <v>7.3138502177547268E-3</v>
      </c>
      <c r="AG132" s="102">
        <f>VLOOKUP(V132,Sheet1!$C$4:$F$131,4,FALSE)</f>
        <v>75.548539751328221</v>
      </c>
      <c r="AH132" s="103">
        <f>AG132*AH$131/100</f>
        <v>7.7758706685177384E-3</v>
      </c>
      <c r="AI132" s="100">
        <f>AH132/AF132-1</f>
        <v>6.3170619715650522E-2</v>
      </c>
    </row>
    <row r="133" spans="1:40">
      <c r="A133" s="30"/>
      <c r="B133" s="30"/>
      <c r="C133" s="31"/>
      <c r="D133" s="32"/>
      <c r="E133" s="33"/>
      <c r="F133" s="33"/>
      <c r="T133" s="18"/>
      <c r="U133" s="18"/>
      <c r="V133" s="19"/>
      <c r="W133" s="20"/>
      <c r="X133" s="20"/>
      <c r="Y133" s="21"/>
      <c r="Z133" s="21"/>
      <c r="AD133" s="104" t="s">
        <v>445</v>
      </c>
      <c r="AE133" s="105" t="s">
        <v>448</v>
      </c>
      <c r="AF133" s="106">
        <f>AF132/AF132*AF131</f>
        <v>9.6915713315944545E-3</v>
      </c>
      <c r="AG133" s="105"/>
      <c r="AH133" s="106">
        <f>AH132/AH132*AH131</f>
        <v>1.0292549259207926E-2</v>
      </c>
    </row>
    <row r="134" spans="1:40">
      <c r="A134" s="30"/>
      <c r="B134" s="30"/>
      <c r="C134" s="31"/>
      <c r="D134" s="32"/>
      <c r="E134" s="33"/>
      <c r="F134" s="33"/>
      <c r="T134" s="18"/>
      <c r="U134" s="18"/>
      <c r="V134" s="19"/>
      <c r="W134" s="20"/>
      <c r="X134" s="20"/>
      <c r="Y134" s="21"/>
      <c r="Z134" s="21"/>
      <c r="AD134" s="104" t="s">
        <v>447</v>
      </c>
      <c r="AE134" s="105" t="s">
        <v>446</v>
      </c>
      <c r="AF134" s="105"/>
      <c r="AG134" s="105"/>
    </row>
    <row r="135" spans="1:40">
      <c r="A135" s="30"/>
      <c r="B135" s="30"/>
      <c r="C135" s="31"/>
      <c r="D135" s="32"/>
      <c r="E135" s="33"/>
      <c r="F135" s="33"/>
      <c r="T135" s="18"/>
      <c r="U135" s="18"/>
      <c r="V135" s="19"/>
      <c r="W135" s="20"/>
      <c r="X135" s="20"/>
      <c r="Y135" s="21"/>
      <c r="Z135" s="21"/>
      <c r="AD135" s="104" t="s">
        <v>449</v>
      </c>
      <c r="AE135" s="105" t="s">
        <v>453</v>
      </c>
      <c r="AF135" s="105"/>
      <c r="AG135" s="105"/>
    </row>
    <row r="136" spans="1:40">
      <c r="A136" s="30"/>
      <c r="B136" s="30"/>
      <c r="C136" s="31"/>
      <c r="D136" s="32"/>
      <c r="E136" s="33"/>
      <c r="F136" s="33"/>
      <c r="T136" s="18"/>
      <c r="U136" s="18"/>
      <c r="V136" s="19"/>
      <c r="W136" s="20"/>
      <c r="X136" s="20"/>
      <c r="Y136" s="21"/>
      <c r="Z136" s="21"/>
      <c r="AD136" s="104" t="s">
        <v>450</v>
      </c>
      <c r="AE136" s="105" t="s">
        <v>454</v>
      </c>
      <c r="AF136" s="105"/>
      <c r="AG136" s="105"/>
    </row>
    <row r="137" spans="1:40">
      <c r="A137" s="30"/>
      <c r="B137" s="30"/>
      <c r="C137" s="31"/>
      <c r="D137" s="32"/>
      <c r="E137" s="33"/>
      <c r="F137" s="33"/>
      <c r="T137" s="18"/>
      <c r="U137" s="18"/>
      <c r="V137" s="19"/>
      <c r="W137" s="20"/>
      <c r="X137" s="20"/>
      <c r="Y137" s="21"/>
      <c r="Z137" s="21"/>
      <c r="AD137" s="104" t="s">
        <v>451</v>
      </c>
      <c r="AE137" s="105" t="s">
        <v>455</v>
      </c>
      <c r="AF137" s="105"/>
      <c r="AG137" s="105"/>
    </row>
    <row r="138" spans="1:40">
      <c r="A138" s="30"/>
      <c r="B138" s="30"/>
      <c r="C138" s="31"/>
      <c r="D138" s="32"/>
      <c r="E138" s="33"/>
      <c r="F138" s="33"/>
      <c r="T138" s="18"/>
      <c r="U138" s="18"/>
      <c r="V138" s="19"/>
      <c r="W138" s="20"/>
      <c r="X138" s="20"/>
      <c r="Y138" s="21"/>
      <c r="Z138" s="21"/>
      <c r="AD138" s="104" t="s">
        <v>452</v>
      </c>
      <c r="AE138" s="105" t="s">
        <v>456</v>
      </c>
      <c r="AF138" s="105"/>
      <c r="AG138" s="105"/>
    </row>
    <row r="139" spans="1:40">
      <c r="A139" s="9" t="s">
        <v>19</v>
      </c>
      <c r="B139" s="9" t="s">
        <v>124</v>
      </c>
      <c r="C139" s="10" t="s">
        <v>125</v>
      </c>
      <c r="D139" s="11"/>
      <c r="E139" s="12">
        <v>4462.3933199397816</v>
      </c>
      <c r="F139" s="12">
        <v>100</v>
      </c>
      <c r="G139" s="13">
        <f>VLOOKUP(B139,$L$2:$N$122,3,FALSE)</f>
        <v>3485.7240607585518</v>
      </c>
      <c r="T139" s="18"/>
      <c r="U139" s="18" t="s">
        <v>120</v>
      </c>
      <c r="V139" s="19" t="s">
        <v>142</v>
      </c>
      <c r="W139" s="20" t="s">
        <v>143</v>
      </c>
      <c r="X139" s="20"/>
      <c r="Y139" s="21">
        <v>675.26920073212455</v>
      </c>
      <c r="Z139" s="21">
        <v>18.057424396424203</v>
      </c>
      <c r="AD139" s="76"/>
      <c r="AE139" s="69" t="str">
        <f>W139</f>
        <v>Servicios de manufactura</v>
      </c>
      <c r="AF139" s="29">
        <f>$Z139*AF130/100</f>
        <v>0</v>
      </c>
      <c r="AG139" s="21">
        <v>18.069126522085373</v>
      </c>
      <c r="AH139" s="103">
        <f>AG139*AH$131/100</f>
        <v>1.8597737479942409E-3</v>
      </c>
      <c r="AI139" s="100" t="e">
        <f>AH139/AF139-1</f>
        <v>#DIV/0!</v>
      </c>
    </row>
    <row r="140" spans="1:40">
      <c r="A140" s="18"/>
      <c r="B140" s="18" t="s">
        <v>124</v>
      </c>
      <c r="C140" s="19" t="s">
        <v>228</v>
      </c>
      <c r="D140" s="20" t="s">
        <v>229</v>
      </c>
      <c r="E140" s="21">
        <v>3868.8442420131305</v>
      </c>
      <c r="F140" s="21">
        <v>86.698862350962358</v>
      </c>
      <c r="T140" s="9" t="s">
        <v>19</v>
      </c>
      <c r="U140" s="9" t="s">
        <v>124</v>
      </c>
      <c r="V140" s="10" t="s">
        <v>125</v>
      </c>
      <c r="W140" s="11"/>
      <c r="X140" s="11">
        <f>VLOOKUP(U140,'[1]% SECCION_ECONOMIA 2022'!$C$81:$I$209,7,FALSE)</f>
        <v>1823.3050436465455</v>
      </c>
      <c r="Y140" s="12">
        <v>4636.9259037490119</v>
      </c>
      <c r="Z140" s="12">
        <v>100</v>
      </c>
      <c r="AA140" s="22">
        <f>X140/$X$2</f>
        <v>1.7473035570112341E-2</v>
      </c>
      <c r="AB140" t="s">
        <v>230</v>
      </c>
      <c r="AC140" t="str">
        <f>LEFT(AB140,4)</f>
        <v>1391</v>
      </c>
      <c r="AD140" s="75" t="s">
        <v>653</v>
      </c>
      <c r="AE140" s="22" t="str">
        <f>V140</f>
        <v>Fabricación de otros productos textiles</v>
      </c>
      <c r="AF140" s="22">
        <f>AN140</f>
        <v>1.7495911809559998E-2</v>
      </c>
      <c r="AG140" s="22">
        <f>VLOOKUP(U140,Sheet1!$B$3:$I$129,8,FALSE)</f>
        <v>1.6513864093254265E-2</v>
      </c>
      <c r="AH140" s="71">
        <f>AG140</f>
        <v>1.6513864093254265E-2</v>
      </c>
      <c r="AI140" s="100">
        <f>AG140/AF140-1</f>
        <v>-5.6130124968344242E-2</v>
      </c>
      <c r="AL140" s="75" t="s">
        <v>653</v>
      </c>
      <c r="AM140" s="22" t="s">
        <v>125</v>
      </c>
      <c r="AN140">
        <v>1.7495911809559998E-2</v>
      </c>
    </row>
    <row r="141" spans="1:40">
      <c r="A141" s="9" t="s">
        <v>19</v>
      </c>
      <c r="B141" s="9" t="s">
        <v>129</v>
      </c>
      <c r="C141" s="10" t="s">
        <v>130</v>
      </c>
      <c r="D141" s="11"/>
      <c r="E141" s="12">
        <v>15213.014226648746</v>
      </c>
      <c r="F141" s="12">
        <v>100</v>
      </c>
      <c r="G141" s="13">
        <f>VLOOKUP(B141,$L$2:$N$122,3,FALSE)</f>
        <v>824.95014759750165</v>
      </c>
      <c r="T141" s="18"/>
      <c r="U141" s="18" t="s">
        <v>124</v>
      </c>
      <c r="V141" s="19" t="s">
        <v>228</v>
      </c>
      <c r="W141" s="20" t="s">
        <v>229</v>
      </c>
      <c r="X141" s="20"/>
      <c r="Y141" s="21">
        <v>4047.3121755161419</v>
      </c>
      <c r="Z141" s="21">
        <v>87.284383221302718</v>
      </c>
      <c r="AD141" s="76"/>
      <c r="AE141" s="69" t="str">
        <f>W141</f>
        <v>Otros productos textiles (artículos textiles excepto prendas de vestir)</v>
      </c>
      <c r="AF141" s="29">
        <f>$Z141*AF140/100</f>
        <v>1.5271198711917509E-2</v>
      </c>
      <c r="AG141" s="102">
        <f>VLOOKUP(V141,Sheet1!$C$4:$F$131,4,FALSE)</f>
        <v>86.698862350962358</v>
      </c>
      <c r="AH141" s="103">
        <f>AG141*AH140/100</f>
        <v>1.4317332299035512E-2</v>
      </c>
      <c r="AI141" s="100">
        <f>AH141/AF141-1</f>
        <v>-6.2461790385689109E-2</v>
      </c>
    </row>
    <row r="142" spans="1:40">
      <c r="A142" s="49"/>
      <c r="B142" s="49"/>
      <c r="C142" s="50"/>
      <c r="D142" s="51"/>
      <c r="E142" s="52"/>
      <c r="F142" s="52"/>
      <c r="G142" s="48"/>
      <c r="T142" s="30"/>
      <c r="U142" s="30"/>
      <c r="V142" s="31"/>
      <c r="W142" s="32"/>
      <c r="X142" s="32"/>
      <c r="Y142" s="33"/>
      <c r="Z142" s="33"/>
      <c r="AD142" s="104">
        <v>27120</v>
      </c>
      <c r="AE142" s="105" t="s">
        <v>457</v>
      </c>
      <c r="AF142" s="106">
        <f>AF141/AF141*AF140</f>
        <v>1.7495911809559998E-2</v>
      </c>
      <c r="AG142" s="105"/>
      <c r="AH142" s="106">
        <f>AH141/AH141*AH140</f>
        <v>1.6513864093254265E-2</v>
      </c>
    </row>
    <row r="143" spans="1:40">
      <c r="A143" s="49"/>
      <c r="B143" s="49"/>
      <c r="C143" s="50"/>
      <c r="D143" s="51"/>
      <c r="E143" s="52"/>
      <c r="F143" s="52"/>
      <c r="G143" s="48"/>
      <c r="T143" s="30"/>
      <c r="U143" s="30"/>
      <c r="V143" s="31"/>
      <c r="W143" s="32"/>
      <c r="X143" s="32"/>
      <c r="Y143" s="33"/>
      <c r="Z143" s="33"/>
      <c r="AD143" s="104">
        <v>27130</v>
      </c>
      <c r="AE143" s="105" t="s">
        <v>458</v>
      </c>
      <c r="AF143" s="105"/>
      <c r="AG143" s="105"/>
    </row>
    <row r="144" spans="1:40">
      <c r="A144" s="49"/>
      <c r="B144" s="49"/>
      <c r="C144" s="50"/>
      <c r="D144" s="51"/>
      <c r="E144" s="52"/>
      <c r="F144" s="52"/>
      <c r="G144" s="48"/>
      <c r="T144" s="30"/>
      <c r="U144" s="30"/>
      <c r="V144" s="31"/>
      <c r="W144" s="32"/>
      <c r="X144" s="32"/>
      <c r="Y144" s="33"/>
      <c r="Z144" s="33"/>
      <c r="AD144" s="104">
        <v>27180</v>
      </c>
      <c r="AE144" s="105" t="s">
        <v>459</v>
      </c>
      <c r="AF144" s="105"/>
      <c r="AG144" s="105"/>
    </row>
    <row r="145" spans="1:40">
      <c r="A145" s="49"/>
      <c r="B145" s="49"/>
      <c r="C145" s="50"/>
      <c r="D145" s="51"/>
      <c r="E145" s="52"/>
      <c r="F145" s="52"/>
      <c r="G145" s="48"/>
      <c r="T145" s="30"/>
      <c r="U145" s="30"/>
      <c r="V145" s="31"/>
      <c r="W145" s="32"/>
      <c r="X145" s="32"/>
      <c r="Y145" s="33"/>
      <c r="Z145" s="33"/>
      <c r="AD145" s="104">
        <v>27190</v>
      </c>
      <c r="AE145" s="105" t="s">
        <v>460</v>
      </c>
      <c r="AF145" s="105"/>
      <c r="AG145" s="105"/>
    </row>
    <row r="146" spans="1:40">
      <c r="A146" s="49"/>
      <c r="B146" s="49"/>
      <c r="C146" s="50"/>
      <c r="D146" s="51"/>
      <c r="E146" s="52"/>
      <c r="F146" s="52"/>
      <c r="G146" s="48"/>
      <c r="T146" s="30"/>
      <c r="U146" s="30"/>
      <c r="V146" s="31"/>
      <c r="W146" s="32"/>
      <c r="X146" s="32"/>
      <c r="Y146" s="33"/>
      <c r="Z146" s="33"/>
      <c r="AD146" s="104">
        <v>27911</v>
      </c>
      <c r="AE146" s="105" t="s">
        <v>461</v>
      </c>
      <c r="AF146" s="105"/>
      <c r="AG146" s="105"/>
    </row>
    <row r="147" spans="1:40" ht="28">
      <c r="A147" s="23"/>
      <c r="B147" s="23" t="s">
        <v>129</v>
      </c>
      <c r="C147" s="24" t="s">
        <v>231</v>
      </c>
      <c r="D147" s="25" t="s">
        <v>232</v>
      </c>
      <c r="E147" s="26">
        <v>9841.3733200490478</v>
      </c>
      <c r="F147" s="26">
        <v>64.69048916558458</v>
      </c>
      <c r="L147" s="34" t="s">
        <v>11</v>
      </c>
      <c r="M147" s="35" t="s">
        <v>233</v>
      </c>
      <c r="N147" s="36" t="s">
        <v>234</v>
      </c>
      <c r="O147" s="37" t="s">
        <v>235</v>
      </c>
      <c r="P147" s="38" t="s">
        <v>236</v>
      </c>
      <c r="Q147" s="39" t="s">
        <v>237</v>
      </c>
      <c r="T147" s="9" t="s">
        <v>19</v>
      </c>
      <c r="U147" s="9" t="s">
        <v>129</v>
      </c>
      <c r="V147" s="10" t="s">
        <v>130</v>
      </c>
      <c r="W147" s="11"/>
      <c r="X147" s="11">
        <f>VLOOKUP(U147,'[1]% SECCION_ECONOMIA 2022'!$C$81:$I$209,7,FALSE)</f>
        <v>7713.4459698159008</v>
      </c>
      <c r="Y147" s="12">
        <v>16131.452404454198</v>
      </c>
      <c r="Z147" s="12">
        <v>100</v>
      </c>
      <c r="AA147" s="22">
        <f>X147/$X$2</f>
        <v>7.3919235987623358E-2</v>
      </c>
      <c r="AB147" t="s">
        <v>238</v>
      </c>
      <c r="AC147" t="str">
        <f>LEFT(AB147,4)</f>
        <v>1410</v>
      </c>
      <c r="AD147" s="75" t="s">
        <v>652</v>
      </c>
      <c r="AE147" s="22" t="str">
        <f>V147</f>
        <v>Fabricación de prendas de vestir</v>
      </c>
      <c r="AF147" s="22">
        <f>AN147</f>
        <v>7.4016013341246634E-2</v>
      </c>
      <c r="AG147" s="22">
        <f>VLOOKUP(U147,Sheet1!$B$3:$I$129,8,FALSE)</f>
        <v>6.4394168905611532E-2</v>
      </c>
      <c r="AH147" s="71">
        <f>AG147</f>
        <v>6.4394168905611532E-2</v>
      </c>
      <c r="AI147" s="100">
        <f>AG147/AF147-1</f>
        <v>-0.12999679395422359</v>
      </c>
      <c r="AL147" s="75" t="s">
        <v>652</v>
      </c>
      <c r="AM147" s="22" t="s">
        <v>130</v>
      </c>
      <c r="AN147">
        <v>7.4016013341246634E-2</v>
      </c>
    </row>
    <row r="148" spans="1:40">
      <c r="A148" s="18"/>
      <c r="B148" s="18" t="s">
        <v>129</v>
      </c>
      <c r="C148" s="19" t="s">
        <v>142</v>
      </c>
      <c r="D148" s="20" t="s">
        <v>143</v>
      </c>
      <c r="E148" s="21">
        <v>4795.2754242084529</v>
      </c>
      <c r="F148" s="21">
        <v>31.52087648618993</v>
      </c>
      <c r="T148" s="23"/>
      <c r="U148" s="23" t="s">
        <v>129</v>
      </c>
      <c r="V148" s="24" t="s">
        <v>231</v>
      </c>
      <c r="W148" s="25" t="s">
        <v>232</v>
      </c>
      <c r="X148" s="25"/>
      <c r="Y148" s="26">
        <v>10425.586937494412</v>
      </c>
      <c r="Z148" s="26">
        <v>64.628941499500144</v>
      </c>
      <c r="AD148" s="76"/>
      <c r="AE148" s="69" t="str">
        <f>W148</f>
        <v>Prendas de vestir, adobo y teñido de pieles</v>
      </c>
      <c r="AF148" s="29">
        <f>Z148*AA147/100</f>
        <v>4.7773219783318562E-2</v>
      </c>
      <c r="AG148" s="102">
        <f>VLOOKUP(V148,Sheet1!$C$4:$F$131,4,FALSE)</f>
        <v>64.69048916558458</v>
      </c>
      <c r="AH148" s="103">
        <f>AG148*AH$147/100</f>
        <v>4.165690285915287E-2</v>
      </c>
      <c r="AI148" s="100">
        <f>AH148/AF148-1</f>
        <v>-0.12802814949268682</v>
      </c>
    </row>
    <row r="149" spans="1:40">
      <c r="A149" s="30"/>
      <c r="B149" s="30"/>
      <c r="C149" s="31"/>
      <c r="D149" s="32"/>
      <c r="E149" s="33"/>
      <c r="F149" s="33"/>
      <c r="T149" s="18"/>
      <c r="U149" s="18"/>
      <c r="V149" s="19"/>
      <c r="W149" s="20"/>
      <c r="X149" s="20"/>
      <c r="Y149" s="21"/>
      <c r="Z149" s="21"/>
      <c r="AD149" s="104" t="s">
        <v>462</v>
      </c>
      <c r="AE149" s="105" t="s">
        <v>470</v>
      </c>
      <c r="AF149" s="106">
        <f>AF148/($AF$148+$AF$157)*$AF$147</f>
        <v>4.9280324897315236E-2</v>
      </c>
      <c r="AG149" s="105"/>
      <c r="AH149" s="106">
        <f>AH148/($AH$148+$AH$157)*$AH$147</f>
        <v>4.3297278421267849E-2</v>
      </c>
    </row>
    <row r="150" spans="1:40">
      <c r="A150" s="30"/>
      <c r="B150" s="30"/>
      <c r="C150" s="31"/>
      <c r="D150" s="32"/>
      <c r="E150" s="33"/>
      <c r="F150" s="33"/>
      <c r="T150" s="18"/>
      <c r="U150" s="18"/>
      <c r="V150" s="19"/>
      <c r="W150" s="20"/>
      <c r="X150" s="20"/>
      <c r="Y150" s="21"/>
      <c r="Z150" s="21"/>
      <c r="AD150" s="104" t="s">
        <v>463</v>
      </c>
      <c r="AE150" s="105" t="s">
        <v>471</v>
      </c>
      <c r="AF150" s="105"/>
      <c r="AG150" s="105"/>
    </row>
    <row r="151" spans="1:40">
      <c r="A151" s="30"/>
      <c r="B151" s="30"/>
      <c r="C151" s="31"/>
      <c r="D151" s="32"/>
      <c r="E151" s="33"/>
      <c r="F151" s="33"/>
      <c r="T151" s="18"/>
      <c r="U151" s="18"/>
      <c r="V151" s="19"/>
      <c r="W151" s="20"/>
      <c r="X151" s="20"/>
      <c r="Y151" s="21"/>
      <c r="Z151" s="21"/>
      <c r="AD151" s="104" t="s">
        <v>464</v>
      </c>
      <c r="AE151" s="105" t="s">
        <v>472</v>
      </c>
      <c r="AF151" s="105"/>
      <c r="AG151" s="105"/>
    </row>
    <row r="152" spans="1:40">
      <c r="A152" s="30"/>
      <c r="B152" s="30"/>
      <c r="C152" s="31"/>
      <c r="D152" s="32"/>
      <c r="E152" s="33"/>
      <c r="F152" s="33"/>
      <c r="T152" s="18"/>
      <c r="U152" s="18"/>
      <c r="V152" s="19"/>
      <c r="W152" s="20"/>
      <c r="X152" s="20"/>
      <c r="Y152" s="21"/>
      <c r="Z152" s="21"/>
      <c r="AD152" s="104" t="s">
        <v>465</v>
      </c>
      <c r="AE152" s="105" t="s">
        <v>473</v>
      </c>
      <c r="AF152" s="105"/>
      <c r="AG152" s="105"/>
    </row>
    <row r="153" spans="1:40">
      <c r="A153" s="30"/>
      <c r="B153" s="30"/>
      <c r="C153" s="31"/>
      <c r="D153" s="32"/>
      <c r="E153" s="33"/>
      <c r="F153" s="33"/>
      <c r="T153" s="18"/>
      <c r="U153" s="18"/>
      <c r="V153" s="19"/>
      <c r="W153" s="20"/>
      <c r="X153" s="20"/>
      <c r="Y153" s="21"/>
      <c r="Z153" s="21"/>
      <c r="AD153" s="104" t="s">
        <v>466</v>
      </c>
      <c r="AE153" s="105" t="s">
        <v>474</v>
      </c>
      <c r="AF153" s="105"/>
      <c r="AG153" s="105"/>
    </row>
    <row r="154" spans="1:40">
      <c r="A154" s="30"/>
      <c r="B154" s="30"/>
      <c r="C154" s="31"/>
      <c r="D154" s="32"/>
      <c r="E154" s="33"/>
      <c r="F154" s="33"/>
      <c r="T154" s="18"/>
      <c r="U154" s="18"/>
      <c r="V154" s="19"/>
      <c r="W154" s="20"/>
      <c r="X154" s="20"/>
      <c r="Y154" s="21"/>
      <c r="Z154" s="21"/>
      <c r="AD154" s="104" t="s">
        <v>467</v>
      </c>
      <c r="AE154" s="105" t="s">
        <v>475</v>
      </c>
      <c r="AF154" s="105"/>
      <c r="AG154" s="105"/>
    </row>
    <row r="155" spans="1:40">
      <c r="A155" s="30"/>
      <c r="B155" s="30"/>
      <c r="C155" s="31"/>
      <c r="D155" s="32"/>
      <c r="E155" s="33"/>
      <c r="F155" s="33"/>
      <c r="T155" s="18"/>
      <c r="U155" s="18"/>
      <c r="V155" s="19"/>
      <c r="W155" s="20"/>
      <c r="X155" s="20"/>
      <c r="Y155" s="21"/>
      <c r="Z155" s="21"/>
      <c r="AD155" s="104" t="s">
        <v>468</v>
      </c>
      <c r="AE155" s="105" t="s">
        <v>476</v>
      </c>
      <c r="AF155" s="105"/>
      <c r="AG155" s="105"/>
    </row>
    <row r="156" spans="1:40">
      <c r="A156" s="30"/>
      <c r="B156" s="30"/>
      <c r="C156" s="31"/>
      <c r="D156" s="32"/>
      <c r="E156" s="33"/>
      <c r="F156" s="33"/>
      <c r="T156" s="18"/>
      <c r="U156" s="18"/>
      <c r="V156" s="19"/>
      <c r="W156" s="20"/>
      <c r="X156" s="20"/>
      <c r="Y156" s="21"/>
      <c r="Z156" s="21"/>
      <c r="AD156" s="104" t="s">
        <v>469</v>
      </c>
      <c r="AE156" s="105" t="s">
        <v>477</v>
      </c>
      <c r="AF156" s="105"/>
      <c r="AG156" s="105"/>
    </row>
    <row r="157" spans="1:40">
      <c r="A157" s="9" t="s">
        <v>19</v>
      </c>
      <c r="B157" s="9" t="s">
        <v>131</v>
      </c>
      <c r="C157" s="10" t="s">
        <v>132</v>
      </c>
      <c r="D157" s="11"/>
      <c r="E157" s="12">
        <v>1107.7907259689687</v>
      </c>
      <c r="F157" s="12">
        <v>100</v>
      </c>
      <c r="G157" s="13">
        <f>VLOOKUP(B157,$L$2:$N$122,3,FALSE)</f>
        <v>12093.331056389025</v>
      </c>
      <c r="T157" s="18"/>
      <c r="U157" s="18" t="s">
        <v>129</v>
      </c>
      <c r="V157" s="19" t="s">
        <v>142</v>
      </c>
      <c r="W157" s="20" t="s">
        <v>143</v>
      </c>
      <c r="X157" s="20"/>
      <c r="Y157" s="21">
        <v>5233.0026408781259</v>
      </c>
      <c r="Z157" s="21">
        <v>32.439748819103201</v>
      </c>
      <c r="AD157" s="76"/>
      <c r="AE157" s="69" t="str">
        <f>W157</f>
        <v>Servicios de manufactura</v>
      </c>
      <c r="AF157" s="29">
        <f>Z157*AA147/100</f>
        <v>2.3979214483385157E-2</v>
      </c>
      <c r="AG157" s="102">
        <v>31.52087648618993</v>
      </c>
      <c r="AH157" s="103">
        <f>AG157*AH$147/100</f>
        <v>2.0297606445046332E-2</v>
      </c>
      <c r="AI157" s="100">
        <f>AH157/AF157-1</f>
        <v>-0.15353330447457969</v>
      </c>
      <c r="AJ157" s="120"/>
    </row>
    <row r="158" spans="1:40">
      <c r="A158" s="49"/>
      <c r="B158" s="49"/>
      <c r="C158" s="50"/>
      <c r="D158" s="51"/>
      <c r="E158" s="52"/>
      <c r="F158" s="52"/>
      <c r="G158" s="48"/>
      <c r="T158" s="30"/>
      <c r="U158" s="30"/>
      <c r="V158" s="31"/>
      <c r="W158" s="32"/>
      <c r="X158" s="32"/>
      <c r="Y158" s="33"/>
      <c r="Z158" s="33"/>
      <c r="AD158" s="107" t="s">
        <v>478</v>
      </c>
      <c r="AE158" s="108" t="s">
        <v>480</v>
      </c>
      <c r="AF158" s="106">
        <f>AF157/($AF$148+$AF$157)*$AF$147</f>
        <v>2.4735688443931394E-2</v>
      </c>
      <c r="AG158" s="105"/>
      <c r="AH158" s="106">
        <f>AH157/($AH$148+$AH$157)*$AH$147</f>
        <v>2.1096890484343694E-2</v>
      </c>
    </row>
    <row r="159" spans="1:40">
      <c r="A159" s="49"/>
      <c r="B159" s="49"/>
      <c r="C159" s="50"/>
      <c r="D159" s="51"/>
      <c r="E159" s="52"/>
      <c r="F159" s="52"/>
      <c r="G159" s="48"/>
      <c r="T159" s="30"/>
      <c r="U159" s="30"/>
      <c r="V159" s="31"/>
      <c r="W159" s="32"/>
      <c r="X159" s="32"/>
      <c r="Y159" s="33"/>
      <c r="Z159" s="33"/>
      <c r="AD159" s="107" t="s">
        <v>479</v>
      </c>
      <c r="AE159" s="108" t="s">
        <v>481</v>
      </c>
      <c r="AF159" s="109"/>
      <c r="AG159" s="105"/>
    </row>
    <row r="160" spans="1:40">
      <c r="A160" s="23"/>
      <c r="B160" s="23" t="s">
        <v>131</v>
      </c>
      <c r="C160" s="24" t="s">
        <v>239</v>
      </c>
      <c r="D160" s="25" t="s">
        <v>240</v>
      </c>
      <c r="E160" s="26">
        <v>781.86290924823822</v>
      </c>
      <c r="F160" s="26">
        <v>70.578575079183295</v>
      </c>
      <c r="T160" s="9" t="s">
        <v>19</v>
      </c>
      <c r="U160" s="9" t="s">
        <v>131</v>
      </c>
      <c r="V160" s="10" t="s">
        <v>132</v>
      </c>
      <c r="W160" s="11"/>
      <c r="X160" s="11">
        <f>VLOOKUP(U160,'[1]% SECCION_ECONOMIA 2022'!$C$81:$I$209,7,FALSE)</f>
        <v>347.35198911100792</v>
      </c>
      <c r="Y160" s="12">
        <v>1007.8272822403886</v>
      </c>
      <c r="Z160" s="12">
        <v>100</v>
      </c>
      <c r="AA160" s="22">
        <f>X160/$X$2</f>
        <v>3.3287318993795701E-3</v>
      </c>
      <c r="AB160" t="s">
        <v>241</v>
      </c>
      <c r="AC160" t="str">
        <f>LEFT(AB160,4)</f>
        <v>1511</v>
      </c>
      <c r="AD160" s="75" t="str">
        <f>MID(AB160,7,4)</f>
        <v>1512</v>
      </c>
      <c r="AE160" s="22" t="str">
        <f>V160</f>
        <v>Curtido, adobo, teñido de cueros y pieles; fabricación de maletas, bolsos de mano y artículos similares, y  artículos de talabartería y guarnicionería</v>
      </c>
      <c r="AF160" s="22">
        <f>AN160</f>
        <v>0</v>
      </c>
      <c r="AG160" s="22">
        <f>VLOOKUP(U160,Sheet1!$B$3:$I$129,8,FALSE)</f>
        <v>3.6412165025461298E-3</v>
      </c>
      <c r="AH160" s="71">
        <f>AG160</f>
        <v>3.6412165025461298E-3</v>
      </c>
      <c r="AI160" s="100" t="e">
        <f>AG160/AF160-1</f>
        <v>#DIV/0!</v>
      </c>
      <c r="AL160" s="75" t="s">
        <v>664</v>
      </c>
      <c r="AM160" s="111" t="s">
        <v>132</v>
      </c>
    </row>
    <row r="161" spans="1:40">
      <c r="A161" s="18"/>
      <c r="B161" s="18" t="s">
        <v>131</v>
      </c>
      <c r="C161" s="19" t="s">
        <v>242</v>
      </c>
      <c r="D161" s="20" t="s">
        <v>243</v>
      </c>
      <c r="E161" s="21">
        <v>325.52008692533263</v>
      </c>
      <c r="F161" s="21">
        <v>29.384619251132012</v>
      </c>
      <c r="T161" s="23"/>
      <c r="U161" s="23" t="s">
        <v>131</v>
      </c>
      <c r="V161" s="24" t="s">
        <v>239</v>
      </c>
      <c r="W161" s="25" t="s">
        <v>240</v>
      </c>
      <c r="X161" s="25"/>
      <c r="Y161" s="26">
        <v>709.80405900522192</v>
      </c>
      <c r="Z161" s="26">
        <v>70.429137165977039</v>
      </c>
      <c r="AD161" s="76"/>
      <c r="AE161" s="69" t="str">
        <f>W161</f>
        <v>Cuero de piel curtida o adobada y cuero artificial o regenerado</v>
      </c>
      <c r="AF161" s="29">
        <f>$Z161*AF160/100</f>
        <v>0</v>
      </c>
      <c r="AG161" s="102">
        <f>VLOOKUP(V161,Sheet1!$C$4:$F$131,4,FALSE)</f>
        <v>70.578575079183295</v>
      </c>
      <c r="AH161" s="103">
        <f>AG161*AH$160/100</f>
        <v>2.5699187230451325E-3</v>
      </c>
      <c r="AI161" s="100" t="e">
        <f>AH161/AF161-1</f>
        <v>#DIV/0!</v>
      </c>
    </row>
    <row r="162" spans="1:40">
      <c r="A162" s="30"/>
      <c r="B162" s="30"/>
      <c r="C162" s="31"/>
      <c r="D162" s="32"/>
      <c r="E162" s="33"/>
      <c r="F162" s="33"/>
      <c r="T162" s="18"/>
      <c r="U162" s="18"/>
      <c r="V162" s="19"/>
      <c r="W162" s="20"/>
      <c r="X162" s="20"/>
      <c r="Y162" s="21"/>
      <c r="Z162" s="21"/>
      <c r="AD162" s="104" t="s">
        <v>485</v>
      </c>
      <c r="AE162" s="105" t="s">
        <v>482</v>
      </c>
      <c r="AF162" s="106" t="e">
        <f>AF161/(AF$161+AF$163)*AF$160</f>
        <v>#DIV/0!</v>
      </c>
      <c r="AG162" s="105"/>
      <c r="AH162" s="106">
        <f>AH161/(AH$161+AH$163)*AH$160</f>
        <v>2.5708649471056035E-3</v>
      </c>
    </row>
    <row r="163" spans="1:40">
      <c r="A163" s="9" t="s">
        <v>19</v>
      </c>
      <c r="B163" s="9" t="s">
        <v>133</v>
      </c>
      <c r="C163" s="10" t="s">
        <v>134</v>
      </c>
      <c r="D163" s="11"/>
      <c r="E163" s="12">
        <v>1965.1932783867271</v>
      </c>
      <c r="F163" s="12">
        <v>100</v>
      </c>
      <c r="G163" s="13">
        <f>VLOOKUP(B163,$L$2:$N$122,3,FALSE)</f>
        <v>4926.3287901064441</v>
      </c>
      <c r="T163" s="18"/>
      <c r="U163" s="18" t="s">
        <v>131</v>
      </c>
      <c r="V163" s="19" t="s">
        <v>242</v>
      </c>
      <c r="W163" s="20" t="s">
        <v>243</v>
      </c>
      <c r="X163" s="20"/>
      <c r="Y163" s="21">
        <v>297.65845994331244</v>
      </c>
      <c r="Z163" s="21">
        <v>29.534669797946041</v>
      </c>
      <c r="AD163" s="76"/>
      <c r="AE163" s="69" t="str">
        <f>W163</f>
        <v>Artículos de cuero</v>
      </c>
      <c r="AF163" s="29">
        <f>$Z163*AF160/100</f>
        <v>0</v>
      </c>
      <c r="AG163" s="102">
        <f>VLOOKUP(V163,Sheet1!$C$4:$F$131,4,FALSE)</f>
        <v>29.384619251132012</v>
      </c>
      <c r="AH163" s="103">
        <f>AG163*AH$160/100</f>
        <v>1.0699576053825658E-3</v>
      </c>
      <c r="AI163" s="100" t="e">
        <f>AH163/AF163-1</f>
        <v>#DIV/0!</v>
      </c>
    </row>
    <row r="164" spans="1:40">
      <c r="A164" s="44"/>
      <c r="B164" s="44"/>
      <c r="C164" s="45"/>
      <c r="D164" s="46"/>
      <c r="E164" s="47"/>
      <c r="F164" s="47"/>
      <c r="G164" s="48"/>
      <c r="T164" s="30"/>
      <c r="U164" s="30"/>
      <c r="V164" s="31"/>
      <c r="W164" s="32"/>
      <c r="X164" s="32"/>
      <c r="Y164" s="33"/>
      <c r="Z164" s="33"/>
      <c r="AD164" s="104" t="s">
        <v>483</v>
      </c>
      <c r="AE164" s="105" t="s">
        <v>486</v>
      </c>
      <c r="AF164" s="106" t="e">
        <f>AF163/(AF$161+AF$163)*AF$160</f>
        <v>#DIV/0!</v>
      </c>
      <c r="AG164" s="105"/>
      <c r="AH164" s="106">
        <f>AH163/($AH$161+$AH$163)*$AH$160</f>
        <v>1.0703515554405262E-3</v>
      </c>
    </row>
    <row r="165" spans="1:40">
      <c r="A165" s="44"/>
      <c r="B165" s="44"/>
      <c r="C165" s="45"/>
      <c r="D165" s="46"/>
      <c r="E165" s="47"/>
      <c r="F165" s="47"/>
      <c r="G165" s="48"/>
      <c r="T165" s="30"/>
      <c r="U165" s="30"/>
      <c r="V165" s="31"/>
      <c r="W165" s="32"/>
      <c r="X165" s="32"/>
      <c r="Y165" s="33"/>
      <c r="Z165" s="33"/>
      <c r="AD165" s="104" t="s">
        <v>484</v>
      </c>
      <c r="AE165" s="105" t="s">
        <v>487</v>
      </c>
      <c r="AF165" s="109"/>
      <c r="AG165" s="105"/>
    </row>
    <row r="166" spans="1:40">
      <c r="A166" s="18"/>
      <c r="B166" s="18" t="s">
        <v>133</v>
      </c>
      <c r="C166" s="19" t="s">
        <v>244</v>
      </c>
      <c r="D166" s="20" t="s">
        <v>245</v>
      </c>
      <c r="E166" s="21">
        <v>1729.9756450814734</v>
      </c>
      <c r="F166" s="21">
        <v>88.030814277038985</v>
      </c>
      <c r="T166" s="9" t="s">
        <v>19</v>
      </c>
      <c r="U166" s="9" t="s">
        <v>133</v>
      </c>
      <c r="V166" s="10" t="s">
        <v>134</v>
      </c>
      <c r="W166" s="11"/>
      <c r="X166" s="11">
        <f>VLOOKUP(U166,'[1]% SECCION_ECONOMIA 2022'!$C$81:$I$209,7,FALSE)</f>
        <v>688.59840803848465</v>
      </c>
      <c r="Y166" s="12">
        <v>1929.7278903444708</v>
      </c>
      <c r="Z166" s="12">
        <v>100</v>
      </c>
      <c r="AA166" s="22">
        <f>X166/$X$2</f>
        <v>6.5989531039281225E-3</v>
      </c>
      <c r="AB166" t="s">
        <v>246</v>
      </c>
      <c r="AC166" t="str">
        <f>LEFT(AB166,4)</f>
        <v>1520</v>
      </c>
      <c r="AD166" s="75" t="s">
        <v>246</v>
      </c>
      <c r="AE166" s="22" t="str">
        <f>V166</f>
        <v>Fabricación de calzado de cualquier material y de cualquier uso; partes de calzado de cuero</v>
      </c>
      <c r="AF166" s="22">
        <f>AN166</f>
        <v>9.9406826360536049E-3</v>
      </c>
      <c r="AG166" s="22">
        <f>VLOOKUP(U166,Sheet1!$B$3:$I$129,8,FALSE)</f>
        <v>7.0194861073493917E-3</v>
      </c>
      <c r="AH166" s="71">
        <f>AG166</f>
        <v>7.0194861073493917E-3</v>
      </c>
      <c r="AI166" s="100">
        <f>AG166/AF166-1</f>
        <v>-0.29386276935443056</v>
      </c>
      <c r="AL166" s="75" t="s">
        <v>246</v>
      </c>
      <c r="AM166" s="22" t="s">
        <v>134</v>
      </c>
      <c r="AN166">
        <v>9.9406826360536049E-3</v>
      </c>
    </row>
    <row r="167" spans="1:40">
      <c r="A167" s="9" t="s">
        <v>19</v>
      </c>
      <c r="B167" s="9" t="s">
        <v>138</v>
      </c>
      <c r="C167" s="10" t="s">
        <v>139</v>
      </c>
      <c r="D167" s="11"/>
      <c r="E167" s="12">
        <v>3596.940240243995</v>
      </c>
      <c r="F167" s="12">
        <v>100</v>
      </c>
      <c r="G167" s="13">
        <f>VLOOKUP(B167,$L$2:$N$122,3,FALSE)</f>
        <v>18547.442704415578</v>
      </c>
      <c r="T167" s="18"/>
      <c r="U167" s="18" t="s">
        <v>133</v>
      </c>
      <c r="V167" s="19" t="s">
        <v>244</v>
      </c>
      <c r="W167" s="20" t="s">
        <v>245</v>
      </c>
      <c r="X167" s="20"/>
      <c r="Y167" s="21">
        <v>1703.3215227388341</v>
      </c>
      <c r="Z167" s="21">
        <v>88.267445957615223</v>
      </c>
      <c r="AD167" s="76"/>
      <c r="AE167" s="69" t="str">
        <f>W167</f>
        <v>Calzado y sus partes, de cualquier material y de cualquier uso</v>
      </c>
      <c r="AF167" s="29">
        <f>Z167*AF166/100</f>
        <v>8.7743866735966562E-3</v>
      </c>
      <c r="AG167" s="102">
        <f>VLOOKUP(V167,Sheet1!$C$4:$F$131,4,FALSE)</f>
        <v>88.030814277038985</v>
      </c>
      <c r="AH167" s="103">
        <f>AG167*AH166/100</f>
        <v>6.1793107783632961E-3</v>
      </c>
      <c r="AI167" s="100">
        <f>AH167/AF167-1</f>
        <v>-0.29575581653385563</v>
      </c>
    </row>
    <row r="168" spans="1:40">
      <c r="A168" s="44"/>
      <c r="B168" s="44"/>
      <c r="C168" s="45"/>
      <c r="D168" s="46"/>
      <c r="E168" s="47"/>
      <c r="F168" s="47"/>
      <c r="G168" s="48"/>
      <c r="T168" s="30"/>
      <c r="U168" s="30"/>
      <c r="V168" s="31"/>
      <c r="W168" s="32"/>
      <c r="X168" s="32"/>
      <c r="Y168" s="33"/>
      <c r="Z168" s="33"/>
      <c r="AD168" s="104" t="s">
        <v>488</v>
      </c>
      <c r="AE168" s="105" t="s">
        <v>492</v>
      </c>
      <c r="AF168" s="106">
        <f>AF167/AF167*AF166</f>
        <v>9.9406826360536049E-3</v>
      </c>
      <c r="AG168" s="105"/>
      <c r="AH168" s="106">
        <f>AH167/AH167*AH166</f>
        <v>7.0194861073493917E-3</v>
      </c>
    </row>
    <row r="169" spans="1:40">
      <c r="A169" s="44"/>
      <c r="B169" s="44"/>
      <c r="C169" s="45"/>
      <c r="D169" s="46"/>
      <c r="E169" s="47"/>
      <c r="F169" s="47"/>
      <c r="G169" s="48"/>
      <c r="T169" s="30"/>
      <c r="U169" s="30"/>
      <c r="V169" s="31"/>
      <c r="W169" s="32"/>
      <c r="X169" s="32"/>
      <c r="Y169" s="33"/>
      <c r="Z169" s="33"/>
      <c r="AD169" s="104" t="s">
        <v>489</v>
      </c>
      <c r="AE169" s="105" t="s">
        <v>493</v>
      </c>
      <c r="AF169" s="105"/>
      <c r="AG169" s="105"/>
    </row>
    <row r="170" spans="1:40">
      <c r="A170" s="44"/>
      <c r="B170" s="44"/>
      <c r="C170" s="45"/>
      <c r="D170" s="46"/>
      <c r="E170" s="47"/>
      <c r="F170" s="47"/>
      <c r="G170" s="48"/>
      <c r="T170" s="30"/>
      <c r="U170" s="30"/>
      <c r="V170" s="31"/>
      <c r="W170" s="32"/>
      <c r="X170" s="32"/>
      <c r="Y170" s="33"/>
      <c r="Z170" s="33"/>
      <c r="AD170" s="104" t="s">
        <v>490</v>
      </c>
      <c r="AE170" s="105" t="s">
        <v>494</v>
      </c>
      <c r="AF170" s="105"/>
      <c r="AG170" s="105"/>
    </row>
    <row r="171" spans="1:40">
      <c r="A171" s="44"/>
      <c r="B171" s="44"/>
      <c r="C171" s="45"/>
      <c r="D171" s="46"/>
      <c r="E171" s="47"/>
      <c r="F171" s="47"/>
      <c r="G171" s="48"/>
      <c r="T171" s="30"/>
      <c r="U171" s="30"/>
      <c r="V171" s="31"/>
      <c r="W171" s="32"/>
      <c r="X171" s="32"/>
      <c r="Y171" s="33"/>
      <c r="Z171" s="33"/>
      <c r="AD171" s="104" t="s">
        <v>491</v>
      </c>
      <c r="AE171" s="105" t="s">
        <v>495</v>
      </c>
      <c r="AF171" s="105"/>
      <c r="AG171" s="105"/>
    </row>
    <row r="172" spans="1:40">
      <c r="A172" s="18"/>
      <c r="B172" s="18" t="s">
        <v>138</v>
      </c>
      <c r="C172" s="19" t="s">
        <v>247</v>
      </c>
      <c r="D172" s="20" t="s">
        <v>248</v>
      </c>
      <c r="E172" s="21">
        <v>3547.2393941587256</v>
      </c>
      <c r="F172" s="21">
        <v>98.61824654384867</v>
      </c>
      <c r="T172" s="9" t="s">
        <v>19</v>
      </c>
      <c r="U172" s="9" t="s">
        <v>138</v>
      </c>
      <c r="V172" s="10" t="s">
        <v>139</v>
      </c>
      <c r="W172" s="11"/>
      <c r="X172" s="11">
        <f>VLOOKUP(U172,'[1]% SECCION_ECONOMIA 2022'!$C$81:$I$209,7,FALSE)</f>
        <v>1220.3556449615762</v>
      </c>
      <c r="Y172" s="12">
        <v>3338.2264209096793</v>
      </c>
      <c r="Z172" s="12">
        <v>100</v>
      </c>
      <c r="AA172" s="22">
        <f>X172/$X$2</f>
        <v>1.169487117194341E-2</v>
      </c>
      <c r="AB172" t="s">
        <v>249</v>
      </c>
      <c r="AC172" t="str">
        <f>LEFT(AB172,4)</f>
        <v>1610</v>
      </c>
      <c r="AD172" s="75" t="s">
        <v>249</v>
      </c>
      <c r="AE172" s="22" t="str">
        <f>V172</f>
        <v>Aserrado y acepilladura de madera</v>
      </c>
      <c r="AF172" s="22">
        <f>AN172</f>
        <v>1.1710182459565149E-2</v>
      </c>
      <c r="AG172" s="22">
        <f>VLOOKUP(U172,Sheet1!$B$3:$I$129,8,FALSE)</f>
        <v>1.1778330984472772E-2</v>
      </c>
      <c r="AH172" s="71">
        <f>AG172</f>
        <v>1.1778330984472772E-2</v>
      </c>
      <c r="AI172" s="100">
        <f>AG172/AF172-1</f>
        <v>5.8195954796551597E-3</v>
      </c>
      <c r="AL172" s="75" t="s">
        <v>249</v>
      </c>
      <c r="AM172" s="22" t="s">
        <v>139</v>
      </c>
      <c r="AN172">
        <v>1.1710182459565149E-2</v>
      </c>
    </row>
    <row r="173" spans="1:40">
      <c r="A173" s="9" t="s">
        <v>19</v>
      </c>
      <c r="B173" s="9" t="s">
        <v>140</v>
      </c>
      <c r="C173" s="10" t="s">
        <v>141</v>
      </c>
      <c r="D173" s="11"/>
      <c r="E173" s="12">
        <v>1899.3315434537631</v>
      </c>
      <c r="F173" s="12">
        <v>100</v>
      </c>
      <c r="G173" s="13">
        <f>VLOOKUP(B173,$L$2:$N$122,3,FALSE)</f>
        <v>10920.516163037231</v>
      </c>
      <c r="T173" s="18"/>
      <c r="U173" s="18" t="s">
        <v>138</v>
      </c>
      <c r="V173" s="19" t="s">
        <v>247</v>
      </c>
      <c r="W173" s="20" t="s">
        <v>248</v>
      </c>
      <c r="X173" s="20"/>
      <c r="Y173" s="21">
        <v>3293.7218535576731</v>
      </c>
      <c r="Z173" s="21">
        <v>98.666819989403876</v>
      </c>
      <c r="AD173" s="76"/>
      <c r="AE173" s="69" t="str">
        <f>W173</f>
        <v>Madera aserrada y acepillada</v>
      </c>
      <c r="AF173" s="29">
        <f>Z173*AF172/100</f>
        <v>1.1554064647809894E-2</v>
      </c>
      <c r="AG173" s="102">
        <f>VLOOKUP(V173,Sheet1!$C$4:$F$131,4,FALSE)</f>
        <v>98.61824654384867</v>
      </c>
      <c r="AH173" s="103">
        <f>AG173*AH172/100</f>
        <v>1.1615583489017877E-2</v>
      </c>
      <c r="AI173" s="100">
        <f>AH173/AF173-1</f>
        <v>5.3244328366852667E-3</v>
      </c>
    </row>
    <row r="174" spans="1:40">
      <c r="A174" s="44"/>
      <c r="B174" s="44"/>
      <c r="C174" s="45"/>
      <c r="D174" s="46"/>
      <c r="E174" s="47"/>
      <c r="F174" s="47"/>
      <c r="G174" s="48"/>
      <c r="T174" s="30"/>
      <c r="U174" s="30"/>
      <c r="V174" s="31"/>
      <c r="W174" s="32"/>
      <c r="X174" s="32"/>
      <c r="Y174" s="33"/>
      <c r="Z174" s="33"/>
      <c r="AD174" s="104" t="s">
        <v>496</v>
      </c>
      <c r="AE174" s="105" t="s">
        <v>499</v>
      </c>
      <c r="AF174" s="106">
        <f>AF173/AF173*AF172</f>
        <v>1.1710182459565149E-2</v>
      </c>
      <c r="AG174" s="105"/>
      <c r="AH174" s="106">
        <f>AH173/AH173*AH172</f>
        <v>1.1778330984472772E-2</v>
      </c>
    </row>
    <row r="175" spans="1:40">
      <c r="A175" s="44"/>
      <c r="B175" s="44"/>
      <c r="C175" s="45"/>
      <c r="D175" s="46"/>
      <c r="E175" s="47"/>
      <c r="F175" s="47"/>
      <c r="G175" s="48"/>
      <c r="T175" s="30"/>
      <c r="U175" s="30"/>
      <c r="V175" s="31"/>
      <c r="W175" s="32"/>
      <c r="X175" s="32"/>
      <c r="Y175" s="33"/>
      <c r="Z175" s="33"/>
      <c r="AD175" s="104" t="s">
        <v>497</v>
      </c>
      <c r="AE175" s="105" t="s">
        <v>500</v>
      </c>
      <c r="AF175" s="105"/>
      <c r="AG175" s="105"/>
    </row>
    <row r="176" spans="1:40">
      <c r="A176" s="44"/>
      <c r="B176" s="44"/>
      <c r="C176" s="45"/>
      <c r="D176" s="46"/>
      <c r="E176" s="47"/>
      <c r="F176" s="47"/>
      <c r="G176" s="48"/>
      <c r="T176" s="30"/>
      <c r="U176" s="30"/>
      <c r="V176" s="31"/>
      <c r="W176" s="32"/>
      <c r="X176" s="32"/>
      <c r="Y176" s="33"/>
      <c r="Z176" s="33"/>
      <c r="AD176" s="104" t="s">
        <v>498</v>
      </c>
      <c r="AE176" s="105" t="s">
        <v>501</v>
      </c>
      <c r="AF176" s="105"/>
      <c r="AG176" s="105"/>
    </row>
    <row r="177" spans="1:40">
      <c r="A177" s="18"/>
      <c r="B177" s="18" t="s">
        <v>140</v>
      </c>
      <c r="C177" s="19" t="s">
        <v>250</v>
      </c>
      <c r="D177" s="20" t="s">
        <v>251</v>
      </c>
      <c r="E177" s="21">
        <v>1831.1472341090921</v>
      </c>
      <c r="F177" s="21">
        <v>96.410089140062198</v>
      </c>
      <c r="T177" s="9" t="s">
        <v>19</v>
      </c>
      <c r="U177" s="9" t="s">
        <v>140</v>
      </c>
      <c r="V177" s="10" t="s">
        <v>141</v>
      </c>
      <c r="W177" s="11"/>
      <c r="X177" s="11">
        <f>VLOOKUP(U177,'[1]% SECCION_ECONOMIA 2022'!$C$81:$I$209,7,FALSE)</f>
        <v>806.12846037661529</v>
      </c>
      <c r="Y177" s="12">
        <v>1948.8467814103271</v>
      </c>
      <c r="Z177" s="12">
        <v>100</v>
      </c>
      <c r="AA177" s="22">
        <f>X177/$X$2</f>
        <v>7.72526314854588E-3</v>
      </c>
      <c r="AB177" t="s">
        <v>252</v>
      </c>
      <c r="AC177" t="str">
        <f>LEFT(AB177,4)</f>
        <v>1621</v>
      </c>
      <c r="AD177" s="75" t="s">
        <v>252</v>
      </c>
      <c r="AE177" s="22" t="str">
        <f>V177</f>
        <v>Fabricación de productos de madera, productos de corcho, paja y materiales trenzables</v>
      </c>
      <c r="AF177" s="22">
        <f>AN177</f>
        <v>7.7353773023729686E-3</v>
      </c>
      <c r="AG177" s="22">
        <f>VLOOKUP(U177,Sheet1!$B$3:$I$129,8,FALSE)</f>
        <v>6.9474152855474591E-3</v>
      </c>
      <c r="AH177" s="71">
        <f>AG177</f>
        <v>6.9474152855474591E-3</v>
      </c>
      <c r="AI177" s="100">
        <f>AG177/AF177-1</f>
        <v>-0.10186471661618723</v>
      </c>
      <c r="AL177" s="75" t="s">
        <v>252</v>
      </c>
      <c r="AM177" s="22" t="s">
        <v>141</v>
      </c>
      <c r="AN177">
        <v>7.7353773023729686E-3</v>
      </c>
    </row>
    <row r="178" spans="1:40">
      <c r="A178" s="9" t="s">
        <v>19</v>
      </c>
      <c r="B178" s="9" t="s">
        <v>144</v>
      </c>
      <c r="C178" s="10" t="s">
        <v>145</v>
      </c>
      <c r="D178" s="11"/>
      <c r="E178" s="12">
        <v>9777.3840316938567</v>
      </c>
      <c r="F178" s="12">
        <v>100</v>
      </c>
      <c r="G178" s="13">
        <f>VLOOKUP(B178,$L$2:$N$122,3,FALSE)</f>
        <v>2252.6195241777541</v>
      </c>
      <c r="T178" s="18"/>
      <c r="U178" s="18" t="s">
        <v>140</v>
      </c>
      <c r="V178" s="19" t="s">
        <v>250</v>
      </c>
      <c r="W178" s="20" t="s">
        <v>251</v>
      </c>
      <c r="X178" s="20"/>
      <c r="Y178" s="21">
        <v>1880.5783708613476</v>
      </c>
      <c r="Z178" s="21">
        <v>96.496984206240384</v>
      </c>
      <c r="AD178" s="76"/>
      <c r="AE178" s="69" t="str">
        <f>W178</f>
        <v>Productos de madera, corcho, paja, materiales trenzables</v>
      </c>
      <c r="AF178" s="29">
        <f>$Z178*AF177/100</f>
        <v>7.4644058137639472E-3</v>
      </c>
      <c r="AG178" s="102">
        <f>VLOOKUP(V178,Sheet1!$C$4:$F$131,4,FALSE)</f>
        <v>96.410089140062198</v>
      </c>
      <c r="AH178" s="103">
        <f>AG178*AH177/100</f>
        <v>6.6980092697266121E-3</v>
      </c>
      <c r="AI178" s="100">
        <f>AH178/AF178-1</f>
        <v>-0.10267348308208846</v>
      </c>
    </row>
    <row r="179" spans="1:40">
      <c r="A179" s="49"/>
      <c r="B179" s="49"/>
      <c r="C179" s="50"/>
      <c r="D179" s="51"/>
      <c r="E179" s="52"/>
      <c r="F179" s="52"/>
      <c r="G179" s="48"/>
      <c r="T179" s="30"/>
      <c r="U179" s="30"/>
      <c r="V179" s="31"/>
      <c r="W179" s="32"/>
      <c r="X179" s="32"/>
      <c r="Y179" s="33"/>
      <c r="Z179" s="33"/>
      <c r="AD179" s="104">
        <v>31420</v>
      </c>
      <c r="AE179" s="105" t="s">
        <v>505</v>
      </c>
      <c r="AF179" s="106">
        <f>AF178/AF178*AF177</f>
        <v>7.7353773023729686E-3</v>
      </c>
      <c r="AG179" s="105"/>
      <c r="AH179" s="106">
        <f>AH178/AH178*AH177</f>
        <v>6.9474152855474591E-3</v>
      </c>
    </row>
    <row r="180" spans="1:40">
      <c r="A180" s="49"/>
      <c r="B180" s="49"/>
      <c r="C180" s="50"/>
      <c r="D180" s="51"/>
      <c r="E180" s="52"/>
      <c r="F180" s="52"/>
      <c r="G180" s="48"/>
      <c r="T180" s="30"/>
      <c r="U180" s="30"/>
      <c r="V180" s="31"/>
      <c r="W180" s="32"/>
      <c r="X180" s="32"/>
      <c r="Y180" s="33"/>
      <c r="Z180" s="33"/>
      <c r="AD180" s="104" t="s">
        <v>502</v>
      </c>
      <c r="AE180" s="105" t="s">
        <v>506</v>
      </c>
      <c r="AF180" s="105"/>
      <c r="AG180" s="105"/>
    </row>
    <row r="181" spans="1:40">
      <c r="A181" s="49"/>
      <c r="B181" s="49"/>
      <c r="C181" s="50"/>
      <c r="D181" s="51"/>
      <c r="E181" s="52"/>
      <c r="F181" s="52"/>
      <c r="G181" s="48"/>
      <c r="T181" s="30"/>
      <c r="U181" s="30"/>
      <c r="V181" s="31"/>
      <c r="W181" s="32"/>
      <c r="X181" s="32"/>
      <c r="Y181" s="33"/>
      <c r="Z181" s="33"/>
      <c r="AD181" s="104" t="s">
        <v>504</v>
      </c>
      <c r="AE181" s="105" t="s">
        <v>507</v>
      </c>
      <c r="AF181" s="105"/>
      <c r="AG181" s="105"/>
    </row>
    <row r="182" spans="1:40">
      <c r="A182" s="49"/>
      <c r="B182" s="49"/>
      <c r="C182" s="50"/>
      <c r="D182" s="51"/>
      <c r="E182" s="52"/>
      <c r="F182" s="52"/>
      <c r="G182" s="48"/>
      <c r="T182" s="30"/>
      <c r="U182" s="30"/>
      <c r="V182" s="31"/>
      <c r="W182" s="32"/>
      <c r="X182" s="32"/>
      <c r="Y182" s="33"/>
      <c r="Z182" s="33"/>
      <c r="AD182" s="104" t="s">
        <v>503</v>
      </c>
      <c r="AE182" s="105" t="s">
        <v>508</v>
      </c>
      <c r="AF182" s="105"/>
      <c r="AG182" s="105"/>
    </row>
    <row r="183" spans="1:40">
      <c r="A183" s="23"/>
      <c r="B183" s="23" t="s">
        <v>144</v>
      </c>
      <c r="C183" s="24" t="s">
        <v>253</v>
      </c>
      <c r="D183" s="25" t="s">
        <v>254</v>
      </c>
      <c r="E183" s="26">
        <v>4796.4185106293144</v>
      </c>
      <c r="F183" s="26">
        <v>49.056255692539999</v>
      </c>
      <c r="T183" s="9" t="s">
        <v>19</v>
      </c>
      <c r="U183" s="9" t="s">
        <v>144</v>
      </c>
      <c r="V183" s="10" t="s">
        <v>145</v>
      </c>
      <c r="W183" s="11"/>
      <c r="X183" s="11">
        <f>VLOOKUP(U183,'[1]% SECCION_ECONOMIA 2022'!$C$81:$I$209,7,FALSE)</f>
        <v>2599.6730538096081</v>
      </c>
      <c r="Y183" s="12">
        <v>8977.2815823287692</v>
      </c>
      <c r="Z183" s="12">
        <v>100</v>
      </c>
      <c r="AA183" s="22">
        <f>X183/$X$2</f>
        <v>2.491309937312031E-2</v>
      </c>
      <c r="AB183" t="s">
        <v>255</v>
      </c>
      <c r="AC183" t="str">
        <f>LEFT(AB183,4)</f>
        <v>1701</v>
      </c>
      <c r="AD183" s="75" t="s">
        <v>255</v>
      </c>
      <c r="AE183" s="22" t="str">
        <f>V183</f>
        <v>Fabricación de papel y productos de papel</v>
      </c>
      <c r="AF183" s="22">
        <f>AN183</f>
        <v>2.494571637457698E-2</v>
      </c>
      <c r="AG183" s="22">
        <f>VLOOKUP(U183,Sheet1!$B$3:$I$129,8,FALSE)</f>
        <v>3.1939849451765062E-2</v>
      </c>
      <c r="AH183" s="71">
        <f>AG183</f>
        <v>3.1939849451765062E-2</v>
      </c>
      <c r="AI183" s="100">
        <f>AG183/AF183-1</f>
        <v>0.28037411201852835</v>
      </c>
      <c r="AL183" s="75" t="s">
        <v>255</v>
      </c>
      <c r="AM183" s="22" t="s">
        <v>145</v>
      </c>
      <c r="AN183">
        <v>2.494571637457698E-2</v>
      </c>
    </row>
    <row r="184" spans="1:40">
      <c r="A184" s="18"/>
      <c r="B184" s="18" t="s">
        <v>144</v>
      </c>
      <c r="C184" s="19" t="s">
        <v>256</v>
      </c>
      <c r="D184" s="20" t="s">
        <v>257</v>
      </c>
      <c r="E184" s="21">
        <v>4800.0326884576107</v>
      </c>
      <c r="F184" s="21">
        <v>49.093220363423143</v>
      </c>
      <c r="T184" s="23"/>
      <c r="U184" s="23" t="s">
        <v>144</v>
      </c>
      <c r="V184" s="24" t="s">
        <v>253</v>
      </c>
      <c r="W184" s="25" t="s">
        <v>254</v>
      </c>
      <c r="X184" s="25"/>
      <c r="Y184" s="26">
        <v>4945.0143363447924</v>
      </c>
      <c r="Z184" s="26">
        <v>55.083649666049816</v>
      </c>
      <c r="AD184" s="76"/>
      <c r="AE184" s="69" t="str">
        <f>W184</f>
        <v>Envases de papel y cartón</v>
      </c>
      <c r="AF184" s="29">
        <f>$Z184*AF$183/100</f>
        <v>1.3741011014458406E-2</v>
      </c>
      <c r="AG184" s="102">
        <f>VLOOKUP(V184,Sheet1!$C$4:$F$131,4,FALSE)</f>
        <v>49.056255692539999</v>
      </c>
      <c r="AH184" s="103">
        <f>AG184*AH$183/100</f>
        <v>1.5668494214870203E-2</v>
      </c>
      <c r="AI184" s="100">
        <f>AH184/AF184-1</f>
        <v>0.14027229862370993</v>
      </c>
    </row>
    <row r="185" spans="1:40">
      <c r="A185" s="30"/>
      <c r="B185" s="30"/>
      <c r="C185" s="31"/>
      <c r="D185" s="32"/>
      <c r="E185" s="33"/>
      <c r="F185" s="33"/>
      <c r="T185" s="18"/>
      <c r="U185" s="18"/>
      <c r="V185" s="19"/>
      <c r="W185" s="20"/>
      <c r="X185" s="20"/>
      <c r="Y185" s="21"/>
      <c r="Z185" s="21"/>
      <c r="AD185" s="104" t="s">
        <v>509</v>
      </c>
      <c r="AE185" s="105" t="s">
        <v>512</v>
      </c>
      <c r="AF185" s="106">
        <f>AF184/(AF$184+AF$186)*AF$183</f>
        <v>1.404884945200306E-2</v>
      </c>
      <c r="AG185" s="105"/>
      <c r="AH185" s="106">
        <f>AH184/(AH$184+AH$186)*AH$183</f>
        <v>1.596391019544139E-2</v>
      </c>
    </row>
    <row r="186" spans="1:40">
      <c r="A186" s="9" t="s">
        <v>19</v>
      </c>
      <c r="B186" s="9" t="s">
        <v>147</v>
      </c>
      <c r="C186" s="10" t="s">
        <v>148</v>
      </c>
      <c r="D186" s="11"/>
      <c r="E186" s="12">
        <v>3129.201449370215</v>
      </c>
      <c r="F186" s="12">
        <v>100</v>
      </c>
      <c r="G186" s="13">
        <f>VLOOKUP(B186,$L$2:$N$122,3,FALSE)</f>
        <v>141617.77102402865</v>
      </c>
      <c r="T186" s="18"/>
      <c r="U186" s="18" t="s">
        <v>144</v>
      </c>
      <c r="V186" s="19" t="s">
        <v>256</v>
      </c>
      <c r="W186" s="20" t="s">
        <v>257</v>
      </c>
      <c r="X186" s="20"/>
      <c r="Y186" s="21">
        <v>3835.5570210545989</v>
      </c>
      <c r="Z186" s="21">
        <v>42.725149989777066</v>
      </c>
      <c r="AD186" s="76"/>
      <c r="AE186" s="69" t="str">
        <f>W186</f>
        <v>Pasta de papel y papel</v>
      </c>
      <c r="AF186" s="29">
        <f>$Z186*AF$183/100</f>
        <v>1.0658094737062394E-2</v>
      </c>
      <c r="AG186" s="102">
        <f>VLOOKUP(V186,Sheet1!$C$4:$F$131,4,FALSE)</f>
        <v>49.093220363423143</v>
      </c>
      <c r="AH186" s="103">
        <f>AG186*AH$183/100</f>
        <v>1.5680300675100619E-2</v>
      </c>
      <c r="AI186" s="100">
        <f>AH186/AF186-1</f>
        <v>0.47121048010335631</v>
      </c>
    </row>
    <row r="187" spans="1:40">
      <c r="A187" s="44"/>
      <c r="B187" s="44"/>
      <c r="C187" s="45"/>
      <c r="D187" s="46"/>
      <c r="E187" s="47"/>
      <c r="F187" s="47"/>
      <c r="G187" s="48"/>
      <c r="T187" s="30"/>
      <c r="U187" s="30"/>
      <c r="V187" s="31"/>
      <c r="W187" s="32"/>
      <c r="X187" s="32"/>
      <c r="Y187" s="33"/>
      <c r="Z187" s="33"/>
      <c r="AD187" s="104" t="s">
        <v>513</v>
      </c>
      <c r="AE187" s="105" t="s">
        <v>514</v>
      </c>
      <c r="AF187" s="106">
        <f>AF186/(AF$184+AF$186)*AF$183</f>
        <v>1.089686692257392E-2</v>
      </c>
      <c r="AG187" s="105"/>
      <c r="AH187" s="106">
        <f>AH186/($AH$184+$AH$186)*$AH$183</f>
        <v>1.5975939256323676E-2</v>
      </c>
    </row>
    <row r="188" spans="1:40">
      <c r="A188" s="44"/>
      <c r="B188" s="44"/>
      <c r="C188" s="45"/>
      <c r="D188" s="46"/>
      <c r="E188" s="47"/>
      <c r="F188" s="47"/>
      <c r="G188" s="48"/>
      <c r="T188" s="30"/>
      <c r="U188" s="30"/>
      <c r="V188" s="31"/>
      <c r="W188" s="32"/>
      <c r="X188" s="32"/>
      <c r="Y188" s="33"/>
      <c r="Z188" s="33"/>
      <c r="AD188" s="104" t="s">
        <v>510</v>
      </c>
      <c r="AE188" s="105" t="s">
        <v>511</v>
      </c>
      <c r="AF188" s="106"/>
      <c r="AG188" s="105"/>
    </row>
    <row r="189" spans="1:40">
      <c r="A189" s="18"/>
      <c r="B189" s="18" t="s">
        <v>147</v>
      </c>
      <c r="C189" s="19" t="s">
        <v>258</v>
      </c>
      <c r="D189" s="20" t="s">
        <v>259</v>
      </c>
      <c r="E189" s="21">
        <v>2649.0154001394794</v>
      </c>
      <c r="F189" s="21">
        <v>84.654677654985164</v>
      </c>
      <c r="T189" s="9" t="s">
        <v>19</v>
      </c>
      <c r="U189" s="9" t="s">
        <v>147</v>
      </c>
      <c r="V189" s="10" t="s">
        <v>148</v>
      </c>
      <c r="W189" s="11"/>
      <c r="X189" s="11">
        <f>VLOOKUP(U189,'[1]% SECCION_ECONOMIA 2022'!$C$81:$I$209,7,FALSE)</f>
        <v>974.77201474931667</v>
      </c>
      <c r="Y189" s="12">
        <v>2875.8252344252123</v>
      </c>
      <c r="Z189" s="12">
        <v>100</v>
      </c>
      <c r="AA189" s="22">
        <f>X189/$X$2</f>
        <v>9.3414023867344938E-3</v>
      </c>
      <c r="AB189" t="s">
        <v>260</v>
      </c>
      <c r="AC189" t="str">
        <f>LEFT(AB189,4)</f>
        <v>1811</v>
      </c>
      <c r="AD189" s="75" t="s">
        <v>260</v>
      </c>
      <c r="AE189" s="22" t="str">
        <f>V189</f>
        <v>Impresión y actividades de servicios relacionados con la impresión y reproducción de grabaciones.</v>
      </c>
      <c r="AF189" s="22">
        <f>AN189</f>
        <v>9.35363244011694E-3</v>
      </c>
      <c r="AG189" s="22">
        <f>VLOOKUP(U189,Sheet1!$B$3:$I$129,8,FALSE)</f>
        <v>9.9517854594350953E-3</v>
      </c>
      <c r="AH189" s="71">
        <f>AG189</f>
        <v>9.9517854594350953E-3</v>
      </c>
      <c r="AI189" s="100">
        <f>AG189/AF189-1</f>
        <v>6.3948741106474083E-2</v>
      </c>
      <c r="AL189" s="75" t="s">
        <v>260</v>
      </c>
      <c r="AM189" s="22" t="s">
        <v>148</v>
      </c>
      <c r="AN189">
        <v>9.35363244011694E-3</v>
      </c>
    </row>
    <row r="190" spans="1:40">
      <c r="A190" s="9" t="s">
        <v>19</v>
      </c>
      <c r="B190" s="9" t="s">
        <v>151</v>
      </c>
      <c r="C190" s="10" t="s">
        <v>152</v>
      </c>
      <c r="D190" s="11"/>
      <c r="E190" s="12">
        <v>0</v>
      </c>
      <c r="F190" s="12">
        <v>0</v>
      </c>
      <c r="G190" s="13">
        <f>VLOOKUP(B190,$L$2:$N$122,3,FALSE)</f>
        <v>11033.039323876648</v>
      </c>
      <c r="T190" s="18"/>
      <c r="U190" s="18" t="s">
        <v>147</v>
      </c>
      <c r="V190" s="19" t="s">
        <v>258</v>
      </c>
      <c r="W190" s="20" t="s">
        <v>259</v>
      </c>
      <c r="X190" s="20"/>
      <c r="Y190" s="21">
        <v>2419.4202668551993</v>
      </c>
      <c r="Z190" s="21">
        <v>84.129600015098475</v>
      </c>
      <c r="AD190" s="76"/>
      <c r="AE190" s="69" t="str">
        <f>W190</f>
        <v>Productos de la impresión</v>
      </c>
      <c r="AF190" s="29">
        <f>$Z190*AF$189/100</f>
        <v>7.8691735587528774E-3</v>
      </c>
      <c r="AG190" s="102">
        <f>VLOOKUP(V190,Sheet1!$C$4:$F$131,4,FALSE)</f>
        <v>84.654677654985164</v>
      </c>
      <c r="AH190" s="103">
        <f>AG190*AH189/100</f>
        <v>8.4246519016004644E-3</v>
      </c>
      <c r="AI190" s="100">
        <f>AH190/AF190-1</f>
        <v>7.0589158912339522E-2</v>
      </c>
    </row>
    <row r="191" spans="1:40">
      <c r="A191" s="44"/>
      <c r="B191" s="44"/>
      <c r="C191" s="45"/>
      <c r="D191" s="46"/>
      <c r="E191" s="47"/>
      <c r="F191" s="47"/>
      <c r="G191" s="48"/>
      <c r="T191" s="30"/>
      <c r="U191" s="30"/>
      <c r="V191" s="31"/>
      <c r="W191" s="32"/>
      <c r="X191" s="32"/>
      <c r="Y191" s="33"/>
      <c r="Z191" s="33"/>
      <c r="AD191" s="104" t="s">
        <v>515</v>
      </c>
      <c r="AE191" s="105" t="s">
        <v>516</v>
      </c>
      <c r="AF191" s="106">
        <f>AF190/AF190*AF189</f>
        <v>9.35363244011694E-3</v>
      </c>
      <c r="AG191" s="105"/>
      <c r="AH191" s="106">
        <f>AH190/AH190*AH189</f>
        <v>9.9517854594350953E-3</v>
      </c>
    </row>
    <row r="192" spans="1:40">
      <c r="A192" s="18"/>
      <c r="B192" s="18" t="s">
        <v>151</v>
      </c>
      <c r="C192" s="19" t="s">
        <v>261</v>
      </c>
      <c r="D192" s="20" t="s">
        <v>262</v>
      </c>
      <c r="E192" s="21">
        <v>0</v>
      </c>
      <c r="F192" s="21">
        <v>0</v>
      </c>
      <c r="T192" s="9" t="s">
        <v>19</v>
      </c>
      <c r="U192" s="9" t="s">
        <v>151</v>
      </c>
      <c r="V192" s="10" t="s">
        <v>152</v>
      </c>
      <c r="W192" s="11"/>
      <c r="X192" s="11">
        <f>VLOOKUP(U192,'[1]% SECCION_ECONOMIA 2022'!$C$81:$I$209,7,FALSE)</f>
        <v>0</v>
      </c>
      <c r="Y192" s="12">
        <v>0</v>
      </c>
      <c r="Z192" s="12">
        <v>0</v>
      </c>
      <c r="AA192" s="22">
        <f>X192/$X$2</f>
        <v>0</v>
      </c>
      <c r="AB192" t="s">
        <v>263</v>
      </c>
      <c r="AC192" t="str">
        <f>LEFT(AB192,4)</f>
        <v>1910</v>
      </c>
      <c r="AD192" s="75" t="s">
        <v>263</v>
      </c>
      <c r="AE192" s="22" t="str">
        <f>V192</f>
        <v>Fabricación de coque y productos de la refinación del petróleo</v>
      </c>
      <c r="AF192" s="22">
        <f>AN192</f>
        <v>0</v>
      </c>
      <c r="AG192" s="22">
        <f>VLOOKUP(U192,Sheet1!$B$3:$I$129,8,FALSE)</f>
        <v>0</v>
      </c>
      <c r="AH192" s="71">
        <f>AG192</f>
        <v>0</v>
      </c>
      <c r="AI192" s="100"/>
      <c r="AL192" s="75" t="s">
        <v>263</v>
      </c>
      <c r="AM192" s="111" t="s">
        <v>152</v>
      </c>
    </row>
    <row r="193" spans="1:40">
      <c r="A193" s="9" t="s">
        <v>19</v>
      </c>
      <c r="B193" s="9" t="s">
        <v>156</v>
      </c>
      <c r="C193" s="10" t="s">
        <v>157</v>
      </c>
      <c r="D193" s="11"/>
      <c r="E193" s="12">
        <v>1863.8746548968272</v>
      </c>
      <c r="F193" s="12">
        <v>100</v>
      </c>
      <c r="G193" s="13">
        <f>VLOOKUP(B193,$L$2:$N$122,3,FALSE)</f>
        <v>16191.747085217619</v>
      </c>
      <c r="T193" s="18"/>
      <c r="U193" s="18" t="s">
        <v>151</v>
      </c>
      <c r="V193" s="40" t="s">
        <v>261</v>
      </c>
      <c r="W193" s="41" t="s">
        <v>262</v>
      </c>
      <c r="X193" s="41"/>
      <c r="Y193" s="21">
        <v>0</v>
      </c>
      <c r="Z193" s="21">
        <v>0</v>
      </c>
      <c r="AD193" s="78"/>
      <c r="AE193" s="70" t="str">
        <f>W193</f>
        <v>Trigo</v>
      </c>
      <c r="AF193" s="29">
        <f>$Z193*AF$189/100</f>
        <v>0</v>
      </c>
      <c r="AG193" s="102">
        <f>VLOOKUP(V193,Sheet1!$C$4:$F$131,4,FALSE)</f>
        <v>0</v>
      </c>
      <c r="AH193" s="103">
        <f>AG193*AH192/100</f>
        <v>0</v>
      </c>
      <c r="AI193" s="100" t="e">
        <f>AH193/AF193-1</f>
        <v>#DIV/0!</v>
      </c>
    </row>
    <row r="194" spans="1:40">
      <c r="A194" s="23"/>
      <c r="B194" s="23" t="s">
        <v>156</v>
      </c>
      <c r="C194" s="24" t="s">
        <v>264</v>
      </c>
      <c r="D194" s="25" t="s">
        <v>265</v>
      </c>
      <c r="E194" s="26">
        <v>1457.5922324298072</v>
      </c>
      <c r="F194" s="26">
        <v>78.202266906756705</v>
      </c>
      <c r="T194" s="9" t="s">
        <v>19</v>
      </c>
      <c r="U194" s="9" t="s">
        <v>156</v>
      </c>
      <c r="V194" s="10" t="s">
        <v>157</v>
      </c>
      <c r="W194" s="11"/>
      <c r="X194" s="11">
        <f>VLOOKUP(U194,'[1]% SECCION_ECONOMIA 2022'!$C$81:$I$209,7,FALSE)</f>
        <v>682.1159479201026</v>
      </c>
      <c r="Y194" s="12">
        <v>2066.3512157835544</v>
      </c>
      <c r="Z194" s="12">
        <v>100</v>
      </c>
      <c r="AA194" s="22">
        <f>X194/$X$2</f>
        <v>6.5368306101495771E-3</v>
      </c>
      <c r="AB194" t="s">
        <v>266</v>
      </c>
      <c r="AC194" t="str">
        <f>LEFT(AB194,4)</f>
        <v>2011</v>
      </c>
      <c r="AD194" s="75" t="s">
        <v>655</v>
      </c>
      <c r="AE194" s="22" t="str">
        <f>V194</f>
        <v xml:space="preserve">Fabricación de alcoholes </v>
      </c>
      <c r="AF194" s="22">
        <f>AN194</f>
        <v>6.545388831282163E-3</v>
      </c>
      <c r="AG194" s="22">
        <f>VLOOKUP(U194,Sheet1!$B$3:$I$129,8,FALSE)</f>
        <v>4.9773743209675448E-3</v>
      </c>
      <c r="AH194" s="71">
        <f>AG194</f>
        <v>4.9773743209675448E-3</v>
      </c>
      <c r="AI194" s="100">
        <f>AG194/AF194-1</f>
        <v>-0.23956017751316128</v>
      </c>
      <c r="AL194" s="75" t="s">
        <v>655</v>
      </c>
      <c r="AM194" s="22" t="s">
        <v>157</v>
      </c>
      <c r="AN194">
        <v>6.545388831282163E-3</v>
      </c>
    </row>
    <row r="195" spans="1:40">
      <c r="A195" s="18"/>
      <c r="B195" s="18" t="s">
        <v>156</v>
      </c>
      <c r="C195" s="19" t="s">
        <v>200</v>
      </c>
      <c r="D195" s="20" t="s">
        <v>201</v>
      </c>
      <c r="E195" s="21">
        <v>396.97639618460835</v>
      </c>
      <c r="F195" s="21">
        <v>21.298449181744068</v>
      </c>
      <c r="T195" s="23"/>
      <c r="U195" s="23" t="s">
        <v>156</v>
      </c>
      <c r="V195" s="24" t="s">
        <v>264</v>
      </c>
      <c r="W195" s="25" t="s">
        <v>265</v>
      </c>
      <c r="X195" s="25"/>
      <c r="Y195" s="26">
        <v>1662.3763965464318</v>
      </c>
      <c r="Z195" s="26">
        <v>80.449847240323251</v>
      </c>
      <c r="AD195" s="76"/>
      <c r="AE195" s="69" t="str">
        <f>W195</f>
        <v>Alcoholes</v>
      </c>
      <c r="AF195" s="29">
        <f>$Z195*AF$194/100</f>
        <v>5.2657553160516792E-3</v>
      </c>
      <c r="AG195" s="102">
        <f>VLOOKUP(V195,Sheet1!$C$4:$F$131,4,FALSE)</f>
        <v>78.202266906756705</v>
      </c>
      <c r="AH195" s="103">
        <f>AG195*AH$194/100</f>
        <v>3.8924195514314086E-3</v>
      </c>
      <c r="AI195" s="100">
        <f>AH195/AF195-1</f>
        <v>-0.2608050853471886</v>
      </c>
    </row>
    <row r="196" spans="1:40">
      <c r="A196" s="30"/>
      <c r="B196" s="30"/>
      <c r="C196" s="31"/>
      <c r="D196" s="32"/>
      <c r="E196" s="33"/>
      <c r="F196" s="33"/>
      <c r="T196" s="18"/>
      <c r="U196" s="18"/>
      <c r="V196" s="19"/>
      <c r="W196" s="20"/>
      <c r="X196" s="20"/>
      <c r="Y196" s="21"/>
      <c r="Z196" s="21"/>
      <c r="AD196" s="107" t="s">
        <v>517</v>
      </c>
      <c r="AE196" s="108" t="s">
        <v>518</v>
      </c>
      <c r="AF196" s="106">
        <f>AF195/(AF$195+AF$197)*AF$194</f>
        <v>5.2875760581838262E-3</v>
      </c>
      <c r="AG196" s="105"/>
      <c r="AH196" s="106">
        <f>AH195/(AH$195+AH$197)*AH$194</f>
        <v>3.9119512948723916E-3</v>
      </c>
    </row>
    <row r="197" spans="1:40">
      <c r="A197" s="9" t="s">
        <v>19</v>
      </c>
      <c r="B197" s="9" t="s">
        <v>158</v>
      </c>
      <c r="C197" s="10" t="s">
        <v>159</v>
      </c>
      <c r="D197" s="11"/>
      <c r="E197" s="12">
        <v>7515.6707060071139</v>
      </c>
      <c r="F197" s="12">
        <v>100</v>
      </c>
      <c r="G197" s="13">
        <f>VLOOKUP(B197,$L$2:$N$122,3,FALSE)</f>
        <v>5033.6150368828366</v>
      </c>
      <c r="T197" s="18"/>
      <c r="U197" s="18" t="s">
        <v>156</v>
      </c>
      <c r="V197" s="19" t="s">
        <v>200</v>
      </c>
      <c r="W197" s="20" t="s">
        <v>201</v>
      </c>
      <c r="X197" s="20"/>
      <c r="Y197" s="21">
        <v>395.44741149151218</v>
      </c>
      <c r="Z197" s="21">
        <v>19.137473265480654</v>
      </c>
      <c r="AD197" s="76"/>
      <c r="AE197" s="69" t="str">
        <f>W197</f>
        <v>Aguardientes, licores y demás bebidas espirituosas</v>
      </c>
      <c r="AF197" s="29">
        <f>$Z197*AF$194/100</f>
        <v>1.2526220377083806E-3</v>
      </c>
      <c r="AG197" s="102">
        <v>21.298449181744068</v>
      </c>
      <c r="AH197" s="103">
        <f>AG197*AH$194/100</f>
        <v>1.0601035403364515E-3</v>
      </c>
      <c r="AI197" s="100">
        <f>AH197/AF197-1</f>
        <v>-0.1536924080659906</v>
      </c>
    </row>
    <row r="198" spans="1:40" ht="15.5" customHeight="1">
      <c r="A198" s="44"/>
      <c r="B198" s="44"/>
      <c r="C198" s="45"/>
      <c r="D198" s="46"/>
      <c r="E198" s="47"/>
      <c r="F198" s="47"/>
      <c r="G198" s="48"/>
      <c r="T198" s="30"/>
      <c r="U198" s="30"/>
      <c r="V198" s="31"/>
      <c r="W198" s="32"/>
      <c r="X198" s="32"/>
      <c r="Y198" s="33"/>
      <c r="Z198" s="33"/>
      <c r="AD198" s="104" t="s">
        <v>439</v>
      </c>
      <c r="AE198" s="105" t="s">
        <v>440</v>
      </c>
      <c r="AF198" s="106">
        <f>AF197/(AF$195+AF$197)*AF$194</f>
        <v>1.2578127730983367E-3</v>
      </c>
      <c r="AG198" s="105"/>
      <c r="AH198" s="106">
        <f>AH197/($AH$195+$AH$197)*$AH$194</f>
        <v>1.0654230260951528E-3</v>
      </c>
    </row>
    <row r="199" spans="1:40">
      <c r="A199" s="18"/>
      <c r="B199" s="18" t="s">
        <v>158</v>
      </c>
      <c r="C199" s="19" t="s">
        <v>267</v>
      </c>
      <c r="D199" s="20" t="s">
        <v>268</v>
      </c>
      <c r="E199" s="21">
        <v>7300.0247237557996</v>
      </c>
      <c r="F199" s="21">
        <v>97.130715398707494</v>
      </c>
      <c r="T199" s="9" t="s">
        <v>19</v>
      </c>
      <c r="U199" s="9" t="s">
        <v>158</v>
      </c>
      <c r="V199" s="10" t="s">
        <v>159</v>
      </c>
      <c r="W199" s="11"/>
      <c r="X199" s="11">
        <f>VLOOKUP(U199,'[1]% SECCION_ECONOMIA 2022'!$C$81:$I$209,7,FALSE)</f>
        <v>3265.1851949527281</v>
      </c>
      <c r="Y199" s="12">
        <v>7866.4176404272966</v>
      </c>
      <c r="Z199" s="12">
        <v>100</v>
      </c>
      <c r="AA199" s="22">
        <f>X199/$X$2</f>
        <v>3.1290812940609126E-2</v>
      </c>
      <c r="AB199" t="s">
        <v>269</v>
      </c>
      <c r="AC199" t="str">
        <f>LEFT(AB199,4)</f>
        <v>2012</v>
      </c>
      <c r="AD199" s="75" t="s">
        <v>269</v>
      </c>
      <c r="AE199" s="22" t="str">
        <f>V199</f>
        <v>Fabricación de abonos , compuestos de nitrógeno, plaguicidas y otros productos químicos de uso agropecuario</v>
      </c>
      <c r="AF199" s="22">
        <f>AN199</f>
        <v>3.1331779842237006E-2</v>
      </c>
      <c r="AG199" s="22">
        <f>VLOOKUP(U199,Sheet1!$B$3:$I$129,8,FALSE)</f>
        <v>2.9815513485006225E-2</v>
      </c>
      <c r="AH199" s="71">
        <f>AG199</f>
        <v>2.9815513485006225E-2</v>
      </c>
      <c r="AI199" s="100">
        <f>AG199/AF199-1</f>
        <v>-4.8393878830553017E-2</v>
      </c>
      <c r="AL199" s="75" t="s">
        <v>269</v>
      </c>
      <c r="AM199" s="22" t="s">
        <v>159</v>
      </c>
      <c r="AN199">
        <v>3.1331779842237006E-2</v>
      </c>
    </row>
    <row r="200" spans="1:40">
      <c r="A200" s="9" t="s">
        <v>19</v>
      </c>
      <c r="B200" s="9" t="s">
        <v>162</v>
      </c>
      <c r="C200" s="10" t="s">
        <v>163</v>
      </c>
      <c r="D200" s="11"/>
      <c r="E200" s="12">
        <v>0</v>
      </c>
      <c r="F200" s="12">
        <v>0</v>
      </c>
      <c r="G200" s="13">
        <f>VLOOKUP(B200,$L$2:$N$122,3,FALSE)</f>
        <v>889.81897074497704</v>
      </c>
      <c r="T200" s="18"/>
      <c r="U200" s="18" t="s">
        <v>158</v>
      </c>
      <c r="V200" s="19" t="s">
        <v>267</v>
      </c>
      <c r="W200" s="20" t="s">
        <v>268</v>
      </c>
      <c r="X200" s="20"/>
      <c r="Y200" s="21">
        <v>7641.5353947355561</v>
      </c>
      <c r="Z200" s="21">
        <v>97.141236888618522</v>
      </c>
      <c r="AD200" s="76"/>
      <c r="AE200" s="69" t="str">
        <f>W200</f>
        <v>Abonos, fertilizantes y pesticidas</v>
      </c>
      <c r="AF200" s="29">
        <f>Z200*AF199/100</f>
        <v>3.0436078477967875E-2</v>
      </c>
      <c r="AG200" s="102">
        <f>VLOOKUP(V200,Sheet1!$C$4:$F$131,4,FALSE)</f>
        <v>97.130715398707494</v>
      </c>
      <c r="AH200" s="103">
        <f>AG200*AH199/100</f>
        <v>2.896002154778465E-2</v>
      </c>
      <c r="AI200" s="100">
        <f>AH200/AF200-1</f>
        <v>-4.8496948489987535E-2</v>
      </c>
    </row>
    <row r="201" spans="1:40">
      <c r="A201" s="44"/>
      <c r="B201" s="44"/>
      <c r="C201" s="45"/>
      <c r="D201" s="46"/>
      <c r="E201" s="47"/>
      <c r="F201" s="47"/>
      <c r="G201" s="48"/>
      <c r="T201" s="30"/>
      <c r="U201" s="30"/>
      <c r="V201" s="31"/>
      <c r="W201" s="32"/>
      <c r="X201" s="32"/>
      <c r="Y201" s="33"/>
      <c r="Z201" s="33"/>
      <c r="AD201" s="104" t="s">
        <v>523</v>
      </c>
      <c r="AE201" s="105" t="s">
        <v>524</v>
      </c>
      <c r="AF201" s="106">
        <f>AF200/AF200*AF199</f>
        <v>3.1331779842237006E-2</v>
      </c>
      <c r="AG201" s="105"/>
      <c r="AH201" s="106">
        <f>AH200/AH200*AH199</f>
        <v>2.9815513485006225E-2</v>
      </c>
    </row>
    <row r="202" spans="1:40">
      <c r="A202" s="44"/>
      <c r="B202" s="44"/>
      <c r="C202" s="45"/>
      <c r="D202" s="46"/>
      <c r="E202" s="47"/>
      <c r="F202" s="47"/>
      <c r="G202" s="48"/>
      <c r="T202" s="30"/>
      <c r="U202" s="30"/>
      <c r="V202" s="31"/>
      <c r="W202" s="32"/>
      <c r="X202" s="32"/>
      <c r="Y202" s="33"/>
      <c r="Z202" s="33"/>
      <c r="AD202" s="104" t="s">
        <v>525</v>
      </c>
      <c r="AE202" s="105" t="s">
        <v>530</v>
      </c>
      <c r="AF202" s="105"/>
      <c r="AG202" s="105"/>
    </row>
    <row r="203" spans="1:40">
      <c r="A203" s="44"/>
      <c r="B203" s="44"/>
      <c r="C203" s="45"/>
      <c r="D203" s="46"/>
      <c r="E203" s="47"/>
      <c r="F203" s="47"/>
      <c r="G203" s="48"/>
      <c r="T203" s="30"/>
      <c r="U203" s="30"/>
      <c r="V203" s="31"/>
      <c r="W203" s="32"/>
      <c r="X203" s="32"/>
      <c r="Y203" s="33"/>
      <c r="Z203" s="33"/>
      <c r="AD203" s="104" t="s">
        <v>520</v>
      </c>
      <c r="AE203" s="105" t="s">
        <v>522</v>
      </c>
      <c r="AF203" s="105"/>
      <c r="AG203" s="105"/>
    </row>
    <row r="204" spans="1:40">
      <c r="A204" s="44"/>
      <c r="B204" s="44"/>
      <c r="C204" s="45"/>
      <c r="D204" s="46"/>
      <c r="E204" s="47"/>
      <c r="F204" s="47"/>
      <c r="G204" s="48"/>
      <c r="T204" s="30"/>
      <c r="U204" s="30"/>
      <c r="V204" s="31"/>
      <c r="W204" s="32"/>
      <c r="X204" s="32"/>
      <c r="Y204" s="33"/>
      <c r="Z204" s="33"/>
      <c r="AD204" s="104" t="s">
        <v>519</v>
      </c>
      <c r="AE204" s="105" t="s">
        <v>521</v>
      </c>
      <c r="AF204" s="105"/>
      <c r="AG204" s="105"/>
    </row>
    <row r="205" spans="1:40">
      <c r="A205" s="44"/>
      <c r="B205" s="44"/>
      <c r="C205" s="45"/>
      <c r="D205" s="46"/>
      <c r="E205" s="47"/>
      <c r="F205" s="47"/>
      <c r="G205" s="48"/>
      <c r="T205" s="30"/>
      <c r="U205" s="30"/>
      <c r="V205" s="31"/>
      <c r="W205" s="32"/>
      <c r="X205" s="32"/>
      <c r="Y205" s="33"/>
      <c r="Z205" s="33"/>
      <c r="AD205" s="104" t="s">
        <v>526</v>
      </c>
      <c r="AE205" s="105" t="s">
        <v>529</v>
      </c>
      <c r="AF205" s="105"/>
      <c r="AG205" s="105"/>
    </row>
    <row r="206" spans="1:40">
      <c r="A206" s="44"/>
      <c r="B206" s="44"/>
      <c r="C206" s="45"/>
      <c r="D206" s="46"/>
      <c r="E206" s="47"/>
      <c r="F206" s="47"/>
      <c r="G206" s="48"/>
      <c r="T206" s="30"/>
      <c r="U206" s="30"/>
      <c r="V206" s="31"/>
      <c r="W206" s="32"/>
      <c r="X206" s="32"/>
      <c r="Y206" s="33"/>
      <c r="Z206" s="33"/>
      <c r="AD206" s="104" t="s">
        <v>527</v>
      </c>
      <c r="AE206" s="105" t="s">
        <v>528</v>
      </c>
      <c r="AF206" s="105"/>
      <c r="AG206" s="105"/>
    </row>
    <row r="207" spans="1:40">
      <c r="A207" s="18"/>
      <c r="B207" s="18" t="s">
        <v>162</v>
      </c>
      <c r="C207" s="19" t="s">
        <v>261</v>
      </c>
      <c r="D207" s="20" t="s">
        <v>262</v>
      </c>
      <c r="E207" s="21">
        <v>0</v>
      </c>
      <c r="F207" s="21">
        <v>0</v>
      </c>
      <c r="T207" s="9" t="s">
        <v>19</v>
      </c>
      <c r="U207" s="9" t="s">
        <v>162</v>
      </c>
      <c r="V207" s="10" t="s">
        <v>163</v>
      </c>
      <c r="W207" s="11"/>
      <c r="X207" s="11">
        <f>VLOOKUP(U207,'[1]% SECCION_ECONOMIA 2022'!$C$81:$I$209,7,FALSE)</f>
        <v>0</v>
      </c>
      <c r="Y207" s="12">
        <v>0</v>
      </c>
      <c r="Z207" s="12">
        <v>0</v>
      </c>
      <c r="AA207" s="22">
        <f>X207/$X$2</f>
        <v>0</v>
      </c>
      <c r="AB207" t="s">
        <v>270</v>
      </c>
      <c r="AC207" t="str">
        <f>LEFT(AB207,4)</f>
        <v>2013</v>
      </c>
      <c r="AD207" s="75" t="s">
        <v>270</v>
      </c>
      <c r="AE207" s="22" t="str">
        <f>V207</f>
        <v>Fabricación de plásticos y caucho sintético en formas primarias</v>
      </c>
      <c r="AF207" s="22">
        <f>AN207</f>
        <v>0</v>
      </c>
      <c r="AG207" s="22">
        <f>VLOOKUP(U207,Sheet1!$B$3:$I$129,8,FALSE)</f>
        <v>0</v>
      </c>
      <c r="AH207" s="71">
        <f>AG207</f>
        <v>0</v>
      </c>
      <c r="AI207" s="100"/>
      <c r="AL207" s="75" t="s">
        <v>270</v>
      </c>
      <c r="AM207" s="111" t="s">
        <v>163</v>
      </c>
    </row>
    <row r="208" spans="1:40">
      <c r="A208" s="9" t="s">
        <v>19</v>
      </c>
      <c r="B208" s="9" t="s">
        <v>165</v>
      </c>
      <c r="C208" s="10" t="s">
        <v>166</v>
      </c>
      <c r="D208" s="11"/>
      <c r="E208" s="12">
        <v>1616.7357246883507</v>
      </c>
      <c r="F208" s="12">
        <v>100</v>
      </c>
      <c r="G208" s="13">
        <f>VLOOKUP(B208,$L$2:$N$122,3,FALSE)</f>
        <v>1888.7155080501054</v>
      </c>
      <c r="T208" s="18"/>
      <c r="U208" s="18" t="s">
        <v>162</v>
      </c>
      <c r="V208" s="40" t="s">
        <v>261</v>
      </c>
      <c r="W208" s="41" t="s">
        <v>262</v>
      </c>
      <c r="X208" s="41"/>
      <c r="Y208" s="21">
        <v>0</v>
      </c>
      <c r="Z208" s="21">
        <v>0</v>
      </c>
      <c r="AD208" s="78"/>
      <c r="AE208" s="70" t="str">
        <f>W208</f>
        <v>Trigo</v>
      </c>
      <c r="AF208" s="29">
        <f>$Z208*AF$189/100</f>
        <v>0</v>
      </c>
      <c r="AG208" s="102">
        <f>VLOOKUP(V208,Sheet1!$C$4:$F$131,4,FALSE)</f>
        <v>0</v>
      </c>
      <c r="AH208" s="103">
        <f>AG208*AH207/100</f>
        <v>0</v>
      </c>
      <c r="AI208" s="100" t="e">
        <f>AH208/AF208-1</f>
        <v>#DIV/0!</v>
      </c>
    </row>
    <row r="209" spans="1:40">
      <c r="A209" s="18"/>
      <c r="B209" s="18" t="s">
        <v>165</v>
      </c>
      <c r="C209" s="19" t="s">
        <v>271</v>
      </c>
      <c r="D209" s="20" t="s">
        <v>272</v>
      </c>
      <c r="E209" s="21">
        <v>1570.7859621835146</v>
      </c>
      <c r="F209" s="21">
        <v>97.157868054552111</v>
      </c>
      <c r="T209" s="9" t="s">
        <v>19</v>
      </c>
      <c r="U209" s="9" t="s">
        <v>165</v>
      </c>
      <c r="V209" s="10" t="s">
        <v>166</v>
      </c>
      <c r="W209" s="11"/>
      <c r="X209" s="11">
        <f>VLOOKUP(U209,'[1]% SECCION_ECONOMIA 2022'!$C$81:$I$209,7,FALSE)</f>
        <v>642.92717669458852</v>
      </c>
      <c r="Y209" s="12">
        <v>1628.8204080522182</v>
      </c>
      <c r="Z209" s="12">
        <v>100</v>
      </c>
      <c r="AA209" s="22">
        <f>X209/$X$2</f>
        <v>6.1612780957974343E-3</v>
      </c>
      <c r="AB209" t="s">
        <v>273</v>
      </c>
      <c r="AC209" t="str">
        <f>LEFT(AB209,4)</f>
        <v>2022</v>
      </c>
      <c r="AD209" s="75" t="s">
        <v>273</v>
      </c>
      <c r="AE209" s="22" t="str">
        <f>V209</f>
        <v>Fabricación de pinturas, barnices y productos de revestimiento similares, tintas de imprenta y masillas</v>
      </c>
      <c r="AF209" s="22">
        <f>AN209</f>
        <v>6.1693446319443738E-3</v>
      </c>
      <c r="AG209" s="22">
        <f>VLOOKUP(U209,Sheet1!$B$3:$I$129,8,FALSE)</f>
        <v>5.7928567721774685E-3</v>
      </c>
      <c r="AH209" s="71">
        <f>AG209</f>
        <v>5.7928567721774685E-3</v>
      </c>
      <c r="AI209" s="100">
        <f>AG209/AF209-1</f>
        <v>-6.1025584114312803E-2</v>
      </c>
      <c r="AL209" s="75" t="s">
        <v>273</v>
      </c>
      <c r="AM209" s="22" t="s">
        <v>166</v>
      </c>
      <c r="AN209">
        <v>6.1693446319443738E-3</v>
      </c>
    </row>
    <row r="210" spans="1:40">
      <c r="A210" s="9" t="s">
        <v>19</v>
      </c>
      <c r="B210" s="9" t="s">
        <v>169</v>
      </c>
      <c r="C210" s="10" t="s">
        <v>170</v>
      </c>
      <c r="D210" s="11"/>
      <c r="E210" s="12">
        <v>8000.6331300555512</v>
      </c>
      <c r="F210" s="12">
        <v>100</v>
      </c>
      <c r="G210" s="13">
        <f>VLOOKUP(B210,$L$2:$N$122,3,FALSE)</f>
        <v>18950.262635072308</v>
      </c>
      <c r="T210" s="18"/>
      <c r="U210" s="18" t="s">
        <v>165</v>
      </c>
      <c r="V210" s="19" t="s">
        <v>271</v>
      </c>
      <c r="W210" s="20" t="s">
        <v>272</v>
      </c>
      <c r="X210" s="20"/>
      <c r="Y210" s="21">
        <v>1585.5088713735486</v>
      </c>
      <c r="Z210" s="21">
        <v>97.340926202511014</v>
      </c>
      <c r="AD210" s="76"/>
      <c r="AE210" s="69" t="str">
        <f>W210</f>
        <v>Pinturas y barnices y productos relacionados, colores artisticos, tinta</v>
      </c>
      <c r="AF210" s="29">
        <f>Z210*AF209/100</f>
        <v>6.0052972053595477E-3</v>
      </c>
      <c r="AG210" s="102">
        <f>VLOOKUP(V210,Sheet1!$C$4:$F$131,4,FALSE)</f>
        <v>97.157868054552111</v>
      </c>
      <c r="AH210" s="103">
        <f>AG210*AH209/100</f>
        <v>5.6282161393013709E-3</v>
      </c>
      <c r="AI210" s="100">
        <f>AH210/AF210-1</f>
        <v>-6.2791407846000236E-2</v>
      </c>
    </row>
    <row r="211" spans="1:40">
      <c r="A211" s="44"/>
      <c r="B211" s="44"/>
      <c r="C211" s="45"/>
      <c r="D211" s="46"/>
      <c r="E211" s="47"/>
      <c r="F211" s="47"/>
      <c r="G211" s="48"/>
      <c r="T211" s="30"/>
      <c r="U211" s="30"/>
      <c r="V211" s="31"/>
      <c r="W211" s="32"/>
      <c r="X211" s="32"/>
      <c r="Y211" s="33"/>
      <c r="Z211" s="33"/>
      <c r="AD211" s="104" t="s">
        <v>531</v>
      </c>
      <c r="AE211" s="105" t="s">
        <v>532</v>
      </c>
      <c r="AF211" s="106">
        <f>AF210/AF210*AF209</f>
        <v>6.1693446319443738E-3</v>
      </c>
      <c r="AG211" s="105"/>
      <c r="AH211" s="106">
        <f>AH210/AH210*AH209</f>
        <v>5.7928567721774685E-3</v>
      </c>
    </row>
    <row r="212" spans="1:40">
      <c r="A212" s="18"/>
      <c r="B212" s="18" t="s">
        <v>169</v>
      </c>
      <c r="C212" s="19" t="s">
        <v>274</v>
      </c>
      <c r="D212" s="20" t="s">
        <v>275</v>
      </c>
      <c r="E212" s="21">
        <v>7802.3490007712408</v>
      </c>
      <c r="F212" s="21">
        <v>97.52164452411364</v>
      </c>
      <c r="T212" s="9" t="s">
        <v>19</v>
      </c>
      <c r="U212" s="9" t="s">
        <v>169</v>
      </c>
      <c r="V212" s="10" t="s">
        <v>170</v>
      </c>
      <c r="W212" s="11"/>
      <c r="X212" s="11">
        <f>VLOOKUP(U212,'[1]% SECCION_ECONOMIA 2022'!$C$81:$I$209,7,FALSE)</f>
        <v>2797.538719193627</v>
      </c>
      <c r="Y212" s="12">
        <v>7377.2438715911121</v>
      </c>
      <c r="Z212" s="12">
        <v>100</v>
      </c>
      <c r="AA212" s="22">
        <f>X212/$X$2</f>
        <v>2.6809278962710213E-2</v>
      </c>
      <c r="AB212" t="s">
        <v>276</v>
      </c>
      <c r="AC212" t="str">
        <f>LEFT(AB212,4)</f>
        <v>2023</v>
      </c>
      <c r="AD212" s="75" t="s">
        <v>276</v>
      </c>
      <c r="AE212" s="22" t="str">
        <f>V212</f>
        <v>Fabricación de jabones y detergentes, preparados para limpiar y pulir, perfumes y preparados de tocador</v>
      </c>
      <c r="AF212" s="22">
        <f>AN212</f>
        <v>2.6844378501225379E-2</v>
      </c>
      <c r="AG212" s="22">
        <f>VLOOKUP(U212,Sheet1!$B$3:$I$129,8,FALSE)</f>
        <v>2.9410011069364212E-2</v>
      </c>
      <c r="AH212" s="71">
        <f>AG212</f>
        <v>2.9410011069364212E-2</v>
      </c>
      <c r="AI212" s="100">
        <f>AG212/AF212-1</f>
        <v>9.5574295676903676E-2</v>
      </c>
      <c r="AL212" s="75" t="s">
        <v>276</v>
      </c>
      <c r="AM212" s="22" t="s">
        <v>170</v>
      </c>
      <c r="AN212">
        <v>2.6844378501225379E-2</v>
      </c>
    </row>
    <row r="213" spans="1:40">
      <c r="A213" s="9" t="s">
        <v>19</v>
      </c>
      <c r="B213" s="9" t="s">
        <v>172</v>
      </c>
      <c r="C213" s="10" t="s">
        <v>173</v>
      </c>
      <c r="D213" s="11"/>
      <c r="E213" s="12">
        <v>2600.1522092643813</v>
      </c>
      <c r="F213" s="12">
        <v>100</v>
      </c>
      <c r="G213" s="13">
        <f>VLOOKUP(B213,$L$2:$N$122,3,FALSE)</f>
        <v>2299.9047219672834</v>
      </c>
      <c r="T213" s="18"/>
      <c r="U213" s="18" t="s">
        <v>169</v>
      </c>
      <c r="V213" s="19" t="s">
        <v>274</v>
      </c>
      <c r="W213" s="20" t="s">
        <v>275</v>
      </c>
      <c r="X213" s="20"/>
      <c r="Y213" s="21">
        <v>7204.2104712162554</v>
      </c>
      <c r="Z213" s="21">
        <v>97.654498029525811</v>
      </c>
      <c r="AD213" s="76"/>
      <c r="AE213" s="69" t="str">
        <f>W213</f>
        <v>Jabón, preparados de limpieza, perfumes y preparados de toilet</v>
      </c>
      <c r="AF213" s="29">
        <f>Z213*AF212/100</f>
        <v>2.6214743074517589E-2</v>
      </c>
      <c r="AG213" s="102">
        <f>VLOOKUP(V213,Sheet1!$C$4:$F$131,4,FALSE)</f>
        <v>97.52164452411364</v>
      </c>
      <c r="AH213" s="103">
        <f>AG213*AH212/100</f>
        <v>2.8681126449567839E-2</v>
      </c>
      <c r="AI213" s="100">
        <f>AH213/AF213-1</f>
        <v>9.4083827868896241E-2</v>
      </c>
    </row>
    <row r="214" spans="1:40">
      <c r="A214" s="49"/>
      <c r="B214" s="49"/>
      <c r="C214" s="50"/>
      <c r="D214" s="51"/>
      <c r="E214" s="52"/>
      <c r="F214" s="52"/>
      <c r="G214" s="48"/>
      <c r="T214" s="30"/>
      <c r="U214" s="30"/>
      <c r="V214" s="31"/>
      <c r="W214" s="32"/>
      <c r="X214" s="32"/>
      <c r="Y214" s="33"/>
      <c r="Z214" s="33"/>
      <c r="AD214" s="104" t="s">
        <v>533</v>
      </c>
      <c r="AE214" s="105" t="s">
        <v>534</v>
      </c>
      <c r="AF214" s="106">
        <f>AF213/AF213*AF212</f>
        <v>2.6844378501225379E-2</v>
      </c>
      <c r="AG214" s="105"/>
      <c r="AH214" s="106">
        <f>AH213/AH213*AH212</f>
        <v>2.9410011069364212E-2</v>
      </c>
    </row>
    <row r="215" spans="1:40">
      <c r="A215" s="49"/>
      <c r="B215" s="49"/>
      <c r="C215" s="50"/>
      <c r="D215" s="51"/>
      <c r="E215" s="52"/>
      <c r="F215" s="52"/>
      <c r="G215" s="48"/>
      <c r="T215" s="30"/>
      <c r="U215" s="30"/>
      <c r="V215" s="31"/>
      <c r="W215" s="32"/>
      <c r="X215" s="32"/>
      <c r="Y215" s="33"/>
      <c r="Z215" s="33"/>
      <c r="AD215" s="104" t="s">
        <v>535</v>
      </c>
      <c r="AE215" s="105" t="s">
        <v>536</v>
      </c>
      <c r="AF215" s="105"/>
      <c r="AG215" s="105"/>
    </row>
    <row r="216" spans="1:40">
      <c r="A216" s="49"/>
      <c r="B216" s="49"/>
      <c r="C216" s="50"/>
      <c r="D216" s="51"/>
      <c r="E216" s="52"/>
      <c r="F216" s="52"/>
      <c r="G216" s="48"/>
      <c r="T216" s="30"/>
      <c r="U216" s="30"/>
      <c r="V216" s="31"/>
      <c r="W216" s="32"/>
      <c r="X216" s="32"/>
      <c r="Y216" s="33"/>
      <c r="Z216" s="33"/>
      <c r="AD216" s="104" t="s">
        <v>537</v>
      </c>
      <c r="AE216" s="105" t="s">
        <v>538</v>
      </c>
      <c r="AF216" s="105"/>
      <c r="AG216" s="105"/>
    </row>
    <row r="217" spans="1:40">
      <c r="A217" s="23"/>
      <c r="B217" s="23" t="s">
        <v>172</v>
      </c>
      <c r="C217" s="24" t="s">
        <v>277</v>
      </c>
      <c r="D217" s="25" t="s">
        <v>278</v>
      </c>
      <c r="E217" s="26">
        <v>1320.5993523998222</v>
      </c>
      <c r="F217" s="26">
        <v>50.78930947559558</v>
      </c>
      <c r="T217" s="9" t="s">
        <v>19</v>
      </c>
      <c r="U217" s="9" t="s">
        <v>172</v>
      </c>
      <c r="V217" s="10" t="s">
        <v>173</v>
      </c>
      <c r="W217" s="11"/>
      <c r="X217" s="11">
        <f>VLOOKUP(U217,'[1]% SECCION_ECONOMIA 2022'!$C$81:$I$209,7,FALSE)</f>
        <v>1268.0804276893725</v>
      </c>
      <c r="Y217" s="12">
        <v>2889.9206611490831</v>
      </c>
      <c r="Z217" s="12">
        <v>100</v>
      </c>
      <c r="AA217" s="22">
        <f>X217/$X$2</f>
        <v>1.2152225704628136E-2</v>
      </c>
      <c r="AB217" t="s">
        <v>279</v>
      </c>
      <c r="AC217" t="str">
        <f>LEFT(AB217,4)</f>
        <v>2011</v>
      </c>
      <c r="AD217" s="75" t="s">
        <v>655</v>
      </c>
      <c r="AE217" s="22" t="str">
        <f>V217</f>
        <v>Fabricación de otras sustancias químicas básicas, otros productos químicos y fibras artificiales</v>
      </c>
      <c r="AF217" s="22">
        <f>AN217</f>
        <v>1.2168135774971984E-2</v>
      </c>
      <c r="AG217" s="22">
        <f>VLOOKUP(U217,Sheet1!$B$3:$I$129,8,FALSE)</f>
        <v>9.6304707650465091E-3</v>
      </c>
      <c r="AH217" s="71">
        <f>AG217</f>
        <v>9.6304707650465091E-3</v>
      </c>
      <c r="AI217" s="100">
        <f>AG217/AF217-1</f>
        <v>-0.20855002416599167</v>
      </c>
      <c r="AL217" s="75" t="s">
        <v>655</v>
      </c>
      <c r="AM217" s="22" t="s">
        <v>173</v>
      </c>
      <c r="AN217">
        <v>1.2168135774971984E-2</v>
      </c>
    </row>
    <row r="218" spans="1:40">
      <c r="A218" s="18"/>
      <c r="B218" s="18" t="s">
        <v>172</v>
      </c>
      <c r="C218" s="19" t="s">
        <v>280</v>
      </c>
      <c r="D218" s="20" t="s">
        <v>281</v>
      </c>
      <c r="E218" s="21">
        <v>786.47432360981566</v>
      </c>
      <c r="F218" s="21">
        <v>30.2472417117581</v>
      </c>
      <c r="T218" s="23"/>
      <c r="U218" s="23" t="s">
        <v>172</v>
      </c>
      <c r="V218" s="24" t="s">
        <v>277</v>
      </c>
      <c r="W218" s="25" t="s">
        <v>278</v>
      </c>
      <c r="X218" s="25"/>
      <c r="Y218" s="26">
        <v>1625.4978667797056</v>
      </c>
      <c r="Z218" s="26">
        <v>56.247145073296899</v>
      </c>
      <c r="AD218" s="76"/>
      <c r="AE218" s="69" t="str">
        <f>W218</f>
        <v>Productos Químicos Básicos excepto alcoholes</v>
      </c>
      <c r="AF218" s="29">
        <f>Z218*AF$217/100</f>
        <v>6.844228982064232E-3</v>
      </c>
      <c r="AG218" s="102">
        <f>VLOOKUP(V218,Sheet1!$C$4:$F$131,4,FALSE)</f>
        <v>50.78930947559558</v>
      </c>
      <c r="AH218" s="103">
        <f>AG218*AH$217/100</f>
        <v>4.8912496008162287E-3</v>
      </c>
      <c r="AI218" s="100">
        <f>AH218/AF218-1</f>
        <v>-0.28534687930019853</v>
      </c>
    </row>
    <row r="219" spans="1:40">
      <c r="A219" s="30"/>
      <c r="B219" s="30"/>
      <c r="C219" s="31"/>
      <c r="D219" s="32"/>
      <c r="E219" s="33"/>
      <c r="F219" s="33"/>
      <c r="T219" s="18"/>
      <c r="U219" s="18"/>
      <c r="V219" s="19"/>
      <c r="W219" s="20"/>
      <c r="X219" s="20"/>
      <c r="Y219" s="21"/>
      <c r="Z219" s="21"/>
      <c r="AD219" s="104" t="s">
        <v>539</v>
      </c>
      <c r="AE219" s="105" t="s">
        <v>546</v>
      </c>
      <c r="AF219" s="106">
        <f>AF218/(AF$218+AF$224)*AF$217</f>
        <v>8.1563677436482223E-3</v>
      </c>
      <c r="AG219" s="105"/>
      <c r="AH219" s="106">
        <f>AH218/(AH$218+AH$224)*AH$217</f>
        <v>6.0358560787067929E-3</v>
      </c>
    </row>
    <row r="220" spans="1:40">
      <c r="A220" s="30"/>
      <c r="B220" s="30"/>
      <c r="C220" s="31"/>
      <c r="D220" s="32"/>
      <c r="E220" s="33"/>
      <c r="F220" s="33"/>
      <c r="T220" s="18"/>
      <c r="U220" s="18"/>
      <c r="V220" s="19"/>
      <c r="W220" s="20"/>
      <c r="X220" s="20"/>
      <c r="Y220" s="21"/>
      <c r="Z220" s="21"/>
      <c r="AD220" s="104" t="s">
        <v>540</v>
      </c>
      <c r="AE220" s="105" t="s">
        <v>547</v>
      </c>
      <c r="AF220" s="105"/>
      <c r="AG220" s="105"/>
    </row>
    <row r="221" spans="1:40">
      <c r="A221" s="30"/>
      <c r="B221" s="30"/>
      <c r="C221" s="31"/>
      <c r="D221" s="32"/>
      <c r="E221" s="33"/>
      <c r="F221" s="33"/>
      <c r="T221" s="18"/>
      <c r="U221" s="18"/>
      <c r="V221" s="19"/>
      <c r="W221" s="20"/>
      <c r="X221" s="20"/>
      <c r="Y221" s="21"/>
      <c r="Z221" s="21"/>
      <c r="AD221" s="104" t="s">
        <v>541</v>
      </c>
      <c r="AE221" s="105" t="s">
        <v>548</v>
      </c>
      <c r="AF221" s="105"/>
      <c r="AG221" s="105"/>
    </row>
    <row r="222" spans="1:40">
      <c r="A222" s="30"/>
      <c r="B222" s="30"/>
      <c r="C222" s="31"/>
      <c r="D222" s="32"/>
      <c r="E222" s="33"/>
      <c r="F222" s="33"/>
      <c r="T222" s="18"/>
      <c r="U222" s="18"/>
      <c r="V222" s="19"/>
      <c r="W222" s="20"/>
      <c r="X222" s="20"/>
      <c r="Y222" s="21"/>
      <c r="Z222" s="21"/>
      <c r="AD222" s="104" t="s">
        <v>542</v>
      </c>
      <c r="AE222" s="105" t="s">
        <v>544</v>
      </c>
      <c r="AF222" s="105"/>
      <c r="AG222" s="105"/>
    </row>
    <row r="223" spans="1:40">
      <c r="A223" s="30"/>
      <c r="B223" s="30"/>
      <c r="C223" s="31"/>
      <c r="D223" s="32"/>
      <c r="E223" s="33"/>
      <c r="F223" s="33"/>
      <c r="T223" s="18"/>
      <c r="U223" s="18"/>
      <c r="V223" s="19"/>
      <c r="W223" s="20"/>
      <c r="X223" s="20"/>
      <c r="Y223" s="21"/>
      <c r="Z223" s="21"/>
      <c r="AD223" s="104" t="s">
        <v>543</v>
      </c>
      <c r="AE223" s="105" t="s">
        <v>545</v>
      </c>
      <c r="AF223" s="105"/>
      <c r="AG223" s="105"/>
    </row>
    <row r="224" spans="1:40">
      <c r="A224" s="9" t="s">
        <v>19</v>
      </c>
      <c r="B224" s="9" t="s">
        <v>176</v>
      </c>
      <c r="C224" s="10" t="s">
        <v>177</v>
      </c>
      <c r="D224" s="11"/>
      <c r="E224" s="12">
        <v>6900.1330537218564</v>
      </c>
      <c r="F224" s="12">
        <v>100</v>
      </c>
      <c r="G224" s="13">
        <f>VLOOKUP(B224,$L$2:$N$122,3,FALSE)</f>
        <v>20130.487782213553</v>
      </c>
      <c r="T224" s="18"/>
      <c r="U224" s="18" t="s">
        <v>172</v>
      </c>
      <c r="V224" s="19" t="s">
        <v>280</v>
      </c>
      <c r="W224" s="20" t="s">
        <v>281</v>
      </c>
      <c r="X224" s="20"/>
      <c r="Y224" s="21">
        <v>799.51279563260505</v>
      </c>
      <c r="Z224" s="21">
        <v>27.665562116667409</v>
      </c>
      <c r="AD224" s="76"/>
      <c r="AE224" s="69" t="str">
        <f>W224</f>
        <v>Productos químicos n.c.p. y fibras sintéticas o artificiales</v>
      </c>
      <c r="AF224" s="29">
        <f>Z224*AF$217/100</f>
        <v>3.3663831612653033E-3</v>
      </c>
      <c r="AG224" s="102">
        <f>VLOOKUP(V224,Sheet1!$C$4:$F$131,4,FALSE)</f>
        <v>30.2472417117581</v>
      </c>
      <c r="AH224" s="103">
        <f>AG224*AH$217/100</f>
        <v>2.9129517702838172E-3</v>
      </c>
      <c r="AI224" s="100">
        <f>AH224/AF224-1</f>
        <v>-0.13469393389285411</v>
      </c>
    </row>
    <row r="225" spans="1:40">
      <c r="A225" s="49"/>
      <c r="B225" s="49"/>
      <c r="C225" s="50"/>
      <c r="D225" s="51"/>
      <c r="E225" s="52"/>
      <c r="F225" s="52"/>
      <c r="G225" s="48"/>
      <c r="T225" s="30"/>
      <c r="U225" s="30"/>
      <c r="V225" s="31"/>
      <c r="W225" s="32"/>
      <c r="X225" s="32"/>
      <c r="Y225" s="33"/>
      <c r="Z225" s="33"/>
      <c r="AD225" s="104" t="s">
        <v>549</v>
      </c>
      <c r="AE225" s="105" t="s">
        <v>553</v>
      </c>
      <c r="AF225" s="106">
        <f>AF224/(AF$218+AF$224)*AF$217</f>
        <v>4.0117680313237611E-3</v>
      </c>
      <c r="AG225" s="105"/>
      <c r="AH225" s="106">
        <f>AH224/($AH$218+$AH$224)*$AH$217</f>
        <v>3.5946146863397163E-3</v>
      </c>
    </row>
    <row r="226" spans="1:40">
      <c r="A226" s="49"/>
      <c r="B226" s="49"/>
      <c r="C226" s="50"/>
      <c r="D226" s="51"/>
      <c r="E226" s="52"/>
      <c r="F226" s="52"/>
      <c r="G226" s="48"/>
      <c r="T226" s="30"/>
      <c r="U226" s="30"/>
      <c r="V226" s="31"/>
      <c r="W226" s="32"/>
      <c r="X226" s="32"/>
      <c r="Y226" s="33"/>
      <c r="Z226" s="33"/>
      <c r="AD226" s="104" t="s">
        <v>550</v>
      </c>
      <c r="AE226" s="105" t="s">
        <v>554</v>
      </c>
      <c r="AF226" s="105"/>
      <c r="AG226" s="105"/>
    </row>
    <row r="227" spans="1:40">
      <c r="A227" s="49"/>
      <c r="B227" s="49"/>
      <c r="C227" s="50"/>
      <c r="D227" s="51"/>
      <c r="E227" s="52"/>
      <c r="F227" s="52"/>
      <c r="G227" s="48"/>
      <c r="T227" s="30"/>
      <c r="U227" s="30"/>
      <c r="V227" s="31"/>
      <c r="W227" s="32"/>
      <c r="X227" s="32"/>
      <c r="Y227" s="33"/>
      <c r="Z227" s="33"/>
      <c r="AD227" s="104" t="s">
        <v>551</v>
      </c>
      <c r="AE227" s="105" t="s">
        <v>555</v>
      </c>
      <c r="AF227" s="105"/>
      <c r="AG227" s="105"/>
    </row>
    <row r="228" spans="1:40">
      <c r="A228" s="49"/>
      <c r="B228" s="49"/>
      <c r="C228" s="50"/>
      <c r="D228" s="51"/>
      <c r="E228" s="52"/>
      <c r="F228" s="52"/>
      <c r="G228" s="48"/>
      <c r="T228" s="30"/>
      <c r="U228" s="30"/>
      <c r="V228" s="31"/>
      <c r="W228" s="32"/>
      <c r="X228" s="32"/>
      <c r="Y228" s="33"/>
      <c r="Z228" s="33"/>
      <c r="AD228" s="104" t="s">
        <v>552</v>
      </c>
      <c r="AE228" s="105" t="s">
        <v>556</v>
      </c>
      <c r="AF228" s="105"/>
      <c r="AG228" s="105"/>
    </row>
    <row r="229" spans="1:40">
      <c r="A229" s="23"/>
      <c r="B229" s="23" t="s">
        <v>176</v>
      </c>
      <c r="C229" s="24" t="s">
        <v>282</v>
      </c>
      <c r="D229" s="25" t="s">
        <v>283</v>
      </c>
      <c r="E229" s="26">
        <v>5594.5280663153999</v>
      </c>
      <c r="F229" s="26">
        <v>81.078553453368158</v>
      </c>
      <c r="T229" s="9" t="s">
        <v>19</v>
      </c>
      <c r="U229" s="9" t="s">
        <v>176</v>
      </c>
      <c r="V229" s="10" t="s">
        <v>177</v>
      </c>
      <c r="W229" s="11"/>
      <c r="X229" s="11">
        <f>VLOOKUP(U229,'[1]% SECCION_ECONOMIA 2022'!$C$81:$I$209,7,FALSE)</f>
        <v>2201.879717185122</v>
      </c>
      <c r="Y229" s="12">
        <v>6160.5907210755067</v>
      </c>
      <c r="Z229" s="12">
        <v>100</v>
      </c>
      <c r="AA229" s="22">
        <f>X229/$X$2</f>
        <v>2.1100979648769495E-2</v>
      </c>
      <c r="AB229" t="s">
        <v>284</v>
      </c>
      <c r="AC229" t="str">
        <f>LEFT(AB229,4)</f>
        <v>2100</v>
      </c>
      <c r="AD229" s="75" t="s">
        <v>284</v>
      </c>
      <c r="AE229" s="22" t="str">
        <f>V229</f>
        <v>Fabricación de productos farmacéuticos, sustancias químicas medicinales y productos botánicos de uso farmacéutico</v>
      </c>
      <c r="AF229" s="22">
        <f>AN229</f>
        <v>2.1128605704991293E-2</v>
      </c>
      <c r="AG229" s="22">
        <f>VLOOKUP(U229,Sheet1!$B$3:$I$129,8,FALSE)</f>
        <v>2.4383073032546724E-2</v>
      </c>
      <c r="AH229" s="71">
        <f>AG229</f>
        <v>2.4383073032546724E-2</v>
      </c>
      <c r="AI229" s="100">
        <f>AG229/AF229-1</f>
        <v>0.15403133424874382</v>
      </c>
      <c r="AL229" s="75" t="s">
        <v>284</v>
      </c>
      <c r="AM229" s="22" t="s">
        <v>177</v>
      </c>
      <c r="AN229">
        <v>2.1128605704991293E-2</v>
      </c>
    </row>
    <row r="230" spans="1:40">
      <c r="A230" s="18"/>
      <c r="B230" s="18" t="s">
        <v>176</v>
      </c>
      <c r="C230" s="19" t="s">
        <v>267</v>
      </c>
      <c r="D230" s="20" t="s">
        <v>268</v>
      </c>
      <c r="E230" s="21">
        <v>706.9224323895038</v>
      </c>
      <c r="F230" s="21">
        <v>10.245055086411668</v>
      </c>
      <c r="T230" s="23"/>
      <c r="U230" s="23" t="s">
        <v>176</v>
      </c>
      <c r="V230" s="24" t="s">
        <v>282</v>
      </c>
      <c r="W230" s="25" t="s">
        <v>283</v>
      </c>
      <c r="X230" s="25"/>
      <c r="Y230" s="26">
        <v>4950.6422810597414</v>
      </c>
      <c r="Z230" s="26">
        <v>80.35986328589388</v>
      </c>
      <c r="AD230" s="76"/>
      <c r="AE230" s="69" t="str">
        <f>W230</f>
        <v>Productos Farmaceúticos</v>
      </c>
      <c r="AF230" s="29">
        <f>Z230*AF$229/100</f>
        <v>1.6978918658746577E-2</v>
      </c>
      <c r="AG230" s="102">
        <f>VLOOKUP(V230,Sheet1!$C$4:$F$131,4,FALSE)</f>
        <v>81.078553453368158</v>
      </c>
      <c r="AH230" s="103">
        <f>AG230*AH$229/100</f>
        <v>1.976944290226719E-2</v>
      </c>
      <c r="AI230" s="100">
        <f>AH230/AF230-1</f>
        <v>0.16435229472538238</v>
      </c>
    </row>
    <row r="231" spans="1:40">
      <c r="A231" s="30"/>
      <c r="B231" s="30"/>
      <c r="C231" s="31"/>
      <c r="D231" s="32"/>
      <c r="E231" s="33"/>
      <c r="F231" s="33"/>
      <c r="T231" s="18"/>
      <c r="U231" s="18"/>
      <c r="V231" s="19"/>
      <c r="W231" s="20"/>
      <c r="X231" s="20"/>
      <c r="Y231" s="21"/>
      <c r="Z231" s="21"/>
      <c r="AD231" s="104" t="s">
        <v>557</v>
      </c>
      <c r="AE231" s="105" t="s">
        <v>559</v>
      </c>
      <c r="AF231" s="106">
        <f>AF230/AF230*AF229</f>
        <v>2.1128605704991293E-2</v>
      </c>
      <c r="AG231" s="105"/>
      <c r="AH231" s="106">
        <f>AH230/AH230*AH229</f>
        <v>2.4383073032546724E-2</v>
      </c>
    </row>
    <row r="232" spans="1:40">
      <c r="A232" s="30"/>
      <c r="B232" s="30"/>
      <c r="C232" s="31"/>
      <c r="D232" s="32"/>
      <c r="E232" s="33"/>
      <c r="F232" s="33"/>
      <c r="T232" s="18"/>
      <c r="U232" s="18"/>
      <c r="V232" s="19"/>
      <c r="W232" s="20"/>
      <c r="X232" s="20"/>
      <c r="Y232" s="21"/>
      <c r="Z232" s="21"/>
      <c r="AD232" s="104" t="s">
        <v>558</v>
      </c>
      <c r="AE232" s="105" t="s">
        <v>560</v>
      </c>
      <c r="AF232" s="106"/>
      <c r="AG232" s="105"/>
    </row>
    <row r="233" spans="1:40">
      <c r="A233" s="9" t="s">
        <v>19</v>
      </c>
      <c r="B233" s="9" t="s">
        <v>179</v>
      </c>
      <c r="C233" s="10" t="s">
        <v>180</v>
      </c>
      <c r="D233" s="11"/>
      <c r="E233" s="12">
        <v>1388.3679146927395</v>
      </c>
      <c r="F233" s="12">
        <v>100</v>
      </c>
      <c r="G233" s="13">
        <f>VLOOKUP(B233,$L$2:$N$122,3,FALSE)</f>
        <v>2650.7789482238049</v>
      </c>
      <c r="T233" s="18"/>
      <c r="U233" s="59" t="s">
        <v>176</v>
      </c>
      <c r="V233" s="60" t="s">
        <v>267</v>
      </c>
      <c r="W233" s="41" t="s">
        <v>268</v>
      </c>
      <c r="X233" s="41"/>
      <c r="Y233" s="58">
        <v>687.15225030026295</v>
      </c>
      <c r="Z233" s="58">
        <v>11.153999371350883</v>
      </c>
      <c r="AD233" s="76"/>
      <c r="AE233" s="69" t="str">
        <f>W233</f>
        <v>Abonos, fertilizantes y pesticidas</v>
      </c>
      <c r="AF233" s="29">
        <f>Z233*AF$229/100</f>
        <v>2.3566845475099358E-3</v>
      </c>
      <c r="AG233" s="21">
        <v>10.245055086411668</v>
      </c>
      <c r="AH233" s="103">
        <f>AG233*AH$229/100</f>
        <v>2.4980592639443997E-3</v>
      </c>
      <c r="AI233" s="100">
        <f>AH233/AF233-1</f>
        <v>5.9988816315632798E-2</v>
      </c>
    </row>
    <row r="234" spans="1:40">
      <c r="A234" s="18"/>
      <c r="B234" s="18" t="s">
        <v>179</v>
      </c>
      <c r="C234" s="19" t="s">
        <v>285</v>
      </c>
      <c r="D234" s="20" t="s">
        <v>286</v>
      </c>
      <c r="E234" s="21">
        <v>1190.1347948719049</v>
      </c>
      <c r="F234" s="21">
        <v>85.721859622151683</v>
      </c>
      <c r="T234" s="9" t="s">
        <v>19</v>
      </c>
      <c r="U234" s="9" t="s">
        <v>179</v>
      </c>
      <c r="V234" s="10" t="s">
        <v>180</v>
      </c>
      <c r="W234" s="11"/>
      <c r="X234" s="11">
        <f>VLOOKUP(U234,'[1]% SECCION_ECONOMIA 2022'!$C$81:$I$209,7,FALSE)</f>
        <v>412.53986055599853</v>
      </c>
      <c r="Y234" s="12">
        <v>1392.4107228206426</v>
      </c>
      <c r="Z234" s="12">
        <v>100</v>
      </c>
      <c r="AA234" s="22">
        <f>X234/$X$2</f>
        <v>3.9534381165138195E-3</v>
      </c>
      <c r="AB234" t="s">
        <v>287</v>
      </c>
      <c r="AC234" t="str">
        <f>LEFT(AB234,4)</f>
        <v>2211</v>
      </c>
      <c r="AD234" s="75" t="s">
        <v>287</v>
      </c>
      <c r="AE234" s="22" t="str">
        <f>V234</f>
        <v>Fabricación de productos de caucho</v>
      </c>
      <c r="AF234" s="22">
        <f>AN234</f>
        <v>0</v>
      </c>
      <c r="AG234" s="22">
        <f>VLOOKUP(U234,Sheet1!$B$3:$I$129,8,FALSE)</f>
        <v>4.2201441027851167E-3</v>
      </c>
      <c r="AH234" s="71">
        <f>AG234</f>
        <v>4.2201441027851167E-3</v>
      </c>
      <c r="AI234" s="100" t="e">
        <f>AG234/AF234-1</f>
        <v>#DIV/0!</v>
      </c>
      <c r="AL234" s="75" t="s">
        <v>287</v>
      </c>
      <c r="AM234" s="111" t="s">
        <v>180</v>
      </c>
    </row>
    <row r="235" spans="1:40">
      <c r="A235" s="9" t="s">
        <v>19</v>
      </c>
      <c r="B235" s="9" t="s">
        <v>183</v>
      </c>
      <c r="C235" s="10" t="s">
        <v>184</v>
      </c>
      <c r="D235" s="11"/>
      <c r="E235" s="12">
        <v>13793.609049238932</v>
      </c>
      <c r="F235" s="12">
        <v>100</v>
      </c>
      <c r="G235" s="13">
        <f>VLOOKUP(B235,$L$2:$N$122,3,FALSE)</f>
        <v>23307.258304379135</v>
      </c>
      <c r="T235" s="18"/>
      <c r="U235" s="18" t="s">
        <v>179</v>
      </c>
      <c r="V235" s="19" t="s">
        <v>285</v>
      </c>
      <c r="W235" s="20" t="s">
        <v>286</v>
      </c>
      <c r="X235" s="20"/>
      <c r="Y235" s="21">
        <v>1189.9988982588056</v>
      </c>
      <c r="Z235" s="21">
        <v>85.463209867286423</v>
      </c>
      <c r="AD235" s="76"/>
      <c r="AE235" s="69" t="str">
        <f>W235</f>
        <v>Productos de caucho</v>
      </c>
      <c r="AF235" s="29">
        <f>Z235*AF$234/100</f>
        <v>0</v>
      </c>
      <c r="AG235" s="102">
        <f>VLOOKUP(V235,Sheet1!$C$4:$F$131,4,FALSE)</f>
        <v>85.721859622151683</v>
      </c>
      <c r="AH235" s="103">
        <f>AG235*AH234/100</f>
        <v>3.6175860036419703E-3</v>
      </c>
      <c r="AI235" s="100" t="e">
        <f>AH235/AF235-1</f>
        <v>#DIV/0!</v>
      </c>
    </row>
    <row r="236" spans="1:40">
      <c r="A236" s="44"/>
      <c r="B236" s="44"/>
      <c r="C236" s="45"/>
      <c r="D236" s="46"/>
      <c r="E236" s="47"/>
      <c r="F236" s="47"/>
      <c r="G236" s="48"/>
      <c r="T236" s="30"/>
      <c r="U236" s="30"/>
      <c r="V236" s="31"/>
      <c r="W236" s="32"/>
      <c r="X236" s="32"/>
      <c r="Y236" s="33"/>
      <c r="Z236" s="33"/>
      <c r="AD236" s="104" t="s">
        <v>561</v>
      </c>
      <c r="AE236" s="105" t="s">
        <v>564</v>
      </c>
      <c r="AF236" s="106" t="e">
        <f>AF235/AF235*AF234</f>
        <v>#DIV/0!</v>
      </c>
      <c r="AG236" s="105"/>
      <c r="AH236" s="106">
        <f>AH235/AH235*AH234</f>
        <v>4.2201441027851167E-3</v>
      </c>
    </row>
    <row r="237" spans="1:40">
      <c r="A237" s="44"/>
      <c r="B237" s="44"/>
      <c r="C237" s="45"/>
      <c r="D237" s="46"/>
      <c r="E237" s="47"/>
      <c r="F237" s="47"/>
      <c r="G237" s="48"/>
      <c r="T237" s="30"/>
      <c r="U237" s="30"/>
      <c r="V237" s="31"/>
      <c r="W237" s="32"/>
      <c r="X237" s="32"/>
      <c r="Y237" s="33"/>
      <c r="Z237" s="33"/>
      <c r="AD237" s="104" t="s">
        <v>562</v>
      </c>
      <c r="AE237" s="105" t="s">
        <v>565</v>
      </c>
      <c r="AF237" s="105"/>
      <c r="AG237" s="105"/>
    </row>
    <row r="238" spans="1:40">
      <c r="A238" s="44"/>
      <c r="B238" s="44"/>
      <c r="C238" s="45"/>
      <c r="D238" s="46"/>
      <c r="E238" s="47"/>
      <c r="F238" s="47"/>
      <c r="G238" s="48"/>
      <c r="T238" s="30"/>
      <c r="U238" s="30"/>
      <c r="V238" s="31"/>
      <c r="W238" s="32"/>
      <c r="X238" s="32"/>
      <c r="Y238" s="33"/>
      <c r="Z238" s="33"/>
      <c r="AD238" s="104" t="s">
        <v>563</v>
      </c>
      <c r="AE238" s="105" t="s">
        <v>566</v>
      </c>
      <c r="AF238" s="105"/>
      <c r="AG238" s="105"/>
    </row>
    <row r="239" spans="1:40">
      <c r="A239" s="18"/>
      <c r="B239" s="18" t="s">
        <v>183</v>
      </c>
      <c r="C239" s="19" t="s">
        <v>288</v>
      </c>
      <c r="D239" s="20" t="s">
        <v>289</v>
      </c>
      <c r="E239" s="21">
        <v>12982.426838528199</v>
      </c>
      <c r="F239" s="21">
        <v>94.119144541395499</v>
      </c>
      <c r="T239" s="9" t="s">
        <v>19</v>
      </c>
      <c r="U239" s="9" t="s">
        <v>183</v>
      </c>
      <c r="V239" s="10" t="s">
        <v>184</v>
      </c>
      <c r="W239" s="11"/>
      <c r="X239" s="11">
        <f>VLOOKUP(U239,'[1]% SECCION_ECONOMIA 2022'!$C$81:$I$209,7,FALSE)</f>
        <v>5894.757392317244</v>
      </c>
      <c r="Y239" s="12">
        <v>15371.64777371978</v>
      </c>
      <c r="Z239" s="12">
        <v>100</v>
      </c>
      <c r="AA239" s="22">
        <f>X239/$X$2</f>
        <v>5.6490440780631472E-2</v>
      </c>
      <c r="AB239" t="s">
        <v>290</v>
      </c>
      <c r="AC239" t="str">
        <f>LEFT(AB239,4)</f>
        <v>2220</v>
      </c>
      <c r="AD239" s="75" t="s">
        <v>290</v>
      </c>
      <c r="AE239" s="22" t="str">
        <f>V239</f>
        <v>Fabricación de productos de plástico</v>
      </c>
      <c r="AF239" s="22">
        <f>AN239</f>
        <v>6.0523013895826434E-2</v>
      </c>
      <c r="AG239" s="22">
        <f>VLOOKUP(U239,Sheet1!$B$3:$I$129,8,FALSE)</f>
        <v>4.8905262703271911E-2</v>
      </c>
      <c r="AH239" s="71">
        <f>AG239</f>
        <v>4.8905262703271911E-2</v>
      </c>
      <c r="AI239" s="100">
        <f>AG239/AF239-1</f>
        <v>-0.19195592626221913</v>
      </c>
      <c r="AL239" s="75" t="s">
        <v>290</v>
      </c>
      <c r="AM239" s="22" t="s">
        <v>184</v>
      </c>
      <c r="AN239">
        <v>6.0523013895826434E-2</v>
      </c>
    </row>
    <row r="240" spans="1:40">
      <c r="A240" s="9" t="s">
        <v>19</v>
      </c>
      <c r="B240" s="9" t="s">
        <v>186</v>
      </c>
      <c r="C240" s="10" t="s">
        <v>187</v>
      </c>
      <c r="D240" s="11"/>
      <c r="E240" s="12">
        <v>1233.0486210314655</v>
      </c>
      <c r="F240" s="12">
        <v>100</v>
      </c>
      <c r="G240" s="13">
        <f>VLOOKUP(B240,$L$2:$N$122,3,FALSE)</f>
        <v>1752.023738088069</v>
      </c>
      <c r="T240" s="18"/>
      <c r="U240" s="18" t="s">
        <v>183</v>
      </c>
      <c r="V240" s="19" t="s">
        <v>288</v>
      </c>
      <c r="W240" s="20" t="s">
        <v>289</v>
      </c>
      <c r="X240" s="20"/>
      <c r="Y240" s="21">
        <v>14544.411711554671</v>
      </c>
      <c r="Z240" s="21">
        <v>94.618429498629297</v>
      </c>
      <c r="AD240" s="76"/>
      <c r="AE240" s="69" t="str">
        <f>W240</f>
        <v>Productos de plástico</v>
      </c>
      <c r="AF240" s="29">
        <f>Z240*AF$239/100</f>
        <v>5.726592523346815E-2</v>
      </c>
      <c r="AG240" s="102">
        <f>VLOOKUP(V240,Sheet1!$C$4:$F$131,4,FALSE)</f>
        <v>94.119144541395499</v>
      </c>
      <c r="AH240" s="103">
        <f>AG240*AH239/100</f>
        <v>4.6029214892041675E-2</v>
      </c>
      <c r="AI240" s="100">
        <f>AH240/AF240-1</f>
        <v>-0.19621983396959697</v>
      </c>
    </row>
    <row r="241" spans="1:40">
      <c r="A241" s="44"/>
      <c r="B241" s="44"/>
      <c r="C241" s="45"/>
      <c r="D241" s="46"/>
      <c r="E241" s="47"/>
      <c r="F241" s="47"/>
      <c r="G241" s="48"/>
      <c r="T241" s="30"/>
      <c r="U241" s="30"/>
      <c r="V241" s="31"/>
      <c r="W241" s="32"/>
      <c r="X241" s="32"/>
      <c r="Y241" s="33"/>
      <c r="Z241" s="33"/>
      <c r="AD241" s="104" t="s">
        <v>567</v>
      </c>
      <c r="AE241" s="105" t="s">
        <v>574</v>
      </c>
      <c r="AF241" s="106">
        <f>AF240/AF240*AF239</f>
        <v>6.0523013895826434E-2</v>
      </c>
      <c r="AG241" s="105"/>
      <c r="AH241" s="106">
        <f>AH240/AH240*AH239</f>
        <v>4.8905262703271911E-2</v>
      </c>
    </row>
    <row r="242" spans="1:40">
      <c r="A242" s="44"/>
      <c r="B242" s="44"/>
      <c r="C242" s="45"/>
      <c r="D242" s="46"/>
      <c r="E242" s="47"/>
      <c r="F242" s="47"/>
      <c r="G242" s="48"/>
      <c r="T242" s="30"/>
      <c r="U242" s="30"/>
      <c r="V242" s="31"/>
      <c r="W242" s="32"/>
      <c r="X242" s="32"/>
      <c r="Y242" s="33"/>
      <c r="Z242" s="33"/>
      <c r="AD242" s="104" t="s">
        <v>568</v>
      </c>
      <c r="AE242" s="105" t="s">
        <v>575</v>
      </c>
      <c r="AF242" s="105"/>
      <c r="AG242" s="105"/>
    </row>
    <row r="243" spans="1:40">
      <c r="A243" s="44"/>
      <c r="B243" s="44"/>
      <c r="C243" s="45"/>
      <c r="D243" s="46"/>
      <c r="E243" s="47"/>
      <c r="F243" s="47"/>
      <c r="G243" s="48"/>
      <c r="T243" s="30"/>
      <c r="U243" s="30"/>
      <c r="V243" s="31"/>
      <c r="W243" s="32"/>
      <c r="X243" s="32"/>
      <c r="Y243" s="33"/>
      <c r="Z243" s="33"/>
      <c r="AD243" s="104" t="s">
        <v>569</v>
      </c>
      <c r="AE243" s="105" t="s">
        <v>576</v>
      </c>
      <c r="AF243" s="105"/>
      <c r="AG243" s="105"/>
    </row>
    <row r="244" spans="1:40">
      <c r="A244" s="44"/>
      <c r="B244" s="44"/>
      <c r="C244" s="45"/>
      <c r="D244" s="46"/>
      <c r="E244" s="47"/>
      <c r="F244" s="47"/>
      <c r="G244" s="48"/>
      <c r="T244" s="30"/>
      <c r="U244" s="30"/>
      <c r="V244" s="31"/>
      <c r="W244" s="32"/>
      <c r="X244" s="32"/>
      <c r="Y244" s="33"/>
      <c r="Z244" s="33"/>
      <c r="AD244" s="104" t="s">
        <v>570</v>
      </c>
      <c r="AE244" s="105" t="s">
        <v>577</v>
      </c>
      <c r="AF244" s="105"/>
      <c r="AG244" s="105"/>
    </row>
    <row r="245" spans="1:40">
      <c r="A245" s="44"/>
      <c r="B245" s="44"/>
      <c r="C245" s="45"/>
      <c r="D245" s="46"/>
      <c r="E245" s="47"/>
      <c r="F245" s="47"/>
      <c r="G245" s="48"/>
      <c r="T245" s="30"/>
      <c r="U245" s="30"/>
      <c r="V245" s="31"/>
      <c r="W245" s="32"/>
      <c r="X245" s="32"/>
      <c r="Y245" s="33"/>
      <c r="Z245" s="33"/>
      <c r="AD245" s="104" t="s">
        <v>571</v>
      </c>
      <c r="AE245" s="105" t="s">
        <v>578</v>
      </c>
      <c r="AF245" s="105"/>
      <c r="AG245" s="105"/>
    </row>
    <row r="246" spans="1:40">
      <c r="A246" s="44"/>
      <c r="B246" s="44"/>
      <c r="C246" s="45"/>
      <c r="D246" s="46"/>
      <c r="E246" s="47"/>
      <c r="F246" s="47"/>
      <c r="G246" s="48"/>
      <c r="T246" s="30"/>
      <c r="U246" s="30"/>
      <c r="V246" s="31"/>
      <c r="W246" s="32"/>
      <c r="X246" s="32"/>
      <c r="Y246" s="33"/>
      <c r="Z246" s="33"/>
      <c r="AD246" s="104" t="s">
        <v>572</v>
      </c>
      <c r="AE246" s="105" t="s">
        <v>579</v>
      </c>
      <c r="AF246" s="105"/>
      <c r="AG246" s="105"/>
    </row>
    <row r="247" spans="1:40">
      <c r="A247" s="44"/>
      <c r="B247" s="44"/>
      <c r="C247" s="45"/>
      <c r="D247" s="46"/>
      <c r="E247" s="47"/>
      <c r="F247" s="47"/>
      <c r="G247" s="48"/>
      <c r="T247" s="30"/>
      <c r="U247" s="30"/>
      <c r="V247" s="31"/>
      <c r="W247" s="32"/>
      <c r="X247" s="32"/>
      <c r="Y247" s="33"/>
      <c r="Z247" s="33"/>
      <c r="AD247" s="104" t="s">
        <v>573</v>
      </c>
      <c r="AE247" s="105" t="s">
        <v>580</v>
      </c>
      <c r="AF247" s="105"/>
      <c r="AG247" s="105"/>
    </row>
    <row r="248" spans="1:40">
      <c r="A248" s="18"/>
      <c r="B248" s="18" t="s">
        <v>186</v>
      </c>
      <c r="C248" s="19" t="s">
        <v>291</v>
      </c>
      <c r="D248" s="20" t="s">
        <v>292</v>
      </c>
      <c r="E248" s="21">
        <v>1214.2008856953751</v>
      </c>
      <c r="F248" s="21">
        <v>98.471452381145852</v>
      </c>
      <c r="T248" s="9" t="s">
        <v>19</v>
      </c>
      <c r="U248" s="9" t="s">
        <v>186</v>
      </c>
      <c r="V248" s="10" t="s">
        <v>187</v>
      </c>
      <c r="W248" s="11"/>
      <c r="X248" s="11">
        <f>VLOOKUP(U248,'[1]% SECCION_ECONOMIA 2022'!$C$81:$I$209,7,FALSE)</f>
        <v>498.44563923866042</v>
      </c>
      <c r="Y248" s="12">
        <v>1306.7459380271307</v>
      </c>
      <c r="Z248" s="12">
        <v>100</v>
      </c>
      <c r="AA248" s="22">
        <f>X248/$X$2</f>
        <v>4.7766874854720349E-3</v>
      </c>
      <c r="AB248" t="s">
        <v>293</v>
      </c>
      <c r="AC248" t="str">
        <f>LEFT(AB248,4)</f>
        <v>2310</v>
      </c>
      <c r="AD248" s="75" t="s">
        <v>293</v>
      </c>
      <c r="AE248" s="22" t="str">
        <f>V248</f>
        <v>Fabricación de vidrio y productos de vidrio</v>
      </c>
      <c r="AF248" s="22">
        <f>AN248</f>
        <v>4.8120213349284553E-3</v>
      </c>
      <c r="AG248" s="22">
        <f>VLOOKUP(U248,Sheet1!$B$3:$I$129,8,FALSE)</f>
        <v>4.6196764308404073E-3</v>
      </c>
      <c r="AH248" s="71">
        <f>AG248</f>
        <v>4.6196764308404073E-3</v>
      </c>
      <c r="AI248" s="100">
        <f>AG248/AF248-1</f>
        <v>-3.9971747982889605E-2</v>
      </c>
      <c r="AL248" s="75" t="s">
        <v>293</v>
      </c>
      <c r="AM248" s="22" t="s">
        <v>187</v>
      </c>
      <c r="AN248">
        <v>4.8120213349284553E-3</v>
      </c>
    </row>
    <row r="249" spans="1:40">
      <c r="A249" s="9" t="s">
        <v>19</v>
      </c>
      <c r="B249" s="9" t="s">
        <v>188</v>
      </c>
      <c r="C249" s="10" t="s">
        <v>189</v>
      </c>
      <c r="D249" s="11"/>
      <c r="E249" s="12">
        <v>2390.4624454542368</v>
      </c>
      <c r="F249" s="12">
        <v>100</v>
      </c>
      <c r="G249" s="13">
        <f>VLOOKUP(B249,$L$2:$N$122,3,FALSE)</f>
        <v>3619.8774272212363</v>
      </c>
      <c r="T249" s="18"/>
      <c r="U249" s="18" t="s">
        <v>186</v>
      </c>
      <c r="V249" s="19" t="s">
        <v>291</v>
      </c>
      <c r="W249" s="20" t="s">
        <v>292</v>
      </c>
      <c r="X249" s="20"/>
      <c r="Y249" s="21">
        <v>1285.7628380776298</v>
      </c>
      <c r="Z249" s="21">
        <v>98.394247930000816</v>
      </c>
      <c r="AD249" s="76"/>
      <c r="AE249" s="69" t="str">
        <f>W249</f>
        <v>Vidrio y productos de vidrio</v>
      </c>
      <c r="AF249" s="29">
        <f>Z249*AF$248/100</f>
        <v>4.7347522027340397E-3</v>
      </c>
      <c r="AG249" s="102">
        <f>VLOOKUP(V249,Sheet1!$C$4:$F$131,4,FALSE)</f>
        <v>98.471452381145852</v>
      </c>
      <c r="AH249" s="103">
        <f>AG249*AH248/100</f>
        <v>4.5490624767580302E-3</v>
      </c>
      <c r="AI249" s="100">
        <f>AH249/AF249-1</f>
        <v>-3.9218467625145137E-2</v>
      </c>
    </row>
    <row r="250" spans="1:40">
      <c r="A250" s="49"/>
      <c r="B250" s="49"/>
      <c r="C250" s="50"/>
      <c r="D250" s="51"/>
      <c r="E250" s="52"/>
      <c r="F250" s="52"/>
      <c r="G250" s="48"/>
      <c r="T250" s="30"/>
      <c r="U250" s="30"/>
      <c r="V250" s="31"/>
      <c r="W250" s="32"/>
      <c r="X250" s="32"/>
      <c r="Y250" s="33"/>
      <c r="Z250" s="33"/>
      <c r="AD250" s="104" t="s">
        <v>581</v>
      </c>
      <c r="AE250" s="105" t="s">
        <v>583</v>
      </c>
      <c r="AF250" s="106">
        <f>AF249/AF249*AF248</f>
        <v>4.8120213349284553E-3</v>
      </c>
      <c r="AG250" s="105"/>
      <c r="AH250" s="106">
        <f>AH249/AH249*AH248</f>
        <v>4.6196764308404073E-3</v>
      </c>
    </row>
    <row r="251" spans="1:40">
      <c r="A251" s="49"/>
      <c r="B251" s="49"/>
      <c r="C251" s="50"/>
      <c r="D251" s="51"/>
      <c r="E251" s="52"/>
      <c r="F251" s="52"/>
      <c r="G251" s="48"/>
      <c r="T251" s="30"/>
      <c r="U251" s="30"/>
      <c r="V251" s="31"/>
      <c r="W251" s="32"/>
      <c r="X251" s="32"/>
      <c r="Y251" s="33"/>
      <c r="Z251" s="33"/>
      <c r="AD251" s="104" t="s">
        <v>582</v>
      </c>
      <c r="AE251" s="105" t="s">
        <v>584</v>
      </c>
      <c r="AF251" s="105"/>
      <c r="AG251" s="105"/>
    </row>
    <row r="252" spans="1:40">
      <c r="A252" s="23"/>
      <c r="B252" s="23" t="s">
        <v>188</v>
      </c>
      <c r="C252" s="24" t="s">
        <v>294</v>
      </c>
      <c r="D252" s="25" t="s">
        <v>295</v>
      </c>
      <c r="E252" s="26">
        <v>1832.2457081561492</v>
      </c>
      <c r="F252" s="26">
        <v>76.648169547293804</v>
      </c>
      <c r="T252" s="9" t="s">
        <v>19</v>
      </c>
      <c r="U252" s="9" t="s">
        <v>188</v>
      </c>
      <c r="V252" s="10" t="s">
        <v>189</v>
      </c>
      <c r="W252" s="11"/>
      <c r="X252" s="11">
        <f>VLOOKUP(U252,'[1]% SECCION_ECONOMIA 2022'!$C$81:$I$209,7,FALSE)</f>
        <v>1101.6198419111633</v>
      </c>
      <c r="Y252" s="12">
        <v>2402.5001688866214</v>
      </c>
      <c r="Z252" s="12">
        <v>100</v>
      </c>
      <c r="AA252" s="22">
        <f>X252/$X$2</f>
        <v>1.0557006217653347E-2</v>
      </c>
      <c r="AB252" t="s">
        <v>296</v>
      </c>
      <c r="AC252" t="str">
        <f>LEFT(AB252,4)</f>
        <v>2391</v>
      </c>
      <c r="AD252" s="75" t="s">
        <v>296</v>
      </c>
      <c r="AE252" s="22" t="str">
        <f>V252</f>
        <v>Fabricación de productos refractarios y no refractarios de arcilla, cerámica, porcelana y otros minerales no metálicos</v>
      </c>
      <c r="AF252" s="22">
        <f>AN252</f>
        <v>1.063509792232098E-2</v>
      </c>
      <c r="AG252" s="22">
        <f>VLOOKUP(U252,Sheet1!$B$3:$I$129,8,FALSE)</f>
        <v>9.650314533730572E-3</v>
      </c>
      <c r="AH252" s="71">
        <f>AG252</f>
        <v>9.650314533730572E-3</v>
      </c>
      <c r="AI252" s="100">
        <f>AG252/AF252-1</f>
        <v>-9.2597491417877875E-2</v>
      </c>
      <c r="AL252" s="75" t="s">
        <v>296</v>
      </c>
      <c r="AM252" s="22" t="s">
        <v>189</v>
      </c>
      <c r="AN252">
        <v>1.063509792232098E-2</v>
      </c>
    </row>
    <row r="253" spans="1:40">
      <c r="A253" s="18"/>
      <c r="B253" s="18" t="s">
        <v>188</v>
      </c>
      <c r="C253" s="19" t="s">
        <v>297</v>
      </c>
      <c r="D253" s="20" t="s">
        <v>298</v>
      </c>
      <c r="E253" s="21">
        <v>534.04616467715027</v>
      </c>
      <c r="F253" s="21">
        <v>22.340705067034449</v>
      </c>
      <c r="T253" s="23"/>
      <c r="U253" s="23" t="s">
        <v>188</v>
      </c>
      <c r="V253" s="24" t="s">
        <v>294</v>
      </c>
      <c r="W253" s="25" t="s">
        <v>295</v>
      </c>
      <c r="X253" s="25"/>
      <c r="Y253" s="26">
        <v>1850.7718620965443</v>
      </c>
      <c r="Z253" s="26">
        <v>77.035243787484859</v>
      </c>
      <c r="AD253" s="76"/>
      <c r="AE253" s="69" t="str">
        <f>W253</f>
        <v>Productos refractarios y productos estructurales de arcilla no refractarios</v>
      </c>
      <c r="AF253" s="29">
        <f>Z253*AF$252/100</f>
        <v>8.1927736114977036E-3</v>
      </c>
      <c r="AG253" s="102">
        <f>VLOOKUP(V253,Sheet1!$C$4:$F$131,4,FALSE)</f>
        <v>76.648169547293804</v>
      </c>
      <c r="AH253" s="103">
        <f>AG253*AH$252/100</f>
        <v>7.3967894456609439E-3</v>
      </c>
      <c r="AI253" s="100">
        <f>AH253/AF253-1</f>
        <v>-9.7156860860854066E-2</v>
      </c>
    </row>
    <row r="254" spans="1:40">
      <c r="A254" s="30"/>
      <c r="B254" s="30"/>
      <c r="C254" s="31"/>
      <c r="D254" s="32"/>
      <c r="E254" s="33"/>
      <c r="F254" s="33"/>
      <c r="T254" s="18"/>
      <c r="U254" s="18"/>
      <c r="V254" s="19"/>
      <c r="W254" s="20"/>
      <c r="X254" s="20"/>
      <c r="Y254" s="21"/>
      <c r="Z254" s="21"/>
      <c r="AD254" s="104" t="s">
        <v>585</v>
      </c>
      <c r="AE254" s="105" t="s">
        <v>587</v>
      </c>
      <c r="AF254" s="106">
        <f>AF253/(AF$253+AF$256)*AF$252</f>
        <v>8.2782401272541179E-3</v>
      </c>
      <c r="AG254" s="105"/>
      <c r="AH254" s="106">
        <f>AH253/(AH$253+AH$256)*AH$252</f>
        <v>7.4723442149228041E-3</v>
      </c>
    </row>
    <row r="255" spans="1:40">
      <c r="A255" s="30"/>
      <c r="B255" s="30"/>
      <c r="C255" s="31"/>
      <c r="D255" s="32"/>
      <c r="E255" s="33"/>
      <c r="F255" s="33"/>
      <c r="T255" s="18"/>
      <c r="U255" s="18"/>
      <c r="V255" s="19"/>
      <c r="W255" s="20"/>
      <c r="X255" s="20"/>
      <c r="Y255" s="21"/>
      <c r="Z255" s="21"/>
      <c r="AD255" s="104" t="s">
        <v>586</v>
      </c>
      <c r="AE255" s="105" t="s">
        <v>588</v>
      </c>
      <c r="AF255" s="105"/>
      <c r="AG255" s="105"/>
    </row>
    <row r="256" spans="1:40">
      <c r="A256" s="9" t="s">
        <v>19</v>
      </c>
      <c r="B256" s="9" t="s">
        <v>191</v>
      </c>
      <c r="C256" s="10" t="s">
        <v>192</v>
      </c>
      <c r="D256" s="11"/>
      <c r="E256" s="12">
        <v>9359.8658764522315</v>
      </c>
      <c r="F256" s="12">
        <v>100</v>
      </c>
      <c r="G256" s="13">
        <f>VLOOKUP(B256,$L$2:$N$122,3,FALSE)</f>
        <v>7478.1464205460206</v>
      </c>
      <c r="T256" s="18"/>
      <c r="U256" s="18" t="s">
        <v>188</v>
      </c>
      <c r="V256" s="19" t="s">
        <v>297</v>
      </c>
      <c r="W256" s="20" t="s">
        <v>298</v>
      </c>
      <c r="X256" s="20"/>
      <c r="Y256" s="21">
        <v>526.92432485883</v>
      </c>
      <c r="Z256" s="21">
        <v>21.93233247941955</v>
      </c>
      <c r="AD256" s="76"/>
      <c r="AE256" s="69" t="str">
        <f>W256</f>
        <v>Productos no estructurales de cerámica</v>
      </c>
      <c r="AF256" s="29">
        <f>Z256*AF$252/100</f>
        <v>2.3325250358352781E-3</v>
      </c>
      <c r="AG256" s="102">
        <f>VLOOKUP(V256,Sheet1!$C$4:$F$131,4,FALSE)</f>
        <v>22.340705067034449</v>
      </c>
      <c r="AH256" s="103">
        <f>AG256*AH$252/100</f>
        <v>2.1559483080219079E-3</v>
      </c>
      <c r="AI256" s="100">
        <f>AH256/AF256-1</f>
        <v>-7.5701964652284182E-2</v>
      </c>
    </row>
    <row r="257" spans="1:40">
      <c r="A257" s="44"/>
      <c r="B257" s="44"/>
      <c r="C257" s="45"/>
      <c r="D257" s="46"/>
      <c r="E257" s="47"/>
      <c r="F257" s="47"/>
      <c r="G257" s="48"/>
      <c r="T257" s="30"/>
      <c r="U257" s="30"/>
      <c r="V257" s="31"/>
      <c r="W257" s="32"/>
      <c r="X257" s="32"/>
      <c r="Y257" s="33"/>
      <c r="Z257" s="33"/>
      <c r="AD257" s="104" t="s">
        <v>589</v>
      </c>
      <c r="AE257" s="105" t="s">
        <v>590</v>
      </c>
      <c r="AF257" s="106">
        <f>AF256/(AF$253+AF$256)*AF$252</f>
        <v>2.3568577950668621E-3</v>
      </c>
      <c r="AG257" s="105"/>
      <c r="AH257" s="106">
        <f>AH256/($AH$253+$AH$256)*$AH$252</f>
        <v>2.1779703188077692E-3</v>
      </c>
    </row>
    <row r="258" spans="1:40">
      <c r="A258" s="18"/>
      <c r="B258" s="18" t="s">
        <v>191</v>
      </c>
      <c r="C258" s="19" t="s">
        <v>299</v>
      </c>
      <c r="D258" s="20" t="s">
        <v>300</v>
      </c>
      <c r="E258" s="21">
        <v>9134.2325635509114</v>
      </c>
      <c r="F258" s="21">
        <v>97.589353139461394</v>
      </c>
      <c r="T258" s="9" t="s">
        <v>19</v>
      </c>
      <c r="U258" s="9" t="s">
        <v>191</v>
      </c>
      <c r="V258" s="10" t="s">
        <v>192</v>
      </c>
      <c r="W258" s="11"/>
      <c r="X258" s="11">
        <f>VLOOKUP(U258,'[1]% SECCION_ECONOMIA 2022'!$C$81:$I$209,7,FALSE)</f>
        <v>4490.8048446499633</v>
      </c>
      <c r="Y258" s="12">
        <v>8721.4612251677354</v>
      </c>
      <c r="Z258" s="12">
        <v>100</v>
      </c>
      <c r="AA258" s="22">
        <f>X258/$X$2</f>
        <v>4.3036129945688312E-2</v>
      </c>
      <c r="AB258" t="s">
        <v>301</v>
      </c>
      <c r="AC258" t="str">
        <f>LEFT(AB258,4)</f>
        <v>2394</v>
      </c>
      <c r="AD258" s="75" t="s">
        <v>301</v>
      </c>
      <c r="AE258" s="22" t="str">
        <f>V258</f>
        <v>Fabricación de cemento, cal y yeso</v>
      </c>
      <c r="AF258" s="22">
        <f>AN258</f>
        <v>4.3354474434690947E-2</v>
      </c>
      <c r="AG258" s="22">
        <f>VLOOKUP(U258,Sheet1!$B$3:$I$129,8,FALSE)</f>
        <v>4.2389797632542706E-2</v>
      </c>
      <c r="AH258" s="71">
        <f>AG258</f>
        <v>4.2389797632542706E-2</v>
      </c>
      <c r="AI258" s="100">
        <f>AG258/AF258-1</f>
        <v>-2.2250916767574402E-2</v>
      </c>
      <c r="AL258" s="75" t="s">
        <v>301</v>
      </c>
      <c r="AM258" s="22" t="s">
        <v>192</v>
      </c>
      <c r="AN258">
        <v>4.3354474434690947E-2</v>
      </c>
    </row>
    <row r="259" spans="1:40">
      <c r="A259" s="9" t="s">
        <v>19</v>
      </c>
      <c r="B259" s="9" t="s">
        <v>195</v>
      </c>
      <c r="C259" s="10" t="s">
        <v>196</v>
      </c>
      <c r="D259" s="11"/>
      <c r="E259" s="12">
        <v>4282.4628485799858</v>
      </c>
      <c r="F259" s="12">
        <v>100</v>
      </c>
      <c r="G259" s="13">
        <f>VLOOKUP(B259,$L$2:$N$122,3,FALSE)</f>
        <v>13617.794134058777</v>
      </c>
      <c r="T259" s="18"/>
      <c r="U259" s="18" t="s">
        <v>191</v>
      </c>
      <c r="V259" s="19" t="s">
        <v>299</v>
      </c>
      <c r="W259" s="20" t="s">
        <v>300</v>
      </c>
      <c r="X259" s="20"/>
      <c r="Y259" s="21">
        <v>8508.5892526832195</v>
      </c>
      <c r="Z259" s="21">
        <v>97.559216661191755</v>
      </c>
      <c r="AD259" s="76"/>
      <c r="AE259" s="69" t="str">
        <f>W259</f>
        <v>Cemento, cal y yeso</v>
      </c>
      <c r="AF259" s="29">
        <f>Z259*AF$258/100</f>
        <v>4.2296285646061131E-2</v>
      </c>
      <c r="AG259" s="102">
        <f>VLOOKUP(V259,Sheet1!$C$4:$F$131,4,FALSE)</f>
        <v>97.589353139461394</v>
      </c>
      <c r="AH259" s="103">
        <f>AG259*AH258/100</f>
        <v>4.136792930672515E-2</v>
      </c>
      <c r="AI259" s="100">
        <f>AH259/AF259-1</f>
        <v>-2.1948885703689136E-2</v>
      </c>
    </row>
    <row r="260" spans="1:40">
      <c r="A260" s="44"/>
      <c r="B260" s="44"/>
      <c r="C260" s="45"/>
      <c r="D260" s="46"/>
      <c r="E260" s="47"/>
      <c r="F260" s="47"/>
      <c r="G260" s="48"/>
      <c r="T260" s="30"/>
      <c r="U260" s="30"/>
      <c r="V260" s="31"/>
      <c r="W260" s="32"/>
      <c r="X260" s="32"/>
      <c r="Y260" s="33"/>
      <c r="Z260" s="33"/>
      <c r="AD260" s="104" t="s">
        <v>591</v>
      </c>
      <c r="AE260" s="105" t="s">
        <v>592</v>
      </c>
      <c r="AF260" s="106">
        <f>AF259/AF259*AF258</f>
        <v>4.3354474434690947E-2</v>
      </c>
      <c r="AG260" s="105"/>
      <c r="AH260" s="106">
        <f>AH259/AH259*AH258</f>
        <v>4.2389797632542706E-2</v>
      </c>
    </row>
    <row r="261" spans="1:40">
      <c r="A261" s="18"/>
      <c r="B261" s="18" t="s">
        <v>195</v>
      </c>
      <c r="C261" s="19" t="s">
        <v>302</v>
      </c>
      <c r="D261" s="20" t="s">
        <v>303</v>
      </c>
      <c r="E261" s="21">
        <v>4218.6239551722847</v>
      </c>
      <c r="F261" s="21">
        <v>98.509294869215992</v>
      </c>
      <c r="T261" s="9" t="s">
        <v>19</v>
      </c>
      <c r="U261" s="9" t="s">
        <v>195</v>
      </c>
      <c r="V261" s="10" t="s">
        <v>196</v>
      </c>
      <c r="W261" s="11"/>
      <c r="X261" s="11">
        <f>VLOOKUP(U261,'[1]% SECCION_ECONOMIA 2022'!$C$81:$I$209,7,FALSE)</f>
        <v>954.18889804385481</v>
      </c>
      <c r="Y261" s="12">
        <v>3852.4829076107053</v>
      </c>
      <c r="Z261" s="12">
        <v>100</v>
      </c>
      <c r="AA261" s="22">
        <f>X261/$X$2</f>
        <v>9.1441509550053181E-3</v>
      </c>
      <c r="AB261" t="s">
        <v>304</v>
      </c>
      <c r="AC261" t="str">
        <f>LEFT(AB261,4)</f>
        <v>2395</v>
      </c>
      <c r="AD261" s="75" t="s">
        <v>296</v>
      </c>
      <c r="AE261" s="22" t="str">
        <f>V261</f>
        <v>Fabricación de artículos de hormigón, cemento y yeso</v>
      </c>
      <c r="AF261" s="22">
        <f>AN261</f>
        <v>9.2117915645770383E-3</v>
      </c>
      <c r="AG261" s="22">
        <f>VLOOKUP(U261,Sheet1!$B$3:$I$129,8,FALSE)</f>
        <v>9.1256942722201667E-3</v>
      </c>
      <c r="AH261" s="71">
        <f>AG261</f>
        <v>9.1256942722201667E-3</v>
      </c>
      <c r="AI261" s="100">
        <f>AG261/AF261-1</f>
        <v>-9.346422110542485E-3</v>
      </c>
      <c r="AL261" s="75" t="s">
        <v>296</v>
      </c>
      <c r="AM261" s="22" t="s">
        <v>196</v>
      </c>
      <c r="AN261">
        <v>9.2117915645770383E-3</v>
      </c>
    </row>
    <row r="262" spans="1:40">
      <c r="A262" s="9" t="s">
        <v>19</v>
      </c>
      <c r="B262" s="9" t="s">
        <v>198</v>
      </c>
      <c r="C262" s="10" t="s">
        <v>199</v>
      </c>
      <c r="D262" s="11"/>
      <c r="E262" s="12">
        <v>125.23701883358741</v>
      </c>
      <c r="F262" s="12">
        <v>100</v>
      </c>
      <c r="G262" s="13">
        <f>VLOOKUP(B262,$L$2:$N$122,3,FALSE)</f>
        <v>5187.6165928981327</v>
      </c>
      <c r="T262" s="18"/>
      <c r="U262" s="18" t="s">
        <v>195</v>
      </c>
      <c r="V262" s="19" t="s">
        <v>302</v>
      </c>
      <c r="W262" s="20" t="s">
        <v>303</v>
      </c>
      <c r="X262" s="20"/>
      <c r="Y262" s="21">
        <v>3794.1783592998731</v>
      </c>
      <c r="Z262" s="21">
        <v>98.486572174125683</v>
      </c>
      <c r="AD262" s="76"/>
      <c r="AE262" s="69" t="str">
        <f>W262</f>
        <v>Artículos de hormigón, cemento y yeso</v>
      </c>
      <c r="AF262" s="29">
        <f>Z262*AF$261/100</f>
        <v>9.0723777477771869E-3</v>
      </c>
      <c r="AG262" s="102">
        <f>VLOOKUP(V262,Sheet1!$C$4:$F$131,4,FALSE)</f>
        <v>98.509294869215992</v>
      </c>
      <c r="AH262" s="103">
        <f>AG262*AH261/100</f>
        <v>8.9896570794845195E-3</v>
      </c>
      <c r="AI262" s="100">
        <f>AH262/AF262-1</f>
        <v>-9.117859792923011E-3</v>
      </c>
    </row>
    <row r="263" spans="1:40">
      <c r="A263" s="44"/>
      <c r="B263" s="44"/>
      <c r="C263" s="45"/>
      <c r="D263" s="46"/>
      <c r="E263" s="47"/>
      <c r="F263" s="47"/>
      <c r="G263" s="48"/>
      <c r="T263" s="30"/>
      <c r="U263" s="30"/>
      <c r="V263" s="31"/>
      <c r="W263" s="32"/>
      <c r="X263" s="32"/>
      <c r="Y263" s="33"/>
      <c r="Z263" s="33"/>
      <c r="AD263" s="104" t="s">
        <v>593</v>
      </c>
      <c r="AE263" s="105" t="s">
        <v>595</v>
      </c>
      <c r="AF263" s="106">
        <f>AF262/AF262*AF261</f>
        <v>9.2117915645770383E-3</v>
      </c>
      <c r="AG263" s="105"/>
      <c r="AH263" s="106">
        <f>AH262/AH262*AH261</f>
        <v>9.1256942722201667E-3</v>
      </c>
    </row>
    <row r="264" spans="1:40">
      <c r="A264" s="44"/>
      <c r="B264" s="44"/>
      <c r="C264" s="45"/>
      <c r="D264" s="46"/>
      <c r="E264" s="47"/>
      <c r="F264" s="47"/>
      <c r="G264" s="48"/>
      <c r="T264" s="30"/>
      <c r="U264" s="30"/>
      <c r="V264" s="31"/>
      <c r="W264" s="32"/>
      <c r="X264" s="32"/>
      <c r="Y264" s="33"/>
      <c r="Z264" s="33"/>
      <c r="AD264" s="104" t="s">
        <v>594</v>
      </c>
      <c r="AE264" s="105" t="s">
        <v>596</v>
      </c>
      <c r="AF264" s="105"/>
      <c r="AG264" s="105"/>
    </row>
    <row r="265" spans="1:40">
      <c r="A265" s="18"/>
      <c r="B265" s="18" t="s">
        <v>198</v>
      </c>
      <c r="C265" s="19" t="s">
        <v>305</v>
      </c>
      <c r="D265" s="20" t="s">
        <v>306</v>
      </c>
      <c r="E265" s="21">
        <v>97.136240132733661</v>
      </c>
      <c r="F265" s="21">
        <v>77.561923013998339</v>
      </c>
      <c r="T265" s="9" t="s">
        <v>19</v>
      </c>
      <c r="U265" s="9" t="s">
        <v>198</v>
      </c>
      <c r="V265" s="10" t="s">
        <v>199</v>
      </c>
      <c r="W265" s="11"/>
      <c r="X265" s="11">
        <f>VLOOKUP(U265,'[1]% SECCION_ECONOMIA 2022'!$C$81:$I$209,7,FALSE)</f>
        <v>42.833634985445812</v>
      </c>
      <c r="Y265" s="12">
        <v>106.96510811492782</v>
      </c>
      <c r="Z265" s="12">
        <v>100</v>
      </c>
      <c r="AA265" s="22">
        <f>X265/$X$2</f>
        <v>4.1048185014673261E-4</v>
      </c>
      <c r="AB265" t="s">
        <v>307</v>
      </c>
      <c r="AC265" t="str">
        <f>LEFT(AB265,4)</f>
        <v>2396</v>
      </c>
      <c r="AD265" s="75" t="s">
        <v>307</v>
      </c>
      <c r="AE265" s="22" t="str">
        <f>V265</f>
        <v>Fabricación de otros productos minerales no metálicos</v>
      </c>
      <c r="AF265" s="22">
        <f>AN265</f>
        <v>0</v>
      </c>
      <c r="AG265" s="22">
        <f>VLOOKUP(U265,Sheet1!$B$3:$I$129,8,FALSE)</f>
        <v>4.5065565485347288E-4</v>
      </c>
      <c r="AH265" s="71">
        <f>AG265</f>
        <v>4.5065565485347288E-4</v>
      </c>
      <c r="AI265" s="100" t="e">
        <f>AG265/AF265-1</f>
        <v>#DIV/0!</v>
      </c>
      <c r="AL265" s="75" t="s">
        <v>307</v>
      </c>
      <c r="AM265" s="111" t="s">
        <v>199</v>
      </c>
    </row>
    <row r="266" spans="1:40">
      <c r="A266" s="9" t="s">
        <v>19</v>
      </c>
      <c r="B266" s="9" t="s">
        <v>202</v>
      </c>
      <c r="C266" s="10" t="s">
        <v>203</v>
      </c>
      <c r="D266" s="11"/>
      <c r="E266" s="12">
        <v>12661.685736648515</v>
      </c>
      <c r="F266" s="12">
        <v>100</v>
      </c>
      <c r="G266" s="13">
        <f>VLOOKUP(B266,$L$2:$N$122,3,FALSE)</f>
        <v>6039.7360558036289</v>
      </c>
      <c r="T266" s="18"/>
      <c r="U266" s="18" t="s">
        <v>198</v>
      </c>
      <c r="V266" s="19" t="s">
        <v>305</v>
      </c>
      <c r="W266" s="20" t="s">
        <v>306</v>
      </c>
      <c r="X266" s="20"/>
      <c r="Y266" s="21">
        <v>84.072049702739776</v>
      </c>
      <c r="Z266" s="21">
        <v>78.597639159499778</v>
      </c>
      <c r="AD266" s="76"/>
      <c r="AE266" s="69" t="str">
        <f>W266</f>
        <v xml:space="preserve">Piedras talladas para construcción </v>
      </c>
      <c r="AF266" s="29">
        <f>Z266*AF$265/100</f>
        <v>0</v>
      </c>
      <c r="AG266" s="102">
        <f>VLOOKUP(V266,Sheet1!$C$4:$F$131,4,FALSE)</f>
        <v>77.561923013998339</v>
      </c>
      <c r="AH266" s="103">
        <f>AG266*AH265/100</f>
        <v>3.4953719207568069E-4</v>
      </c>
      <c r="AI266" s="100" t="e">
        <f>AH266/AF266-1</f>
        <v>#DIV/0!</v>
      </c>
    </row>
    <row r="267" spans="1:40">
      <c r="A267" s="44"/>
      <c r="B267" s="44"/>
      <c r="C267" s="45"/>
      <c r="D267" s="46"/>
      <c r="E267" s="47"/>
      <c r="F267" s="47"/>
      <c r="G267" s="48"/>
      <c r="T267" s="30"/>
      <c r="U267" s="30"/>
      <c r="V267" s="31"/>
      <c r="W267" s="32"/>
      <c r="X267" s="32"/>
      <c r="Y267" s="33"/>
      <c r="Z267" s="33"/>
      <c r="AD267" s="79" t="s">
        <v>597</v>
      </c>
      <c r="AE267" s="61" t="s">
        <v>599</v>
      </c>
      <c r="AF267" s="106" t="e">
        <f>AF266/AF266*AF265</f>
        <v>#DIV/0!</v>
      </c>
      <c r="AH267" s="106">
        <f>AH266/AH266*AH265</f>
        <v>4.5065565485347288E-4</v>
      </c>
    </row>
    <row r="268" spans="1:40">
      <c r="A268" s="44"/>
      <c r="B268" s="44"/>
      <c r="C268" s="45"/>
      <c r="D268" s="46"/>
      <c r="E268" s="47"/>
      <c r="F268" s="47"/>
      <c r="G268" s="48"/>
      <c r="T268" s="30"/>
      <c r="U268" s="30"/>
      <c r="V268" s="31"/>
      <c r="W268" s="32"/>
      <c r="X268" s="32"/>
      <c r="Y268" s="33"/>
      <c r="Z268" s="33"/>
      <c r="AD268" s="79" t="s">
        <v>598</v>
      </c>
      <c r="AE268" s="61" t="s">
        <v>600</v>
      </c>
    </row>
    <row r="269" spans="1:40">
      <c r="A269" s="18"/>
      <c r="B269" s="18" t="s">
        <v>202</v>
      </c>
      <c r="C269" s="19" t="s">
        <v>308</v>
      </c>
      <c r="D269" s="20" t="s">
        <v>309</v>
      </c>
      <c r="E269" s="21">
        <v>11775.490933945452</v>
      </c>
      <c r="F269" s="21">
        <v>93.000973005213481</v>
      </c>
      <c r="T269" s="9" t="s">
        <v>19</v>
      </c>
      <c r="U269" s="9" t="s">
        <v>202</v>
      </c>
      <c r="V269" s="10" t="s">
        <v>203</v>
      </c>
      <c r="W269" s="11"/>
      <c r="X269" s="11">
        <f>VLOOKUP(U269,'[1]% SECCION_ECONOMIA 2022'!$C$81:$I$209,7,FALSE)</f>
        <v>5364.9640139019011</v>
      </c>
      <c r="Y269" s="12">
        <v>16180.225770206425</v>
      </c>
      <c r="Z269" s="12">
        <v>100</v>
      </c>
      <c r="AA269" s="22">
        <f>X269/$X$2</f>
        <v>5.1413342695416177E-2</v>
      </c>
      <c r="AB269" t="s">
        <v>310</v>
      </c>
      <c r="AC269" t="str">
        <f>LEFT(AB269,4)</f>
        <v>2410</v>
      </c>
      <c r="AD269" s="75" t="s">
        <v>310</v>
      </c>
      <c r="AE269" s="22" t="str">
        <f>V269</f>
        <v>Fabricación de metales comunes</v>
      </c>
      <c r="AF269" s="22">
        <f>AN269</f>
        <v>5.1480654636354282E-2</v>
      </c>
      <c r="AG269" s="22">
        <f>VLOOKUP(U269,Sheet1!$B$3:$I$129,8,FALSE)</f>
        <v>3.8365221236145795E-2</v>
      </c>
      <c r="AH269" s="71">
        <f>AG269</f>
        <v>3.8365221236145795E-2</v>
      </c>
      <c r="AI269" s="100">
        <f>AG269/AF269-1</f>
        <v>-0.25476430890112878</v>
      </c>
      <c r="AL269" s="75" t="s">
        <v>310</v>
      </c>
      <c r="AM269" s="22" t="s">
        <v>203</v>
      </c>
      <c r="AN269">
        <v>5.1480654636354282E-2</v>
      </c>
    </row>
    <row r="270" spans="1:40">
      <c r="A270" s="9" t="s">
        <v>19</v>
      </c>
      <c r="B270" s="9" t="s">
        <v>205</v>
      </c>
      <c r="C270" s="10" t="s">
        <v>206</v>
      </c>
      <c r="D270" s="11"/>
      <c r="E270" s="12">
        <v>6494.4252550182246</v>
      </c>
      <c r="F270" s="12">
        <v>100</v>
      </c>
      <c r="G270" s="13">
        <f>VLOOKUP(B270,$L$2:$N$122,3,FALSE)</f>
        <v>1971.0781078954508</v>
      </c>
      <c r="T270" s="18"/>
      <c r="U270" s="18" t="s">
        <v>202</v>
      </c>
      <c r="V270" s="19" t="s">
        <v>308</v>
      </c>
      <c r="W270" s="20" t="s">
        <v>309</v>
      </c>
      <c r="X270" s="25"/>
      <c r="Y270" s="21">
        <v>15336.787155729302</v>
      </c>
      <c r="Z270" s="21">
        <v>94.787225923446655</v>
      </c>
      <c r="AD270" s="76"/>
      <c r="AE270" s="69" t="str">
        <f>W270</f>
        <v>Métales básicos de hierro y acero</v>
      </c>
      <c r="AF270" s="29">
        <f>Z270*AF$269/100</f>
        <v>4.8797084417030449E-2</v>
      </c>
      <c r="AG270" s="102">
        <f>VLOOKUP(V270,Sheet1!$C$4:$F$131,4,FALSE)</f>
        <v>93.000973005213481</v>
      </c>
      <c r="AH270" s="103">
        <f>AG270*AH269/100</f>
        <v>3.568002904521838E-2</v>
      </c>
      <c r="AI270" s="100">
        <f>AH270/AF270-1</f>
        <v>-0.26880817836801219</v>
      </c>
    </row>
    <row r="271" spans="1:40">
      <c r="A271" s="49"/>
      <c r="B271" s="49"/>
      <c r="C271" s="50"/>
      <c r="D271" s="51"/>
      <c r="E271" s="52"/>
      <c r="F271" s="52"/>
      <c r="G271" s="48"/>
      <c r="T271" s="30"/>
      <c r="U271" s="30"/>
      <c r="V271" s="31"/>
      <c r="W271" s="32"/>
      <c r="X271" s="62"/>
      <c r="Y271" s="33"/>
      <c r="Z271" s="33"/>
      <c r="AD271" s="104" t="s">
        <v>601</v>
      </c>
      <c r="AE271" s="105" t="s">
        <v>608</v>
      </c>
      <c r="AF271" s="106">
        <f>AF270/AF270*AF269</f>
        <v>5.1480654636354282E-2</v>
      </c>
      <c r="AG271" s="105"/>
      <c r="AH271" s="106">
        <f>AH270/AH270*AH269</f>
        <v>3.8365221236145795E-2</v>
      </c>
    </row>
    <row r="272" spans="1:40">
      <c r="A272" s="49"/>
      <c r="B272" s="49"/>
      <c r="C272" s="50"/>
      <c r="D272" s="51"/>
      <c r="E272" s="52"/>
      <c r="F272" s="52"/>
      <c r="G272" s="48"/>
      <c r="T272" s="30"/>
      <c r="U272" s="30"/>
      <c r="V272" s="31"/>
      <c r="W272" s="32"/>
      <c r="X272" s="62"/>
      <c r="Y272" s="33"/>
      <c r="Z272" s="33"/>
      <c r="AD272" s="104" t="s">
        <v>602</v>
      </c>
      <c r="AE272" s="105" t="s">
        <v>609</v>
      </c>
      <c r="AF272" s="105"/>
      <c r="AG272" s="105"/>
    </row>
    <row r="273" spans="1:41">
      <c r="A273" s="49"/>
      <c r="B273" s="49"/>
      <c r="C273" s="50"/>
      <c r="D273" s="51"/>
      <c r="E273" s="52"/>
      <c r="F273" s="52"/>
      <c r="G273" s="48"/>
      <c r="T273" s="30"/>
      <c r="U273" s="30"/>
      <c r="V273" s="31"/>
      <c r="W273" s="32"/>
      <c r="X273" s="62"/>
      <c r="Y273" s="33"/>
      <c r="Z273" s="33"/>
      <c r="AD273" s="104" t="s">
        <v>603</v>
      </c>
      <c r="AE273" s="105" t="s">
        <v>610</v>
      </c>
      <c r="AF273" s="105"/>
      <c r="AG273" s="105"/>
    </row>
    <row r="274" spans="1:41">
      <c r="A274" s="49"/>
      <c r="B274" s="49"/>
      <c r="C274" s="50"/>
      <c r="D274" s="51"/>
      <c r="E274" s="52"/>
      <c r="F274" s="52"/>
      <c r="G274" s="48"/>
      <c r="T274" s="30"/>
      <c r="U274" s="30"/>
      <c r="V274" s="31"/>
      <c r="W274" s="32"/>
      <c r="X274" s="62"/>
      <c r="Y274" s="33"/>
      <c r="Z274" s="33"/>
      <c r="AD274" s="104" t="s">
        <v>604</v>
      </c>
      <c r="AE274" s="105" t="s">
        <v>611</v>
      </c>
      <c r="AF274" s="105"/>
      <c r="AG274" s="105"/>
    </row>
    <row r="275" spans="1:41">
      <c r="A275" s="49"/>
      <c r="B275" s="49"/>
      <c r="C275" s="50"/>
      <c r="D275" s="51"/>
      <c r="E275" s="52"/>
      <c r="F275" s="52"/>
      <c r="G275" s="48"/>
      <c r="T275" s="30"/>
      <c r="U275" s="30"/>
      <c r="V275" s="31"/>
      <c r="W275" s="32"/>
      <c r="X275" s="62"/>
      <c r="Y275" s="33"/>
      <c r="Z275" s="33"/>
      <c r="AD275" s="104" t="s">
        <v>605</v>
      </c>
      <c r="AE275" s="105" t="s">
        <v>612</v>
      </c>
      <c r="AF275" s="105"/>
      <c r="AG275" s="105"/>
    </row>
    <row r="276" spans="1:41">
      <c r="A276" s="49"/>
      <c r="B276" s="49"/>
      <c r="C276" s="50"/>
      <c r="D276" s="51"/>
      <c r="E276" s="52"/>
      <c r="F276" s="52"/>
      <c r="G276" s="48"/>
      <c r="T276" s="30"/>
      <c r="U276" s="30"/>
      <c r="V276" s="31"/>
      <c r="W276" s="32"/>
      <c r="X276" s="62"/>
      <c r="Y276" s="33"/>
      <c r="Z276" s="33"/>
      <c r="AD276" s="104" t="s">
        <v>606</v>
      </c>
      <c r="AE276" s="105" t="s">
        <v>613</v>
      </c>
      <c r="AF276" s="105"/>
      <c r="AG276" s="105"/>
    </row>
    <row r="277" spans="1:41">
      <c r="A277" s="49"/>
      <c r="B277" s="49"/>
      <c r="C277" s="50"/>
      <c r="D277" s="51"/>
      <c r="E277" s="52"/>
      <c r="F277" s="52"/>
      <c r="G277" s="48"/>
      <c r="T277" s="30"/>
      <c r="U277" s="30"/>
      <c r="V277" s="31"/>
      <c r="W277" s="32"/>
      <c r="X277" s="62"/>
      <c r="Y277" s="33"/>
      <c r="Z277" s="33"/>
      <c r="AD277" s="104" t="s">
        <v>607</v>
      </c>
      <c r="AE277" s="105" t="s">
        <v>614</v>
      </c>
      <c r="AF277" s="105"/>
      <c r="AG277" s="105"/>
    </row>
    <row r="278" spans="1:41">
      <c r="A278" s="23"/>
      <c r="B278" s="23" t="s">
        <v>205</v>
      </c>
      <c r="C278" s="24" t="s">
        <v>311</v>
      </c>
      <c r="D278" s="25" t="s">
        <v>312</v>
      </c>
      <c r="E278" s="26">
        <v>3840.7953631148966</v>
      </c>
      <c r="F278" s="26">
        <v>59.139880933222301</v>
      </c>
      <c r="T278" s="9" t="s">
        <v>19</v>
      </c>
      <c r="U278" s="9" t="s">
        <v>205</v>
      </c>
      <c r="V278" s="10" t="s">
        <v>206</v>
      </c>
      <c r="W278" s="11"/>
      <c r="X278" s="11">
        <f>VLOOKUP(U278,'[1]% SECCION_ECONOMIA 2022'!$C$81:$I$209,7,FALSE)</f>
        <v>1477.7477806931174</v>
      </c>
      <c r="Y278" s="12">
        <v>6438.1343358258109</v>
      </c>
      <c r="Z278" s="12">
        <v>100</v>
      </c>
      <c r="AA278" s="22">
        <f>X278/$X$2</f>
        <v>1.4161502830083135E-2</v>
      </c>
      <c r="AB278" t="s">
        <v>313</v>
      </c>
      <c r="AC278" t="str">
        <f>LEFT(AB278,4)</f>
        <v>2511</v>
      </c>
      <c r="AD278" s="75" t="s">
        <v>313</v>
      </c>
      <c r="AE278" s="22" t="str">
        <f>V278</f>
        <v>Fabricación de productos elaborados de metal, excepto maquinaria y equipo</v>
      </c>
      <c r="AF278" s="22">
        <f>AN278</f>
        <v>1.4180043508282966E-2</v>
      </c>
      <c r="AG278" s="22">
        <f>VLOOKUP(U278,Sheet1!$B$3:$I$129,8,FALSE)</f>
        <v>1.7730939539156155E-2</v>
      </c>
      <c r="AH278" s="71">
        <f>AG278</f>
        <v>1.7730939539156155E-2</v>
      </c>
      <c r="AI278" s="100">
        <f>AG278/AF278-1</f>
        <v>0.25041503072956095</v>
      </c>
      <c r="AL278" s="75" t="s">
        <v>313</v>
      </c>
      <c r="AM278" s="22" t="s">
        <v>206</v>
      </c>
      <c r="AN278">
        <v>1.4180043508282966E-2</v>
      </c>
      <c r="AO278">
        <v>2599</v>
      </c>
    </row>
    <row r="279" spans="1:41">
      <c r="A279" s="18"/>
      <c r="B279" s="18" t="s">
        <v>205</v>
      </c>
      <c r="C279" s="19" t="s">
        <v>314</v>
      </c>
      <c r="D279" s="20" t="s">
        <v>315</v>
      </c>
      <c r="E279" s="21">
        <v>2390.1379427311622</v>
      </c>
      <c r="F279" s="21">
        <v>36.802917100082247</v>
      </c>
      <c r="T279" s="23"/>
      <c r="U279" s="23" t="s">
        <v>205</v>
      </c>
      <c r="V279" s="24" t="s">
        <v>311</v>
      </c>
      <c r="W279" s="25" t="s">
        <v>312</v>
      </c>
      <c r="X279" s="25"/>
      <c r="Y279" s="26">
        <v>4008.4519942159791</v>
      </c>
      <c r="Z279" s="26">
        <v>62.261080386447397</v>
      </c>
      <c r="AD279" s="76"/>
      <c r="AE279" s="69" t="str">
        <f>W279</f>
        <v>Otros productos elaborados de metal</v>
      </c>
      <c r="AF279" s="29">
        <f>Z279*AF$278/100</f>
        <v>8.8286482875252724E-3</v>
      </c>
      <c r="AG279" s="102">
        <f>VLOOKUP(V279,Sheet1!$C$4:$F$131,4,FALSE)</f>
        <v>59.139880933222301</v>
      </c>
      <c r="AH279" s="103">
        <f>AG279*AH$278/100</f>
        <v>1.0486056531798585E-2</v>
      </c>
      <c r="AI279" s="100">
        <f>AH279/AF279-1</f>
        <v>0.18773069107478224</v>
      </c>
    </row>
    <row r="280" spans="1:41">
      <c r="A280" s="30"/>
      <c r="B280" s="30"/>
      <c r="C280" s="31"/>
      <c r="D280" s="32"/>
      <c r="E280" s="33"/>
      <c r="F280" s="33"/>
      <c r="T280" s="18"/>
      <c r="U280" s="18"/>
      <c r="V280" s="19"/>
      <c r="W280" s="20"/>
      <c r="X280" s="20"/>
      <c r="Y280" s="21"/>
      <c r="Z280" s="21"/>
      <c r="AD280" s="104" t="s">
        <v>615</v>
      </c>
      <c r="AE280" s="105" t="s">
        <v>620</v>
      </c>
      <c r="AF280" s="106">
        <f>AF279/(AF$279+AF$285)*AF$278</f>
        <v>9.2114830797715552E-3</v>
      </c>
      <c r="AG280" s="105"/>
      <c r="AH280" s="106">
        <f>AH279/(AH$279+AH$285)*AH$278</f>
        <v>1.0929487931088448E-2</v>
      </c>
    </row>
    <row r="281" spans="1:41">
      <c r="A281" s="30"/>
      <c r="B281" s="30"/>
      <c r="C281" s="31"/>
      <c r="D281" s="32"/>
      <c r="E281" s="33"/>
      <c r="F281" s="33"/>
      <c r="T281" s="18"/>
      <c r="U281" s="18"/>
      <c r="V281" s="19"/>
      <c r="W281" s="20"/>
      <c r="X281" s="20"/>
      <c r="Y281" s="21"/>
      <c r="Z281" s="21"/>
      <c r="AD281" s="104" t="s">
        <v>616</v>
      </c>
      <c r="AE281" s="105" t="s">
        <v>621</v>
      </c>
      <c r="AF281" s="106"/>
      <c r="AG281" s="105"/>
    </row>
    <row r="282" spans="1:41">
      <c r="A282" s="30"/>
      <c r="B282" s="30"/>
      <c r="C282" s="31"/>
      <c r="D282" s="32"/>
      <c r="E282" s="33"/>
      <c r="F282" s="33"/>
      <c r="T282" s="18"/>
      <c r="U282" s="18"/>
      <c r="V282" s="19"/>
      <c r="W282" s="20"/>
      <c r="X282" s="20"/>
      <c r="Y282" s="21"/>
      <c r="Z282" s="21"/>
      <c r="AD282" s="104" t="s">
        <v>617</v>
      </c>
      <c r="AE282" s="105" t="s">
        <v>622</v>
      </c>
      <c r="AF282" s="106"/>
      <c r="AG282" s="105"/>
    </row>
    <row r="283" spans="1:41">
      <c r="A283" s="30"/>
      <c r="B283" s="30"/>
      <c r="C283" s="31"/>
      <c r="D283" s="32"/>
      <c r="E283" s="33"/>
      <c r="F283" s="33"/>
      <c r="T283" s="18"/>
      <c r="U283" s="18"/>
      <c r="V283" s="19"/>
      <c r="W283" s="20"/>
      <c r="X283" s="20"/>
      <c r="Y283" s="21"/>
      <c r="Z283" s="21"/>
      <c r="AD283" s="104" t="s">
        <v>618</v>
      </c>
      <c r="AE283" s="105" t="s">
        <v>623</v>
      </c>
      <c r="AF283" s="106"/>
      <c r="AG283" s="105"/>
    </row>
    <row r="284" spans="1:41">
      <c r="A284" s="30"/>
      <c r="B284" s="30"/>
      <c r="C284" s="31"/>
      <c r="D284" s="32"/>
      <c r="E284" s="33"/>
      <c r="F284" s="33"/>
      <c r="T284" s="18"/>
      <c r="U284" s="18"/>
      <c r="V284" s="19"/>
      <c r="W284" s="20"/>
      <c r="X284" s="20"/>
      <c r="Y284" s="21"/>
      <c r="Z284" s="21"/>
      <c r="AD284" s="104" t="s">
        <v>619</v>
      </c>
      <c r="AE284" s="105" t="s">
        <v>624</v>
      </c>
      <c r="AF284" s="106"/>
      <c r="AG284" s="105"/>
    </row>
    <row r="285" spans="1:41">
      <c r="A285" s="9" t="s">
        <v>19</v>
      </c>
      <c r="B285" s="9" t="s">
        <v>209</v>
      </c>
      <c r="C285" s="10" t="s">
        <v>210</v>
      </c>
      <c r="D285" s="11"/>
      <c r="E285" s="12">
        <v>10050.518095335394</v>
      </c>
      <c r="F285" s="12">
        <v>100</v>
      </c>
      <c r="G285" s="13">
        <f>VLOOKUP(B285,$L$2:$N$122,3,FALSE)</f>
        <v>3171.0527222929395</v>
      </c>
      <c r="T285" s="18"/>
      <c r="U285" s="18" t="s">
        <v>205</v>
      </c>
      <c r="V285" s="19" t="s">
        <v>314</v>
      </c>
      <c r="W285" s="20" t="s">
        <v>315</v>
      </c>
      <c r="X285" s="20"/>
      <c r="Y285" s="21">
        <v>2162.1095957702273</v>
      </c>
      <c r="Z285" s="21">
        <v>33.582859303492562</v>
      </c>
      <c r="AD285" s="76"/>
      <c r="AE285" s="69" t="str">
        <f>W285</f>
        <v>Productos metálicos estructurales y sus partes de hierro o de acero</v>
      </c>
      <c r="AF285" s="29">
        <f>Z285*AF$278/100</f>
        <v>4.7620640605606987E-3</v>
      </c>
      <c r="AG285" s="102">
        <f>VLOOKUP(V285,Sheet1!$C$4:$F$131,4,FALSE)</f>
        <v>36.802917100082247</v>
      </c>
      <c r="AH285" s="103">
        <f>AG285*AH$278/100</f>
        <v>6.525502979661345E-3</v>
      </c>
      <c r="AI285" s="100">
        <f>AH285/AF285-1</f>
        <v>0.37030978514241442</v>
      </c>
    </row>
    <row r="286" spans="1:41">
      <c r="A286" s="49"/>
      <c r="B286" s="49"/>
      <c r="C286" s="50"/>
      <c r="D286" s="51"/>
      <c r="E286" s="52"/>
      <c r="F286" s="52"/>
      <c r="G286" s="48"/>
      <c r="T286" s="30"/>
      <c r="U286" s="30"/>
      <c r="V286" s="31"/>
      <c r="W286" s="32"/>
      <c r="X286" s="32"/>
      <c r="Y286" s="33"/>
      <c r="Z286" s="33"/>
      <c r="AD286" s="104" t="s">
        <v>625</v>
      </c>
      <c r="AE286" s="105" t="s">
        <v>626</v>
      </c>
      <c r="AF286" s="106">
        <f>AF285/(AF$279+AF$285)*AF$278</f>
        <v>4.9685604285114116E-3</v>
      </c>
      <c r="AG286" s="105"/>
      <c r="AH286" s="106">
        <f>AH285/($AH$279+$AH$285)*$AH$278</f>
        <v>6.8014516080677082E-3</v>
      </c>
    </row>
    <row r="287" spans="1:41">
      <c r="A287" s="23"/>
      <c r="B287" s="23" t="s">
        <v>209</v>
      </c>
      <c r="C287" s="24" t="s">
        <v>316</v>
      </c>
      <c r="D287" s="25" t="s">
        <v>317</v>
      </c>
      <c r="E287" s="26">
        <v>5514.8346518397257</v>
      </c>
      <c r="F287" s="26">
        <v>54.871147930167382</v>
      </c>
      <c r="T287" s="9" t="s">
        <v>19</v>
      </c>
      <c r="U287" s="9" t="s">
        <v>209</v>
      </c>
      <c r="V287" s="10" t="s">
        <v>210</v>
      </c>
      <c r="W287" s="11"/>
      <c r="X287" s="11">
        <f>VLOOKUP(U287,'[1]% SECCION_ECONOMIA 2022'!$C$81:$I$209,7,FALSE)</f>
        <v>2897.0784764291157</v>
      </c>
      <c r="Y287" s="12">
        <v>9182.8126362122694</v>
      </c>
      <c r="Z287" s="12">
        <v>100</v>
      </c>
      <c r="AA287" s="22">
        <f>X287/$X$2</f>
        <v>2.7763185016377229E-2</v>
      </c>
      <c r="AB287" t="s">
        <v>318</v>
      </c>
      <c r="AC287" t="str">
        <f>LEFT(AB287,7)</f>
        <v>261-309</v>
      </c>
      <c r="AD287" s="75" t="s">
        <v>318</v>
      </c>
      <c r="AE287" s="22" t="str">
        <f>V287</f>
        <v>Fabricación, reparación e instalación de maquinaria y equipo industrial, n.c.p.</v>
      </c>
      <c r="AF287" s="22">
        <f>AN287</f>
        <v>2.7799533438247932E-2</v>
      </c>
      <c r="AG287" s="22">
        <f>VLOOKUP(U287,Sheet1!$B$3:$I$129,8,FALSE)</f>
        <v>3.0352161737936669E-2</v>
      </c>
      <c r="AH287" s="71">
        <f>AG287</f>
        <v>3.0352161737936669E-2</v>
      </c>
      <c r="AI287" s="100">
        <f>AG287/AF287-1</f>
        <v>9.1822702901074971E-2</v>
      </c>
      <c r="AL287" s="75" t="s">
        <v>318</v>
      </c>
      <c r="AM287" s="22" t="s">
        <v>210</v>
      </c>
      <c r="AN287">
        <v>2.7799533438247932E-2</v>
      </c>
    </row>
    <row r="288" spans="1:41">
      <c r="A288" s="23"/>
      <c r="B288" s="23" t="s">
        <v>209</v>
      </c>
      <c r="C288" s="24" t="s">
        <v>319</v>
      </c>
      <c r="D288" s="25" t="s">
        <v>320</v>
      </c>
      <c r="E288" s="26">
        <v>1844.6195215133537</v>
      </c>
      <c r="F288" s="26">
        <v>18.353476945327536</v>
      </c>
      <c r="T288" s="23"/>
      <c r="U288" s="23" t="s">
        <v>209</v>
      </c>
      <c r="V288" s="24" t="s">
        <v>316</v>
      </c>
      <c r="W288" s="25" t="s">
        <v>317</v>
      </c>
      <c r="X288" s="25"/>
      <c r="Y288" s="26">
        <v>5165.8367065969996</v>
      </c>
      <c r="Z288" s="26">
        <v>56.255495034556283</v>
      </c>
      <c r="AD288" s="76"/>
      <c r="AE288" s="69" t="str">
        <f>W288</f>
        <v>Servicio de mantenimiento, reparación e instalación de productos metálicos elaborados, maquinaria y equipo</v>
      </c>
      <c r="AF288" s="29">
        <f>$Z288*AF$287/100</f>
        <v>1.5638765152983378E-2</v>
      </c>
      <c r="AG288" s="102">
        <f>VLOOKUP(V288,Sheet1!$C$4:$F$131,4,FALSE)</f>
        <v>54.871147930167382</v>
      </c>
      <c r="AH288" s="103">
        <f>AG288*AH$287/100</f>
        <v>1.6654579567226893E-2</v>
      </c>
      <c r="AI288" s="100">
        <f>AH288/AF288-1</f>
        <v>6.4954899207609662E-2</v>
      </c>
    </row>
    <row r="289" spans="1:40">
      <c r="A289" s="23"/>
      <c r="B289" s="23"/>
      <c r="C289" s="24"/>
      <c r="D289" s="25"/>
      <c r="E289" s="26"/>
      <c r="F289" s="26"/>
      <c r="T289" s="23"/>
      <c r="U289" s="23"/>
      <c r="V289" s="24"/>
      <c r="W289" s="25"/>
      <c r="X289" s="25"/>
      <c r="Y289" s="26"/>
      <c r="Z289" s="26"/>
      <c r="AD289" s="107" t="s">
        <v>627</v>
      </c>
      <c r="AE289" s="108" t="s">
        <v>628</v>
      </c>
      <c r="AF289" s="106">
        <f>AF288/(AF$288+AF$290+AF$292+AF$295)*AF$287</f>
        <v>1.6419111117002692E-2</v>
      </c>
      <c r="AG289" s="105"/>
      <c r="AH289" s="106">
        <f>AH288/(AH$288+AH$290+AH$292+AH$295)*AH$287</f>
        <v>1.7802881325165023E-2</v>
      </c>
    </row>
    <row r="290" spans="1:40">
      <c r="A290" s="23"/>
      <c r="B290" s="23" t="s">
        <v>209</v>
      </c>
      <c r="C290" s="24" t="s">
        <v>321</v>
      </c>
      <c r="D290" s="25" t="s">
        <v>322</v>
      </c>
      <c r="E290" s="26">
        <v>1163.4353362423929</v>
      </c>
      <c r="F290" s="26">
        <v>11.575874250526068</v>
      </c>
      <c r="T290" s="23"/>
      <c r="U290" s="23" t="s">
        <v>209</v>
      </c>
      <c r="V290" s="24" t="s">
        <v>319</v>
      </c>
      <c r="W290" s="25" t="s">
        <v>320</v>
      </c>
      <c r="X290" s="25"/>
      <c r="Y290" s="26">
        <v>1729.0049478832491</v>
      </c>
      <c r="Z290" s="26">
        <v>18.828707677917187</v>
      </c>
      <c r="AD290" s="76"/>
      <c r="AE290" s="69" t="str">
        <f>W290</f>
        <v>Maquinaria para usos generales, sus partes y piezas</v>
      </c>
      <c r="AF290" s="29">
        <f>$Z290*AF$287/100</f>
        <v>5.234292886912544E-3</v>
      </c>
      <c r="AG290" s="102">
        <f>VLOOKUP(V290,Sheet1!$C$4:$F$131,4,FALSE)</f>
        <v>18.353476945327536</v>
      </c>
      <c r="AH290" s="103">
        <f>AG290*AH$287/100</f>
        <v>5.5706770069807324E-3</v>
      </c>
      <c r="AI290" s="100">
        <f>AH290/AF290-1</f>
        <v>6.4265437058224073E-2</v>
      </c>
    </row>
    <row r="291" spans="1:40">
      <c r="A291" s="23"/>
      <c r="B291" s="23"/>
      <c r="C291" s="24"/>
      <c r="D291" s="25"/>
      <c r="E291" s="26"/>
      <c r="F291" s="26"/>
      <c r="T291" s="23"/>
      <c r="U291" s="23"/>
      <c r="V291" s="24"/>
      <c r="W291" s="25"/>
      <c r="X291" s="25"/>
      <c r="Y291" s="26"/>
      <c r="Z291" s="26"/>
      <c r="AD291" s="104" t="s">
        <v>629</v>
      </c>
      <c r="AE291" s="105" t="s">
        <v>630</v>
      </c>
      <c r="AF291" s="106">
        <f>AF290/(AF$288+AF$290+AF$292+AF$295)*AF$287</f>
        <v>5.495474590764526E-3</v>
      </c>
      <c r="AG291" s="105"/>
      <c r="AH291" s="106">
        <f>AH290/($AH$288+$AH$290+$AH$292+$AH$295)*$AH$287</f>
        <v>5.9547646493136111E-3</v>
      </c>
    </row>
    <row r="292" spans="1:40">
      <c r="A292" s="23"/>
      <c r="B292" s="23" t="s">
        <v>209</v>
      </c>
      <c r="C292" s="24" t="s">
        <v>323</v>
      </c>
      <c r="D292" s="25" t="s">
        <v>324</v>
      </c>
      <c r="E292" s="26">
        <v>879.36118529677117</v>
      </c>
      <c r="F292" s="26">
        <v>8.7494114925766553</v>
      </c>
      <c r="T292" s="23"/>
      <c r="U292" s="23" t="s">
        <v>209</v>
      </c>
      <c r="V292" s="24" t="s">
        <v>321</v>
      </c>
      <c r="W292" s="25" t="s">
        <v>322</v>
      </c>
      <c r="X292" s="25"/>
      <c r="Y292" s="26">
        <v>1009.6467405574847</v>
      </c>
      <c r="Z292" s="26">
        <v>10.994961789549745</v>
      </c>
      <c r="AD292" s="76"/>
      <c r="AE292" s="69" t="str">
        <f>W292</f>
        <v>Equipo de transporte</v>
      </c>
      <c r="AF292" s="29">
        <f>$Z292*AF$287/100</f>
        <v>3.0565480792084641E-3</v>
      </c>
      <c r="AG292" s="102">
        <f>VLOOKUP(V292,Sheet1!$C$4:$F$131,4,FALSE)</f>
        <v>11.575874250526068</v>
      </c>
      <c r="AH292" s="103">
        <f>AG292*AH$287/100</f>
        <v>3.5135280750998366E-3</v>
      </c>
      <c r="AI292" s="100">
        <f>AH292/AF292-1</f>
        <v>0.14950852531975012</v>
      </c>
    </row>
    <row r="293" spans="1:40">
      <c r="A293" s="63"/>
      <c r="B293" s="63"/>
      <c r="C293" s="64"/>
      <c r="D293" s="62"/>
      <c r="E293" s="65"/>
      <c r="F293" s="65"/>
      <c r="T293" s="23"/>
      <c r="U293" s="23"/>
      <c r="V293" s="24"/>
      <c r="W293" s="25"/>
      <c r="X293" s="25"/>
      <c r="Y293" s="26"/>
      <c r="Z293" s="26"/>
      <c r="AD293" s="104" t="s">
        <v>631</v>
      </c>
      <c r="AE293" s="105" t="s">
        <v>633</v>
      </c>
      <c r="AF293" s="106">
        <f>AF292/(AF$288+AF$290+AF$292+AF$295)*AF$287</f>
        <v>3.209064274324182E-3</v>
      </c>
      <c r="AG293" s="105"/>
      <c r="AH293" s="106">
        <f>AH292/($AH$288+$AH$290+$AH$292+$AH$295)*$AH$287</f>
        <v>3.7557791898107386E-3</v>
      </c>
    </row>
    <row r="294" spans="1:40">
      <c r="A294" s="63"/>
      <c r="B294" s="63"/>
      <c r="C294" s="64"/>
      <c r="D294" s="62"/>
      <c r="E294" s="65"/>
      <c r="F294" s="65"/>
      <c r="T294" s="23"/>
      <c r="U294" s="23"/>
      <c r="V294" s="24"/>
      <c r="W294" s="25"/>
      <c r="X294" s="25"/>
      <c r="Y294" s="26"/>
      <c r="Z294" s="26"/>
      <c r="AD294" s="104" t="s">
        <v>632</v>
      </c>
      <c r="AE294" s="105" t="s">
        <v>634</v>
      </c>
      <c r="AF294" s="106"/>
      <c r="AG294" s="105"/>
    </row>
    <row r="295" spans="1:40">
      <c r="A295" s="9" t="s">
        <v>19</v>
      </c>
      <c r="B295" s="9" t="s">
        <v>212</v>
      </c>
      <c r="C295" s="10" t="s">
        <v>213</v>
      </c>
      <c r="D295" s="11"/>
      <c r="E295" s="12">
        <v>9740.804284584161</v>
      </c>
      <c r="F295" s="12">
        <v>100</v>
      </c>
      <c r="G295" s="13">
        <f>VLOOKUP(B295,$L$2:$N$122,3,FALSE)</f>
        <v>814.73954029918548</v>
      </c>
      <c r="T295" s="23"/>
      <c r="U295" s="23" t="s">
        <v>209</v>
      </c>
      <c r="V295" s="24" t="s">
        <v>323</v>
      </c>
      <c r="W295" s="25" t="s">
        <v>324</v>
      </c>
      <c r="X295" s="25"/>
      <c r="Y295" s="26">
        <v>841.89557412000022</v>
      </c>
      <c r="Z295" s="26">
        <v>9.1681667422898183</v>
      </c>
      <c r="AD295" s="76"/>
      <c r="AE295" s="69" t="str">
        <f>W295</f>
        <v>Maquinaria para usos especiales, partes y piezas; excepto electrodomesticos</v>
      </c>
      <c r="AF295" s="29">
        <f>$Z295*AF$287/100</f>
        <v>2.548707579197184E-3</v>
      </c>
      <c r="AG295" s="102">
        <f>VLOOKUP(V295,Sheet1!$C$4:$F$131,4,FALSE)</f>
        <v>8.7494114925766553</v>
      </c>
      <c r="AH295" s="103">
        <f>AG295*AH$287/100</f>
        <v>2.6556355273444853E-3</v>
      </c>
      <c r="AI295" s="100">
        <f>AH295/AF295-1</f>
        <v>4.1953792196507189E-2</v>
      </c>
    </row>
    <row r="296" spans="1:40">
      <c r="A296" s="44"/>
      <c r="B296" s="44"/>
      <c r="C296" s="45"/>
      <c r="D296" s="46"/>
      <c r="E296" s="47"/>
      <c r="F296" s="47"/>
      <c r="G296" s="48"/>
      <c r="T296" s="63"/>
      <c r="U296" s="63"/>
      <c r="V296" s="64"/>
      <c r="W296" s="62"/>
      <c r="X296" s="62"/>
      <c r="Y296" s="65"/>
      <c r="Z296" s="65"/>
      <c r="AD296" s="104" t="s">
        <v>635</v>
      </c>
      <c r="AE296" s="105" t="s">
        <v>636</v>
      </c>
      <c r="AF296" s="106">
        <f>AF295/(AF$288+AF$290+AF$292+AF$295)*AF$287</f>
        <v>2.6758834561565322E-3</v>
      </c>
      <c r="AG296" s="105"/>
      <c r="AH296" s="106">
        <f>AH295/($AH$288+$AH$290+$AH$292+$AH$295)*$AH$287</f>
        <v>2.8387365736472947E-3</v>
      </c>
    </row>
    <row r="297" spans="1:40">
      <c r="A297" s="18"/>
      <c r="B297" s="18" t="s">
        <v>212</v>
      </c>
      <c r="C297" s="19" t="s">
        <v>325</v>
      </c>
      <c r="D297" s="20" t="s">
        <v>326</v>
      </c>
      <c r="E297" s="21">
        <v>8821.6564941450106</v>
      </c>
      <c r="F297" s="21">
        <v>90.563943555525512</v>
      </c>
      <c r="T297" s="9" t="s">
        <v>19</v>
      </c>
      <c r="U297" s="9" t="s">
        <v>212</v>
      </c>
      <c r="V297" s="10" t="s">
        <v>213</v>
      </c>
      <c r="W297" s="11"/>
      <c r="X297" s="11">
        <f>VLOOKUP(U297,'[1]% SECCION_ECONOMIA 2022'!$C$81:$I$209,7,FALSE)</f>
        <v>3485.72406075855</v>
      </c>
      <c r="Y297" s="12">
        <v>9233.8962785053245</v>
      </c>
      <c r="Z297" s="12">
        <v>100</v>
      </c>
      <c r="AA297" s="22">
        <f>X297/$X$2</f>
        <v>3.3404273581901782E-2</v>
      </c>
      <c r="AB297" t="s">
        <v>327</v>
      </c>
      <c r="AC297" t="str">
        <f>LEFT(AB297,4)</f>
        <v>3100</v>
      </c>
      <c r="AD297" s="75" t="s">
        <v>327</v>
      </c>
      <c r="AE297" s="22" t="str">
        <f>V297</f>
        <v>Fabricación de muebles</v>
      </c>
      <c r="AF297" s="22">
        <f>AN297</f>
        <v>3.3448007491671976E-2</v>
      </c>
      <c r="AG297" s="22">
        <f>VLOOKUP(U297,Sheet1!$B$3:$I$129,8,FALSE)</f>
        <v>3.4674648099217741E-2</v>
      </c>
      <c r="AH297" s="71">
        <f>AG297</f>
        <v>3.4674648099217741E-2</v>
      </c>
      <c r="AI297" s="100">
        <f>AG297/AF297-1</f>
        <v>3.6673054676012562E-2</v>
      </c>
      <c r="AL297" s="75" t="s">
        <v>327</v>
      </c>
      <c r="AM297" s="22" t="s">
        <v>213</v>
      </c>
      <c r="AN297">
        <v>3.3448007491671976E-2</v>
      </c>
    </row>
    <row r="298" spans="1:40">
      <c r="A298" s="9" t="s">
        <v>19</v>
      </c>
      <c r="B298" s="9" t="s">
        <v>216</v>
      </c>
      <c r="C298" s="10" t="s">
        <v>217</v>
      </c>
      <c r="D298" s="11"/>
      <c r="E298" s="12">
        <v>2086.1349157794857</v>
      </c>
      <c r="F298" s="12">
        <v>100</v>
      </c>
      <c r="G298" s="13">
        <f>VLOOKUP(B298,$L$2:$N$122,3,FALSE)</f>
        <v>3451.9687156580494</v>
      </c>
      <c r="T298" s="18"/>
      <c r="U298" s="18" t="s">
        <v>212</v>
      </c>
      <c r="V298" s="19" t="s">
        <v>325</v>
      </c>
      <c r="W298" s="20" t="s">
        <v>326</v>
      </c>
      <c r="X298" s="20"/>
      <c r="Y298" s="21">
        <v>8381.0069490246187</v>
      </c>
      <c r="Z298" s="21">
        <v>90.763494588237222</v>
      </c>
      <c r="AD298" s="76"/>
      <c r="AE298" s="69" t="str">
        <f>W298</f>
        <v>Muebles</v>
      </c>
      <c r="AF298" s="29">
        <f>$Z298*AF$297/100</f>
        <v>3.0358580469576874E-2</v>
      </c>
      <c r="AG298" s="102">
        <f>VLOOKUP(V298,Sheet1!$C$4:$F$131,4,FALSE)</f>
        <v>90.563943555525512</v>
      </c>
      <c r="AH298" s="103">
        <f>AG298*AH297/100</f>
        <v>3.1402728732652652E-2</v>
      </c>
      <c r="AI298" s="100">
        <f>AH298/AF298-1</f>
        <v>3.4393843418408343E-2</v>
      </c>
    </row>
    <row r="299" spans="1:40">
      <c r="A299" s="49"/>
      <c r="B299" s="49"/>
      <c r="C299" s="50"/>
      <c r="D299" s="51"/>
      <c r="E299" s="52"/>
      <c r="F299" s="52"/>
      <c r="G299" s="48"/>
      <c r="T299" s="30"/>
      <c r="U299" s="30"/>
      <c r="V299" s="31"/>
      <c r="W299" s="32"/>
      <c r="X299" s="32"/>
      <c r="Y299" s="33"/>
      <c r="Z299" s="33"/>
      <c r="AD299" s="104" t="s">
        <v>637</v>
      </c>
      <c r="AE299" s="105" t="s">
        <v>640</v>
      </c>
      <c r="AF299" s="106">
        <f>AF298/AF298*AF297</f>
        <v>3.3448007491671976E-2</v>
      </c>
      <c r="AG299" s="105"/>
      <c r="AH299" s="106">
        <f>AH298/AH298*AH297</f>
        <v>3.4674648099217741E-2</v>
      </c>
    </row>
    <row r="300" spans="1:40">
      <c r="A300" s="49"/>
      <c r="B300" s="49"/>
      <c r="C300" s="50"/>
      <c r="D300" s="51"/>
      <c r="E300" s="52"/>
      <c r="F300" s="52"/>
      <c r="G300" s="48"/>
      <c r="T300" s="30"/>
      <c r="U300" s="30"/>
      <c r="V300" s="31"/>
      <c r="W300" s="32"/>
      <c r="X300" s="32"/>
      <c r="Y300" s="33"/>
      <c r="Z300" s="33"/>
      <c r="AD300" s="104" t="s">
        <v>638</v>
      </c>
      <c r="AE300" s="105" t="s">
        <v>641</v>
      </c>
      <c r="AF300" s="105"/>
      <c r="AG300" s="105"/>
    </row>
    <row r="301" spans="1:40">
      <c r="A301" s="49"/>
      <c r="B301" s="49"/>
      <c r="C301" s="50"/>
      <c r="D301" s="51"/>
      <c r="E301" s="52"/>
      <c r="F301" s="52"/>
      <c r="G301" s="48"/>
      <c r="T301" s="30"/>
      <c r="U301" s="30"/>
      <c r="V301" s="31"/>
      <c r="W301" s="32"/>
      <c r="X301" s="32"/>
      <c r="Y301" s="33"/>
      <c r="Z301" s="33"/>
      <c r="AD301" s="104" t="s">
        <v>639</v>
      </c>
      <c r="AE301" s="105" t="s">
        <v>642</v>
      </c>
      <c r="AF301" s="105"/>
      <c r="AG301" s="105"/>
    </row>
    <row r="302" spans="1:40">
      <c r="A302" s="23"/>
      <c r="B302" s="23" t="s">
        <v>216</v>
      </c>
      <c r="C302" s="24" t="s">
        <v>328</v>
      </c>
      <c r="D302" s="25" t="s">
        <v>329</v>
      </c>
      <c r="E302" s="26">
        <v>1455.3830816112434</v>
      </c>
      <c r="F302" s="26">
        <v>69.764571342090719</v>
      </c>
      <c r="T302" s="9" t="s">
        <v>19</v>
      </c>
      <c r="U302" s="9" t="s">
        <v>216</v>
      </c>
      <c r="V302" s="10" t="s">
        <v>217</v>
      </c>
      <c r="W302" s="11"/>
      <c r="X302" s="11">
        <f>VLOOKUP(U302,'[1]% SECCION_ECONOMIA 2022'!$C$81:$I$209,7,FALSE)</f>
        <v>824.95014759750165</v>
      </c>
      <c r="Y302" s="12">
        <v>2015.2722334135103</v>
      </c>
      <c r="Z302" s="12">
        <v>100</v>
      </c>
      <c r="AA302" s="22">
        <f>X302/$X$2</f>
        <v>7.9056345084815398E-3</v>
      </c>
      <c r="AB302" t="s">
        <v>330</v>
      </c>
      <c r="AC302" t="str">
        <f>LEFT(AB302,4)</f>
        <v>3211</v>
      </c>
      <c r="AD302" s="75" t="s">
        <v>330</v>
      </c>
      <c r="AE302" s="22" t="str">
        <f>V302</f>
        <v>Otras industrias manufactureras</v>
      </c>
      <c r="AF302" s="22">
        <f>AN302</f>
        <v>7.9159848100805955E-3</v>
      </c>
      <c r="AG302" s="22">
        <f>VLOOKUP(U302,Sheet1!$B$3:$I$129,8,FALSE)</f>
        <v>8.3399785321699362E-3</v>
      </c>
      <c r="AH302" s="71">
        <f>AG302</f>
        <v>8.3399785321699362E-3</v>
      </c>
      <c r="AI302" s="100">
        <f>AG302/AF302-1</f>
        <v>5.3561714968099361E-2</v>
      </c>
      <c r="AL302" s="75" t="s">
        <v>330</v>
      </c>
      <c r="AM302" s="22" t="s">
        <v>217</v>
      </c>
      <c r="AN302">
        <v>7.9159848100805955E-3</v>
      </c>
    </row>
    <row r="303" spans="1:40">
      <c r="A303" s="18"/>
      <c r="B303" s="18" t="s">
        <v>216</v>
      </c>
      <c r="C303" s="19" t="s">
        <v>331</v>
      </c>
      <c r="D303" s="20" t="s">
        <v>332</v>
      </c>
      <c r="E303" s="21">
        <v>290.08916588150191</v>
      </c>
      <c r="F303" s="21">
        <v>13.905580300069417</v>
      </c>
      <c r="T303" s="23"/>
      <c r="U303" s="23" t="s">
        <v>216</v>
      </c>
      <c r="V303" s="24" t="s">
        <v>328</v>
      </c>
      <c r="W303" s="25" t="s">
        <v>329</v>
      </c>
      <c r="X303" s="25"/>
      <c r="Y303" s="26">
        <v>1407.8449223281104</v>
      </c>
      <c r="Z303" s="26">
        <v>69.858796195662023</v>
      </c>
      <c r="AD303" s="76"/>
      <c r="AE303" s="69" t="str">
        <f>W303</f>
        <v>Otros artículos n.c.p.</v>
      </c>
      <c r="AF303" s="29">
        <f>$Z303*AF$302/100</f>
        <v>5.5300116953537672E-3</v>
      </c>
      <c r="AG303" s="102">
        <f>VLOOKUP(V303,Sheet1!$C$4:$F$131,4,FALSE)</f>
        <v>69.764571342090719</v>
      </c>
      <c r="AH303" s="103">
        <f>AG303*AH$302/100</f>
        <v>5.8183502729907454E-3</v>
      </c>
      <c r="AI303" s="100">
        <f>AH303/AF303-1</f>
        <v>5.2140681344170714E-2</v>
      </c>
    </row>
    <row r="304" spans="1:40">
      <c r="A304" s="66"/>
      <c r="B304" s="66"/>
      <c r="C304" s="66"/>
      <c r="D304" s="66"/>
      <c r="E304" s="67"/>
      <c r="F304" s="67"/>
      <c r="T304" s="18"/>
      <c r="U304" s="18"/>
      <c r="V304" s="19"/>
      <c r="W304" s="20"/>
      <c r="X304" s="20"/>
      <c r="Y304" s="21"/>
      <c r="Z304" s="21"/>
      <c r="AD304" s="104" t="s">
        <v>643</v>
      </c>
      <c r="AE304" s="105" t="s">
        <v>645</v>
      </c>
      <c r="AF304" s="106">
        <f>AF303/(AF$303+AF$306)*AF$302</f>
        <v>6.6449775893350832E-3</v>
      </c>
      <c r="AG304" s="105"/>
      <c r="AH304" s="106">
        <f>AH303/(AH$303+AH$306)*AH$302</f>
        <v>6.9539138615101609E-3</v>
      </c>
    </row>
    <row r="305" spans="1:35">
      <c r="A305" s="66"/>
      <c r="B305" s="66"/>
      <c r="C305" s="66"/>
      <c r="D305" s="66"/>
      <c r="E305" s="67"/>
      <c r="F305" s="67"/>
      <c r="T305" s="18"/>
      <c r="U305" s="18"/>
      <c r="V305" s="19"/>
      <c r="W305" s="20"/>
      <c r="X305" s="20"/>
      <c r="Y305" s="21"/>
      <c r="Z305" s="21"/>
      <c r="AD305" s="104" t="s">
        <v>644</v>
      </c>
      <c r="AE305" s="105" t="s">
        <v>646</v>
      </c>
      <c r="AF305" s="105"/>
      <c r="AG305" s="105"/>
    </row>
    <row r="306" spans="1:35">
      <c r="T306" s="18"/>
      <c r="U306" s="18" t="s">
        <v>216</v>
      </c>
      <c r="V306" s="19" t="s">
        <v>331</v>
      </c>
      <c r="W306" s="20" t="s">
        <v>332</v>
      </c>
      <c r="X306" s="20"/>
      <c r="Y306" s="21">
        <v>269.28323503164512</v>
      </c>
      <c r="Z306" s="21">
        <v>13.362126990432827</v>
      </c>
      <c r="AD306" s="76"/>
      <c r="AE306" s="69" t="str">
        <f>W306</f>
        <v>Joyas y artículos conexos</v>
      </c>
      <c r="AF306" s="29">
        <f>$Z306*AF$302/100</f>
        <v>1.0577439428663422E-3</v>
      </c>
      <c r="AG306" s="102">
        <f>VLOOKUP(V306,Sheet1!$C$4:$F$131,4,FALSE)</f>
        <v>13.905580300069417</v>
      </c>
      <c r="AH306" s="103">
        <f>AG306*AH$302/100</f>
        <v>1.1597224117994411E-3</v>
      </c>
      <c r="AI306" s="100">
        <f>AH306/AF306-1</f>
        <v>9.6411300315982995E-2</v>
      </c>
    </row>
    <row r="307" spans="1:35">
      <c r="E307" s="42">
        <v>300555.92823312257</v>
      </c>
      <c r="G307" s="42">
        <f>SUM(G2:G298)</f>
        <v>425482.97135527123</v>
      </c>
      <c r="AD307" s="104" t="s">
        <v>647</v>
      </c>
      <c r="AE307" s="105" t="s">
        <v>648</v>
      </c>
      <c r="AF307" s="106">
        <f>AF306/(AF$303+AF$306)*AF$302</f>
        <v>1.2710072207455126E-3</v>
      </c>
      <c r="AG307" s="105"/>
      <c r="AH307" s="106">
        <f>AH306/($AH$303+$AH$306)*$AH$302</f>
        <v>1.3860646706597749E-3</v>
      </c>
    </row>
    <row r="308" spans="1:35">
      <c r="Y308" s="16">
        <f>SUBTOTAL(9,Y2:Y306)</f>
        <v>852552.89184268471</v>
      </c>
      <c r="AA308" s="43">
        <f>SUBTOTAL(9,AA2:AA306)</f>
        <v>0.99999999999999978</v>
      </c>
      <c r="AD308" s="80"/>
      <c r="AE308" s="43"/>
      <c r="AF308" s="43" t="e">
        <f>SUBTOTAL(9,AF2:AF306)</f>
        <v>#DIV/0!</v>
      </c>
      <c r="AG308" s="43"/>
      <c r="AH308" s="43">
        <f>SUBTOTAL(9,AH2:AH306)</f>
        <v>2.9257077504226157</v>
      </c>
    </row>
    <row r="310" spans="1:35">
      <c r="Y310" s="16">
        <v>290729.34705098363</v>
      </c>
    </row>
    <row r="311" spans="1:35">
      <c r="V311" t="s">
        <v>333</v>
      </c>
      <c r="Y311" s="16">
        <v>428602.29489358678</v>
      </c>
    </row>
  </sheetData>
  <autoFilter ref="T2:AA307" xr:uid="{55025F8D-6C1A-49CC-84BA-C188F42AEF3C}"/>
  <conditionalFormatting sqref="F1 E307">
    <cfRule type="cellIs" dxfId="7" priority="10" operator="equal">
      <formula>0</formula>
    </cfRule>
  </conditionalFormatting>
  <conditionalFormatting sqref="G307">
    <cfRule type="cellIs" dxfId="6" priority="9" operator="equal">
      <formula>0</formula>
    </cfRule>
  </conditionalFormatting>
  <conditionalFormatting sqref="Y308">
    <cfRule type="cellIs" dxfId="5" priority="7" operator="equal">
      <formula>0</formula>
    </cfRule>
  </conditionalFormatting>
  <conditionalFormatting sqref="Y310:Y311">
    <cfRule type="cellIs" dxfId="4" priority="5" operator="equal">
      <formula>0</formula>
    </cfRule>
  </conditionalFormatting>
  <conditionalFormatting sqref="Y2:Z2">
    <cfRule type="cellIs" dxfId="3" priority="8" operator="equal">
      <formula>0</formula>
    </cfRule>
  </conditionalFormatting>
  <conditionalFormatting sqref="AA308">
    <cfRule type="cellIs" dxfId="2" priority="4" operator="equal">
      <formula>0</formula>
    </cfRule>
  </conditionalFormatting>
  <conditionalFormatting sqref="AD308:AH308">
    <cfRule type="cellIs" dxfId="1" priority="1" operator="equal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8619-7A2F-498A-AB20-C553560CAD28}">
  <dimension ref="A1:N730"/>
  <sheetViews>
    <sheetView topLeftCell="A711" workbookViewId="0">
      <selection activeCell="A515" sqref="A515:F725"/>
    </sheetView>
  </sheetViews>
  <sheetFormatPr defaultRowHeight="14.5"/>
  <cols>
    <col min="1" max="1" width="22.90625" customWidth="1"/>
    <col min="3" max="3" width="8.7265625" style="133"/>
    <col min="4" max="4" width="75.90625" customWidth="1"/>
    <col min="5" max="5" width="14.54296875" customWidth="1"/>
    <col min="6" max="6" width="21.1796875" bestFit="1" customWidth="1"/>
    <col min="7" max="7" width="20.08984375" bestFit="1" customWidth="1"/>
    <col min="10" max="10" width="8.90625" bestFit="1" customWidth="1"/>
    <col min="12" max="12" width="8.7265625" customWidth="1"/>
    <col min="14" max="14" width="10.90625" style="124" bestFit="1" customWidth="1"/>
  </cols>
  <sheetData>
    <row r="1" spans="2:14">
      <c r="B1" s="8" t="s">
        <v>18</v>
      </c>
      <c r="C1" s="73" t="s">
        <v>661</v>
      </c>
      <c r="D1" s="8" t="s">
        <v>662</v>
      </c>
      <c r="E1" s="8" t="s">
        <v>666</v>
      </c>
      <c r="H1" s="73" t="s">
        <v>661</v>
      </c>
      <c r="I1" s="8" t="s">
        <v>662</v>
      </c>
      <c r="J1" s="8" t="s">
        <v>666</v>
      </c>
    </row>
    <row r="2" spans="2:14">
      <c r="C2" s="148" t="s">
        <v>19</v>
      </c>
      <c r="D2" s="15" t="s">
        <v>22</v>
      </c>
      <c r="E2" s="15"/>
      <c r="G2" t="str">
        <f t="shared" ref="G2:G53" si="0">LEFT(H2,2)</f>
        <v>10</v>
      </c>
      <c r="H2" s="75" t="s">
        <v>649</v>
      </c>
      <c r="I2" s="22" t="s">
        <v>21</v>
      </c>
      <c r="J2" s="22">
        <v>2.1978961849027024E-2</v>
      </c>
      <c r="K2" s="131">
        <f>SUM(J2:J20)</f>
        <v>0.4224230610431714</v>
      </c>
      <c r="L2" s="126">
        <f>J2/SUM($J$2:$J$5,$J$7:$J$20)</f>
        <v>5.2450899545976495E-2</v>
      </c>
      <c r="M2">
        <f>L2*$K$2</f>
        <v>2.2156469540679281E-2</v>
      </c>
      <c r="N2" s="124">
        <f>M2/$M$56</f>
        <v>2.2185477476964508E-2</v>
      </c>
    </row>
    <row r="3" spans="2:14">
      <c r="B3" t="s">
        <v>649</v>
      </c>
      <c r="C3" s="75">
        <v>1010</v>
      </c>
      <c r="D3" s="22" t="s">
        <v>21</v>
      </c>
      <c r="E3" s="22">
        <v>2.2185477476964508E-2</v>
      </c>
      <c r="G3" t="str">
        <f t="shared" si="0"/>
        <v>10</v>
      </c>
      <c r="H3" s="75" t="s">
        <v>649</v>
      </c>
      <c r="I3" s="22" t="s">
        <v>26</v>
      </c>
      <c r="J3" s="22">
        <v>6.3594218047386452E-3</v>
      </c>
      <c r="L3" s="126">
        <f t="shared" ref="L3:L20" si="1">J3/SUM($J$2:$J$5,$J$7:$J$20)</f>
        <v>1.5176212440880384E-2</v>
      </c>
      <c r="M3">
        <f t="shared" ref="M3:M20" si="2">L3*$K$2</f>
        <v>6.4107821143181516E-3</v>
      </c>
      <c r="N3" s="124">
        <f t="shared" ref="N3:N54" si="3">M3/$M$56</f>
        <v>6.4191753088552678E-3</v>
      </c>
    </row>
    <row r="4" spans="2:14">
      <c r="B4" t="s">
        <v>686</v>
      </c>
      <c r="C4" s="76"/>
      <c r="D4" s="69" t="s">
        <v>24</v>
      </c>
      <c r="E4" s="122">
        <v>2.1245001686648064E-2</v>
      </c>
      <c r="G4" t="str">
        <f t="shared" si="0"/>
        <v>10</v>
      </c>
      <c r="H4" s="75" t="s">
        <v>649</v>
      </c>
      <c r="I4" s="22" t="s">
        <v>29</v>
      </c>
      <c r="J4" s="22">
        <v>3.4992012439462823E-2</v>
      </c>
      <c r="L4" s="126">
        <f t="shared" si="1"/>
        <v>8.350542404963833E-2</v>
      </c>
      <c r="M4">
        <f t="shared" si="2"/>
        <v>3.5274616840756286E-2</v>
      </c>
      <c r="N4" s="124">
        <f t="shared" si="3"/>
        <v>3.5320799461860418E-2</v>
      </c>
    </row>
    <row r="5" spans="2:14">
      <c r="C5" s="104" t="s">
        <v>30</v>
      </c>
      <c r="D5" s="105" t="s">
        <v>656</v>
      </c>
      <c r="E5" s="121">
        <v>2.2185477476964508E-2</v>
      </c>
      <c r="G5" t="str">
        <f t="shared" si="0"/>
        <v>10</v>
      </c>
      <c r="H5" s="75" t="s">
        <v>649</v>
      </c>
      <c r="I5" s="22" t="s">
        <v>34</v>
      </c>
      <c r="J5" s="22">
        <v>1.1484767648869909E-2</v>
      </c>
      <c r="L5" s="126">
        <f t="shared" si="1"/>
        <v>2.7407408884802403E-2</v>
      </c>
      <c r="M5">
        <f t="shared" si="2"/>
        <v>1.1577521556380043E-2</v>
      </c>
      <c r="N5" s="124">
        <f t="shared" si="3"/>
        <v>1.1592679206249835E-2</v>
      </c>
    </row>
    <row r="6" spans="2:14">
      <c r="B6" t="s">
        <v>649</v>
      </c>
      <c r="C6" s="75" t="s">
        <v>649</v>
      </c>
      <c r="D6" s="22" t="s">
        <v>26</v>
      </c>
      <c r="E6" s="22">
        <v>6.4191753088552678E-3</v>
      </c>
      <c r="G6" t="str">
        <f t="shared" si="0"/>
        <v>10</v>
      </c>
      <c r="H6" s="75" t="s">
        <v>65</v>
      </c>
      <c r="I6" s="111" t="s">
        <v>39</v>
      </c>
      <c r="J6" s="111">
        <v>3.3842640105086878E-3</v>
      </c>
      <c r="L6" s="126"/>
    </row>
    <row r="7" spans="2:14">
      <c r="C7" s="76"/>
      <c r="D7" s="69" t="s">
        <v>41</v>
      </c>
      <c r="E7" s="122">
        <v>4.8532390111723786E-3</v>
      </c>
      <c r="G7" t="str">
        <f t="shared" si="0"/>
        <v>10</v>
      </c>
      <c r="H7" s="75" t="s">
        <v>79</v>
      </c>
      <c r="I7" s="22" t="s">
        <v>43</v>
      </c>
      <c r="J7" s="22">
        <v>1.6134764654450309E-2</v>
      </c>
      <c r="L7" s="126">
        <f t="shared" si="1"/>
        <v>3.8504226264263204E-2</v>
      </c>
      <c r="M7">
        <f t="shared" si="2"/>
        <v>1.6265073121648939E-2</v>
      </c>
      <c r="N7" s="124">
        <f t="shared" si="3"/>
        <v>1.6286367859238836E-2</v>
      </c>
    </row>
    <row r="8" spans="2:14">
      <c r="C8" s="104" t="s">
        <v>40</v>
      </c>
      <c r="D8" s="105" t="s">
        <v>41</v>
      </c>
      <c r="E8" s="121">
        <v>5.5739411044183384E-3</v>
      </c>
      <c r="G8" t="str">
        <f t="shared" si="0"/>
        <v>10</v>
      </c>
      <c r="H8" s="75" t="s">
        <v>101</v>
      </c>
      <c r="I8" s="22" t="s">
        <v>48</v>
      </c>
      <c r="J8" s="22">
        <v>5.6363419045910315E-2</v>
      </c>
      <c r="L8" s="126">
        <f t="shared" si="1"/>
        <v>0.13450644533402709</v>
      </c>
      <c r="M8">
        <f t="shared" si="2"/>
        <v>5.6818624368035718E-2</v>
      </c>
      <c r="N8" s="124">
        <f t="shared" si="3"/>
        <v>5.6893013071184301E-2</v>
      </c>
    </row>
    <row r="9" spans="2:14">
      <c r="C9" s="76"/>
      <c r="D9" s="69" t="s">
        <v>37</v>
      </c>
      <c r="E9" s="122">
        <v>6.54603360191304E-4</v>
      </c>
      <c r="G9" t="str">
        <f t="shared" si="0"/>
        <v>10</v>
      </c>
      <c r="H9" s="75" t="s">
        <v>108</v>
      </c>
      <c r="I9" s="22" t="s">
        <v>51</v>
      </c>
      <c r="J9" s="22">
        <v>1.9213029678317586E-2</v>
      </c>
      <c r="L9" s="126">
        <f t="shared" si="1"/>
        <v>4.5850240632539792E-2</v>
      </c>
      <c r="M9">
        <f t="shared" si="2"/>
        <v>1.9368198997563455E-2</v>
      </c>
      <c r="N9" s="124">
        <f t="shared" si="3"/>
        <v>1.9393556443678659E-2</v>
      </c>
    </row>
    <row r="10" spans="2:14">
      <c r="C10" s="104" t="s">
        <v>658</v>
      </c>
      <c r="D10" s="105" t="s">
        <v>657</v>
      </c>
      <c r="E10" s="121">
        <v>7.5181143316064799E-4</v>
      </c>
      <c r="G10" t="str">
        <f t="shared" si="0"/>
        <v>10</v>
      </c>
      <c r="H10" s="75" t="s">
        <v>650</v>
      </c>
      <c r="I10" s="22" t="s">
        <v>55</v>
      </c>
      <c r="J10" s="22">
        <v>9.336197378207893E-3</v>
      </c>
      <c r="L10" s="126">
        <f t="shared" si="1"/>
        <v>2.2280030976416173E-2</v>
      </c>
      <c r="M10">
        <f t="shared" si="2"/>
        <v>9.4115988851943989E-3</v>
      </c>
      <c r="N10" s="124">
        <f t="shared" si="3"/>
        <v>9.4239208420071746E-3</v>
      </c>
    </row>
    <row r="11" spans="2:14">
      <c r="B11" t="s">
        <v>649</v>
      </c>
      <c r="C11" s="75" t="s">
        <v>649</v>
      </c>
      <c r="D11" s="22" t="s">
        <v>29</v>
      </c>
      <c r="E11" s="22">
        <v>3.5320799461860418E-2</v>
      </c>
      <c r="G11" t="str">
        <f t="shared" si="0"/>
        <v>10</v>
      </c>
      <c r="H11" s="75" t="s">
        <v>650</v>
      </c>
      <c r="I11" s="22" t="s">
        <v>58</v>
      </c>
      <c r="J11" s="22">
        <v>7.3397561015269425E-3</v>
      </c>
      <c r="L11" s="126">
        <f t="shared" si="1"/>
        <v>1.7515695810273228E-2</v>
      </c>
      <c r="M11">
        <f t="shared" si="2"/>
        <v>7.3990338404766693E-3</v>
      </c>
      <c r="N11" s="124">
        <f t="shared" si="3"/>
        <v>7.4087208847877098E-3</v>
      </c>
    </row>
    <row r="12" spans="2:14">
      <c r="C12" s="76"/>
      <c r="D12" s="69" t="s">
        <v>53</v>
      </c>
      <c r="E12" s="122">
        <v>3.3709626888796244E-2</v>
      </c>
      <c r="G12" t="str">
        <f t="shared" si="0"/>
        <v>10</v>
      </c>
      <c r="H12" s="75" t="s">
        <v>650</v>
      </c>
      <c r="I12" s="22" t="s">
        <v>64</v>
      </c>
      <c r="J12" s="22">
        <v>8.6210163864627477E-3</v>
      </c>
      <c r="L12" s="126">
        <f t="shared" si="1"/>
        <v>2.0573313133558771E-2</v>
      </c>
      <c r="M12">
        <f t="shared" si="2"/>
        <v>8.690641909677577E-3</v>
      </c>
      <c r="N12" s="124">
        <f t="shared" si="3"/>
        <v>8.7020199672842181E-3</v>
      </c>
    </row>
    <row r="13" spans="2:14">
      <c r="C13" s="104" t="s">
        <v>52</v>
      </c>
      <c r="D13" s="105" t="s">
        <v>53</v>
      </c>
      <c r="E13" s="121">
        <v>3.5320799461860418E-2</v>
      </c>
      <c r="G13" t="str">
        <f t="shared" si="0"/>
        <v>10</v>
      </c>
      <c r="H13" s="75" t="s">
        <v>146</v>
      </c>
      <c r="I13" s="22" t="s">
        <v>69</v>
      </c>
      <c r="J13" s="22">
        <v>1.1321521879620008E-2</v>
      </c>
      <c r="L13" s="126">
        <f t="shared" si="1"/>
        <v>2.7017836915796446E-2</v>
      </c>
      <c r="M13">
        <f t="shared" si="2"/>
        <v>1.1412957372735932E-2</v>
      </c>
      <c r="N13" s="124">
        <f t="shared" si="3"/>
        <v>1.142789957007863E-2</v>
      </c>
    </row>
    <row r="14" spans="2:14">
      <c r="B14" t="s">
        <v>649</v>
      </c>
      <c r="C14" s="75" t="s">
        <v>649</v>
      </c>
      <c r="D14" s="22" t="s">
        <v>34</v>
      </c>
      <c r="E14" s="22">
        <v>1.1592679206249835E-2</v>
      </c>
      <c r="G14" t="str">
        <f t="shared" si="0"/>
        <v>10</v>
      </c>
      <c r="H14" s="75" t="s">
        <v>651</v>
      </c>
      <c r="I14" s="22" t="s">
        <v>73</v>
      </c>
      <c r="J14" s="22">
        <v>5.7361448504306072E-2</v>
      </c>
      <c r="L14" s="126">
        <f t="shared" si="1"/>
        <v>0.13688815668262561</v>
      </c>
      <c r="M14">
        <f t="shared" si="2"/>
        <v>5.7824714166431965E-2</v>
      </c>
      <c r="N14" s="124">
        <f t="shared" si="3"/>
        <v>5.7900420073511233E-2</v>
      </c>
    </row>
    <row r="15" spans="2:14">
      <c r="C15" s="76"/>
      <c r="D15" s="69" t="s">
        <v>37</v>
      </c>
      <c r="E15" s="122">
        <v>1.0981022900669615E-2</v>
      </c>
      <c r="G15" t="str">
        <f t="shared" si="0"/>
        <v>10</v>
      </c>
      <c r="H15" s="75" t="s">
        <v>651</v>
      </c>
      <c r="I15" s="22" t="s">
        <v>78</v>
      </c>
      <c r="J15" s="22">
        <v>5.3944311725030378E-2</v>
      </c>
      <c r="L15" s="126">
        <f t="shared" si="1"/>
        <v>0.12873345405491321</v>
      </c>
      <c r="M15">
        <f t="shared" si="2"/>
        <v>5.4379979720536903E-2</v>
      </c>
      <c r="N15" s="124">
        <f t="shared" si="3"/>
        <v>5.4451175674568704E-2</v>
      </c>
    </row>
    <row r="16" spans="2:14">
      <c r="C16" s="104" t="s">
        <v>59</v>
      </c>
      <c r="D16" s="105" t="s">
        <v>60</v>
      </c>
      <c r="E16" s="121">
        <v>1.1592679206249835E-2</v>
      </c>
      <c r="G16" t="str">
        <f t="shared" si="0"/>
        <v>10</v>
      </c>
      <c r="H16" s="75" t="s">
        <v>171</v>
      </c>
      <c r="I16" s="22" t="s">
        <v>83</v>
      </c>
      <c r="J16" s="22">
        <v>3.8608300798912414E-2</v>
      </c>
      <c r="L16" s="126">
        <f t="shared" si="1"/>
        <v>9.2135384771790063E-2</v>
      </c>
      <c r="M16">
        <f t="shared" si="2"/>
        <v>3.8920111265689956E-2</v>
      </c>
      <c r="N16" s="124">
        <f t="shared" si="3"/>
        <v>3.8971066681025249E-2</v>
      </c>
    </row>
    <row r="17" spans="2:14">
      <c r="B17" s="110" t="s">
        <v>65</v>
      </c>
      <c r="C17" s="75" t="s">
        <v>65</v>
      </c>
      <c r="D17" s="111" t="s">
        <v>39</v>
      </c>
      <c r="E17" s="111">
        <v>0</v>
      </c>
      <c r="G17" t="str">
        <f t="shared" si="0"/>
        <v>10</v>
      </c>
      <c r="H17" s="75" t="s">
        <v>178</v>
      </c>
      <c r="I17" s="22" t="s">
        <v>87</v>
      </c>
      <c r="J17" s="22">
        <v>6.3729533532317431E-3</v>
      </c>
      <c r="L17" s="126">
        <f t="shared" si="1"/>
        <v>1.5208504315973856E-2</v>
      </c>
      <c r="M17">
        <f t="shared" si="2"/>
        <v>6.4244229470419596E-3</v>
      </c>
      <c r="N17" s="124">
        <f t="shared" si="3"/>
        <v>6.4328340005798427E-3</v>
      </c>
    </row>
    <row r="18" spans="2:14">
      <c r="C18" s="76"/>
      <c r="D18" s="69" t="s">
        <v>71</v>
      </c>
      <c r="E18" s="122">
        <v>1.6903981802283907E-3</v>
      </c>
      <c r="G18" t="str">
        <f t="shared" si="0"/>
        <v>10</v>
      </c>
      <c r="H18" s="75" t="s">
        <v>185</v>
      </c>
      <c r="I18" s="22" t="s">
        <v>94</v>
      </c>
      <c r="J18" s="22">
        <v>4.5227786439998403E-3</v>
      </c>
      <c r="L18" s="126">
        <f t="shared" si="1"/>
        <v>1.0793221716048657E-2</v>
      </c>
      <c r="M18">
        <f t="shared" si="2"/>
        <v>4.5593057558109048E-3</v>
      </c>
      <c r="N18" s="124">
        <f t="shared" si="3"/>
        <v>4.5652749401444738E-3</v>
      </c>
    </row>
    <row r="19" spans="2:14">
      <c r="C19" s="112" t="s">
        <v>70</v>
      </c>
      <c r="D19" s="113" t="s">
        <v>71</v>
      </c>
      <c r="E19" s="113">
        <v>0</v>
      </c>
      <c r="G19" t="str">
        <f t="shared" si="0"/>
        <v>10</v>
      </c>
      <c r="H19" s="75" t="s">
        <v>663</v>
      </c>
      <c r="I19" s="22" t="s">
        <v>96</v>
      </c>
      <c r="J19" s="22">
        <v>2.8971158638819442E-2</v>
      </c>
      <c r="L19" s="126">
        <f t="shared" si="1"/>
        <v>6.913717499184506E-2</v>
      </c>
      <c r="M19">
        <f t="shared" si="2"/>
        <v>2.9205137091932589E-2</v>
      </c>
      <c r="N19" s="124">
        <f t="shared" si="3"/>
        <v>2.9243373362129364E-2</v>
      </c>
    </row>
    <row r="20" spans="2:14">
      <c r="C20" s="76"/>
      <c r="D20" s="69" t="s">
        <v>74</v>
      </c>
      <c r="E20" s="122">
        <v>0</v>
      </c>
      <c r="G20" t="str">
        <f t="shared" si="0"/>
        <v>10</v>
      </c>
      <c r="H20" s="75" t="s">
        <v>197</v>
      </c>
      <c r="I20" s="22" t="s">
        <v>100</v>
      </c>
      <c r="J20" s="22">
        <v>2.6112976501768515E-2</v>
      </c>
      <c r="L20" s="126">
        <f t="shared" si="1"/>
        <v>6.2316369478631103E-2</v>
      </c>
      <c r="M20">
        <f t="shared" si="2"/>
        <v>2.6323871548260609E-2</v>
      </c>
      <c r="N20" s="124">
        <f t="shared" si="3"/>
        <v>2.6358335576351838E-2</v>
      </c>
    </row>
    <row r="21" spans="2:14">
      <c r="C21" s="112" t="s">
        <v>659</v>
      </c>
      <c r="D21" s="113" t="s">
        <v>660</v>
      </c>
      <c r="E21" s="113">
        <v>0</v>
      </c>
      <c r="G21" t="str">
        <f t="shared" si="0"/>
        <v>11</v>
      </c>
      <c r="H21" s="75" t="s">
        <v>204</v>
      </c>
      <c r="I21" s="111" t="s">
        <v>103</v>
      </c>
      <c r="J21" s="111">
        <v>2.3082270904677821E-3</v>
      </c>
      <c r="K21" s="131">
        <f>SUM(J21:J24)</f>
        <v>4.4528247819338979E-2</v>
      </c>
    </row>
    <row r="22" spans="2:14">
      <c r="B22" t="s">
        <v>79</v>
      </c>
      <c r="C22" s="75" t="s">
        <v>79</v>
      </c>
      <c r="D22" s="22" t="s">
        <v>43</v>
      </c>
      <c r="E22" s="22">
        <v>1.6286367859238836E-2</v>
      </c>
      <c r="G22" t="str">
        <f t="shared" si="0"/>
        <v>11</v>
      </c>
      <c r="H22" s="75" t="s">
        <v>211</v>
      </c>
      <c r="I22" s="111" t="s">
        <v>107</v>
      </c>
      <c r="J22" s="111">
        <v>1.2792912905843138E-4</v>
      </c>
    </row>
    <row r="23" spans="2:14">
      <c r="C23" s="77"/>
      <c r="D23" s="68" t="s">
        <v>76</v>
      </c>
      <c r="E23" s="123">
        <v>5.3546416134819166E-3</v>
      </c>
      <c r="G23" t="str">
        <f t="shared" si="0"/>
        <v>11</v>
      </c>
      <c r="H23" s="75" t="s">
        <v>218</v>
      </c>
      <c r="I23" s="22" t="s">
        <v>112</v>
      </c>
      <c r="J23" s="22">
        <v>6.3118962279448488E-3</v>
      </c>
      <c r="L23" s="126">
        <f>J23/SUM($J$23:$J$24)</f>
        <v>0.14995444483858641</v>
      </c>
      <c r="M23">
        <f>L23*$K$21</f>
        <v>6.6772086813839723E-3</v>
      </c>
      <c r="N23" s="124">
        <f t="shared" si="3"/>
        <v>6.6859506898360463E-3</v>
      </c>
    </row>
    <row r="24" spans="2:14">
      <c r="C24" s="104" t="s">
        <v>346</v>
      </c>
      <c r="D24" s="105" t="s">
        <v>349</v>
      </c>
      <c r="E24" s="121">
        <v>6.2123982311014158E-3</v>
      </c>
      <c r="G24" t="str">
        <f t="shared" si="0"/>
        <v>11</v>
      </c>
      <c r="H24" s="75" t="s">
        <v>221</v>
      </c>
      <c r="I24" s="22" t="s">
        <v>114</v>
      </c>
      <c r="J24" s="22">
        <v>3.5780195371867912E-2</v>
      </c>
      <c r="L24" s="126">
        <f>J24/SUM($J$23:$J$24)</f>
        <v>0.85004555516141367</v>
      </c>
      <c r="M24">
        <f>L24*$K$21</f>
        <v>3.7851039137955012E-2</v>
      </c>
      <c r="N24" s="124">
        <f t="shared" si="3"/>
        <v>3.7900594890942982E-2</v>
      </c>
    </row>
    <row r="25" spans="2:14">
      <c r="C25" s="104" t="s">
        <v>347</v>
      </c>
      <c r="D25" s="105" t="s">
        <v>350</v>
      </c>
      <c r="E25" s="121"/>
      <c r="G25" t="str">
        <f t="shared" si="0"/>
        <v>12</v>
      </c>
      <c r="H25" s="75" t="s">
        <v>224</v>
      </c>
      <c r="I25" s="111" t="s">
        <v>118</v>
      </c>
      <c r="J25" s="111">
        <v>1.3075191334215816E-3</v>
      </c>
      <c r="K25" s="131">
        <f>J25</f>
        <v>1.3075191334215816E-3</v>
      </c>
      <c r="L25" s="126"/>
      <c r="M25" s="131"/>
    </row>
    <row r="26" spans="2:14">
      <c r="C26" s="104" t="s">
        <v>348</v>
      </c>
      <c r="D26" s="105" t="s">
        <v>351</v>
      </c>
      <c r="E26" s="121"/>
      <c r="G26" t="str">
        <f t="shared" si="0"/>
        <v>13</v>
      </c>
      <c r="H26" s="75" t="s">
        <v>654</v>
      </c>
      <c r="I26" s="22" t="s">
        <v>121</v>
      </c>
      <c r="J26" s="22">
        <v>9.6788994166454746E-3</v>
      </c>
      <c r="K26" s="131">
        <f>SUM(J26:J27)</f>
        <v>2.7151934986757817E-2</v>
      </c>
      <c r="L26" s="126"/>
      <c r="M26">
        <f>J26</f>
        <v>9.6788994166454746E-3</v>
      </c>
      <c r="N26" s="124">
        <f t="shared" si="3"/>
        <v>9.6915713315944545E-3</v>
      </c>
    </row>
    <row r="27" spans="2:14">
      <c r="C27" s="76"/>
      <c r="D27" s="69" t="s">
        <v>81</v>
      </c>
      <c r="E27" s="122">
        <v>3.8430161344705149E-3</v>
      </c>
      <c r="G27" t="str">
        <f t="shared" si="0"/>
        <v>13</v>
      </c>
      <c r="H27" s="75" t="s">
        <v>653</v>
      </c>
      <c r="I27" s="22" t="s">
        <v>125</v>
      </c>
      <c r="J27" s="22">
        <v>1.7473035570112341E-2</v>
      </c>
      <c r="L27" s="126"/>
      <c r="M27">
        <f>J27</f>
        <v>1.7473035570112341E-2</v>
      </c>
      <c r="N27" s="124">
        <f t="shared" si="3"/>
        <v>1.7495911809559998E-2</v>
      </c>
    </row>
    <row r="28" spans="2:14">
      <c r="C28" s="104">
        <v>21311</v>
      </c>
      <c r="D28" s="105" t="s">
        <v>88</v>
      </c>
      <c r="E28" s="121">
        <v>4.4586264327696554E-3</v>
      </c>
      <c r="G28" t="str">
        <f t="shared" si="0"/>
        <v>14</v>
      </c>
      <c r="H28" s="75" t="s">
        <v>652</v>
      </c>
      <c r="I28" s="22" t="s">
        <v>130</v>
      </c>
      <c r="J28" s="22">
        <v>7.3919235987623358E-2</v>
      </c>
      <c r="K28" s="131">
        <f>J28</f>
        <v>7.3919235987623358E-2</v>
      </c>
      <c r="L28" s="126"/>
      <c r="M28">
        <f>J28</f>
        <v>7.3919235987623358E-2</v>
      </c>
      <c r="N28" s="124">
        <f t="shared" si="3"/>
        <v>7.4016013341246634E-2</v>
      </c>
    </row>
    <row r="29" spans="2:14">
      <c r="C29" s="104">
        <v>21395</v>
      </c>
      <c r="D29" s="105" t="s">
        <v>89</v>
      </c>
      <c r="E29" s="121"/>
      <c r="G29" t="str">
        <f t="shared" si="0"/>
        <v>15</v>
      </c>
      <c r="H29" s="75" t="s">
        <v>664</v>
      </c>
      <c r="I29" s="111" t="s">
        <v>132</v>
      </c>
      <c r="J29" s="111">
        <v>3.3287318993795701E-3</v>
      </c>
      <c r="K29" s="131">
        <f>J29+J30</f>
        <v>9.927685003307693E-3</v>
      </c>
      <c r="L29" s="126"/>
    </row>
    <row r="30" spans="2:14">
      <c r="C30" s="104">
        <v>21399</v>
      </c>
      <c r="D30" s="105" t="s">
        <v>90</v>
      </c>
      <c r="E30" s="121"/>
      <c r="G30" t="str">
        <f t="shared" si="0"/>
        <v>15</v>
      </c>
      <c r="H30" s="75" t="s">
        <v>246</v>
      </c>
      <c r="I30" s="22" t="s">
        <v>134</v>
      </c>
      <c r="J30" s="22">
        <v>6.5989531039281225E-3</v>
      </c>
      <c r="L30" s="126">
        <f>J30/J30</f>
        <v>1</v>
      </c>
      <c r="M30">
        <f>L30*K29</f>
        <v>9.927685003307693E-3</v>
      </c>
      <c r="N30" s="124">
        <f t="shared" si="3"/>
        <v>9.9406826360536049E-3</v>
      </c>
    </row>
    <row r="31" spans="2:14">
      <c r="C31" s="76"/>
      <c r="D31" s="69" t="s">
        <v>85</v>
      </c>
      <c r="E31" s="122">
        <v>2.9893283170915898E-3</v>
      </c>
      <c r="G31" t="str">
        <f t="shared" si="0"/>
        <v>16</v>
      </c>
      <c r="H31" s="75" t="s">
        <v>249</v>
      </c>
      <c r="I31" s="22" t="s">
        <v>139</v>
      </c>
      <c r="J31" s="22">
        <v>1.169487117194341E-2</v>
      </c>
      <c r="K31" s="131">
        <f>J31+J32</f>
        <v>1.942013432048929E-2</v>
      </c>
      <c r="L31" s="126"/>
      <c r="M31">
        <f t="shared" ref="M31:M34" si="4">J31</f>
        <v>1.169487117194341E-2</v>
      </c>
      <c r="N31" s="124">
        <f t="shared" si="3"/>
        <v>1.1710182459565149E-2</v>
      </c>
    </row>
    <row r="32" spans="2:14">
      <c r="C32" s="104" t="s">
        <v>334</v>
      </c>
      <c r="D32" s="105" t="s">
        <v>335</v>
      </c>
      <c r="E32" s="121">
        <v>3.4681869095633511E-3</v>
      </c>
      <c r="G32" t="str">
        <f t="shared" si="0"/>
        <v>16</v>
      </c>
      <c r="H32" s="75" t="s">
        <v>252</v>
      </c>
      <c r="I32" s="22" t="s">
        <v>141</v>
      </c>
      <c r="J32" s="22">
        <v>7.72526314854588E-3</v>
      </c>
      <c r="L32" s="126"/>
      <c r="M32">
        <f t="shared" si="4"/>
        <v>7.72526314854588E-3</v>
      </c>
      <c r="N32" s="124">
        <f t="shared" si="3"/>
        <v>7.7353773023729686E-3</v>
      </c>
    </row>
    <row r="33" spans="2:14">
      <c r="C33" s="104" t="s">
        <v>338</v>
      </c>
      <c r="D33" s="105" t="s">
        <v>339</v>
      </c>
      <c r="E33" s="121"/>
      <c r="G33" t="str">
        <f t="shared" si="0"/>
        <v>17</v>
      </c>
      <c r="H33" s="75" t="s">
        <v>255</v>
      </c>
      <c r="I33" s="22" t="s">
        <v>145</v>
      </c>
      <c r="J33" s="22">
        <v>2.491309937312031E-2</v>
      </c>
      <c r="K33" s="131">
        <f>J33</f>
        <v>2.491309937312031E-2</v>
      </c>
      <c r="L33" s="126"/>
      <c r="M33">
        <f t="shared" si="4"/>
        <v>2.491309937312031E-2</v>
      </c>
      <c r="N33" s="124">
        <f t="shared" si="3"/>
        <v>2.494571637457698E-2</v>
      </c>
    </row>
    <row r="34" spans="2:14">
      <c r="C34" s="104" t="s">
        <v>336</v>
      </c>
      <c r="D34" s="105" t="s">
        <v>337</v>
      </c>
      <c r="E34" s="121"/>
      <c r="G34" t="str">
        <f t="shared" si="0"/>
        <v>18</v>
      </c>
      <c r="H34" s="75" t="s">
        <v>260</v>
      </c>
      <c r="I34" s="22" t="s">
        <v>148</v>
      </c>
      <c r="J34" s="22">
        <v>9.3414023867344938E-3</v>
      </c>
      <c r="K34" s="131">
        <f>J34</f>
        <v>9.3414023867344938E-3</v>
      </c>
      <c r="L34" s="126"/>
      <c r="M34">
        <f t="shared" si="4"/>
        <v>9.3414023867344938E-3</v>
      </c>
      <c r="N34" s="124">
        <f t="shared" si="3"/>
        <v>9.35363244011694E-3</v>
      </c>
    </row>
    <row r="35" spans="2:14">
      <c r="C35" s="104" t="s">
        <v>340</v>
      </c>
      <c r="D35" s="105" t="s">
        <v>341</v>
      </c>
      <c r="E35" s="121"/>
      <c r="G35" t="str">
        <f t="shared" si="0"/>
        <v>19</v>
      </c>
      <c r="H35" s="75" t="s">
        <v>263</v>
      </c>
      <c r="I35" s="111" t="s">
        <v>152</v>
      </c>
      <c r="J35" s="111">
        <v>0</v>
      </c>
      <c r="K35" s="131">
        <f>J35</f>
        <v>0</v>
      </c>
      <c r="L35" s="126"/>
    </row>
    <row r="36" spans="2:14">
      <c r="C36" s="104" t="s">
        <v>342</v>
      </c>
      <c r="D36" s="105" t="s">
        <v>343</v>
      </c>
      <c r="E36" s="121"/>
      <c r="G36" t="str">
        <f t="shared" si="0"/>
        <v>20</v>
      </c>
      <c r="H36" s="75" t="s">
        <v>655</v>
      </c>
      <c r="I36" s="22" t="s">
        <v>157</v>
      </c>
      <c r="J36" s="22">
        <v>6.5368306101495771E-3</v>
      </c>
      <c r="K36" s="131">
        <f>SUM(J36:J41)</f>
        <v>8.2950426313894488E-2</v>
      </c>
      <c r="L36" s="126">
        <f>J36/SUM($J$36:$J$37,$J$39:$J$41)</f>
        <v>7.8804062867783423E-2</v>
      </c>
      <c r="M36">
        <f>L36*$K$36</f>
        <v>6.5368306101495771E-3</v>
      </c>
      <c r="N36" s="124">
        <f t="shared" si="3"/>
        <v>6.545388831282163E-3</v>
      </c>
    </row>
    <row r="37" spans="2:14">
      <c r="C37" s="104" t="s">
        <v>344</v>
      </c>
      <c r="D37" s="105" t="s">
        <v>345</v>
      </c>
      <c r="E37" s="121"/>
      <c r="G37" t="str">
        <f t="shared" si="0"/>
        <v>20</v>
      </c>
      <c r="H37" s="75" t="s">
        <v>269</v>
      </c>
      <c r="I37" s="22" t="s">
        <v>159</v>
      </c>
      <c r="J37" s="22">
        <v>3.1290812940609126E-2</v>
      </c>
      <c r="L37" s="126">
        <f>J37/SUM($J$36:$J$37,$J$39:$J$41)</f>
        <v>0.37722305153925179</v>
      </c>
      <c r="M37">
        <f>L37*$K$36</f>
        <v>3.1290812940609126E-2</v>
      </c>
      <c r="N37" s="124">
        <f t="shared" si="3"/>
        <v>3.1331779842237006E-2</v>
      </c>
    </row>
    <row r="38" spans="2:14">
      <c r="C38" s="76"/>
      <c r="D38" s="69" t="s">
        <v>92</v>
      </c>
      <c r="E38" s="122">
        <v>1.8506946868052298E-3</v>
      </c>
      <c r="G38" t="str">
        <f t="shared" si="0"/>
        <v>20</v>
      </c>
      <c r="H38" s="75" t="s">
        <v>270</v>
      </c>
      <c r="I38" s="111" t="s">
        <v>163</v>
      </c>
      <c r="J38" s="111">
        <v>0</v>
      </c>
      <c r="L38" s="126"/>
    </row>
    <row r="39" spans="2:14">
      <c r="C39" s="104" t="s">
        <v>915</v>
      </c>
      <c r="D39" s="105" t="s">
        <v>353</v>
      </c>
      <c r="E39" s="121">
        <v>2.147156285804416E-3</v>
      </c>
      <c r="G39" t="str">
        <f t="shared" si="0"/>
        <v>20</v>
      </c>
      <c r="H39" s="75" t="s">
        <v>273</v>
      </c>
      <c r="I39" s="22" t="s">
        <v>166</v>
      </c>
      <c r="J39" s="22">
        <v>6.1612780957974343E-3</v>
      </c>
      <c r="L39" s="126">
        <f t="shared" ref="L39:L41" si="5">J39/SUM($J$36:$J$37,$J$39:$J$41)</f>
        <v>7.4276629664112997E-2</v>
      </c>
      <c r="M39">
        <f t="shared" ref="M39:M41" si="6">L39*$K$36</f>
        <v>6.1612780957974343E-3</v>
      </c>
      <c r="N39" s="124">
        <f t="shared" si="3"/>
        <v>6.1693446319443738E-3</v>
      </c>
    </row>
    <row r="40" spans="2:14">
      <c r="C40" s="104" t="s">
        <v>354</v>
      </c>
      <c r="D40" s="105" t="s">
        <v>355</v>
      </c>
      <c r="E40" s="121"/>
      <c r="G40" t="str">
        <f t="shared" si="0"/>
        <v>20</v>
      </c>
      <c r="H40" s="75" t="s">
        <v>276</v>
      </c>
      <c r="I40" s="22" t="s">
        <v>170</v>
      </c>
      <c r="J40" s="22">
        <v>2.6809278962710213E-2</v>
      </c>
      <c r="L40" s="126">
        <f t="shared" si="5"/>
        <v>0.32319639758402985</v>
      </c>
      <c r="M40">
        <f t="shared" si="6"/>
        <v>2.6809278962710216E-2</v>
      </c>
      <c r="N40" s="124">
        <f t="shared" si="3"/>
        <v>2.6844378501225379E-2</v>
      </c>
    </row>
    <row r="41" spans="2:14">
      <c r="B41" t="s">
        <v>101</v>
      </c>
      <c r="C41" s="75" t="s">
        <v>101</v>
      </c>
      <c r="D41" s="22" t="s">
        <v>48</v>
      </c>
      <c r="E41" s="22">
        <v>5.6893013071184301E-2</v>
      </c>
      <c r="G41" t="str">
        <f t="shared" si="0"/>
        <v>20</v>
      </c>
      <c r="H41" s="75" t="s">
        <v>655</v>
      </c>
      <c r="I41" s="22" t="s">
        <v>173</v>
      </c>
      <c r="J41" s="22">
        <v>1.2152225704628136E-2</v>
      </c>
      <c r="L41" s="126">
        <f t="shared" si="5"/>
        <v>0.14649985834482199</v>
      </c>
      <c r="M41">
        <f t="shared" si="6"/>
        <v>1.2152225704628136E-2</v>
      </c>
      <c r="N41" s="124">
        <f t="shared" si="3"/>
        <v>1.2168135774971984E-2</v>
      </c>
    </row>
    <row r="42" spans="2:14">
      <c r="C42" s="76"/>
      <c r="D42" s="69" t="s">
        <v>98</v>
      </c>
      <c r="E42" s="122">
        <v>4.6559252446907562E-2</v>
      </c>
      <c r="G42" t="str">
        <f t="shared" si="0"/>
        <v>21</v>
      </c>
      <c r="H42" s="75" t="s">
        <v>284</v>
      </c>
      <c r="I42" s="22" t="s">
        <v>177</v>
      </c>
      <c r="J42" s="22">
        <v>2.1100979648769495E-2</v>
      </c>
      <c r="K42" s="131">
        <f>SUM(J42)</f>
        <v>2.1100979648769495E-2</v>
      </c>
      <c r="L42" s="126"/>
      <c r="M42">
        <f t="shared" ref="M42" si="7">J42</f>
        <v>2.1100979648769495E-2</v>
      </c>
      <c r="N42" s="124">
        <f t="shared" si="3"/>
        <v>2.1128605704991293E-2</v>
      </c>
    </row>
    <row r="43" spans="2:14">
      <c r="C43" s="104" t="s">
        <v>356</v>
      </c>
      <c r="D43" s="105" t="s">
        <v>360</v>
      </c>
      <c r="E43" s="121"/>
      <c r="G43" t="str">
        <f t="shared" si="0"/>
        <v>22</v>
      </c>
      <c r="H43" s="75" t="s">
        <v>287</v>
      </c>
      <c r="I43" s="111" t="s">
        <v>180</v>
      </c>
      <c r="J43" s="111">
        <v>3.9534381165138195E-3</v>
      </c>
      <c r="K43" s="131">
        <f>SUM(J43:J44)</f>
        <v>6.0443878897145295E-2</v>
      </c>
      <c r="L43" s="126"/>
    </row>
    <row r="44" spans="2:14">
      <c r="C44" s="104" t="s">
        <v>357</v>
      </c>
      <c r="D44" s="105" t="s">
        <v>361</v>
      </c>
      <c r="E44" s="124"/>
      <c r="G44" t="str">
        <f t="shared" si="0"/>
        <v>22</v>
      </c>
      <c r="H44" s="75" t="s">
        <v>290</v>
      </c>
      <c r="I44" s="22" t="s">
        <v>184</v>
      </c>
      <c r="J44" s="22">
        <v>5.6490440780631472E-2</v>
      </c>
      <c r="L44" s="126">
        <f>J44/J44</f>
        <v>1</v>
      </c>
      <c r="M44">
        <f>L44*$K$43</f>
        <v>6.0443878897145295E-2</v>
      </c>
      <c r="N44" s="124">
        <f t="shared" si="3"/>
        <v>6.0523013895826434E-2</v>
      </c>
    </row>
    <row r="45" spans="2:14">
      <c r="C45" s="104" t="s">
        <v>358</v>
      </c>
      <c r="D45" s="105" t="s">
        <v>362</v>
      </c>
      <c r="E45" s="124"/>
      <c r="G45" t="str">
        <f t="shared" si="0"/>
        <v>23</v>
      </c>
      <c r="H45" s="75" t="s">
        <v>293</v>
      </c>
      <c r="I45" s="22" t="s">
        <v>187</v>
      </c>
      <c r="J45" s="22">
        <v>4.7766874854720349E-3</v>
      </c>
      <c r="K45" s="131">
        <f>SUM(J45:J49)</f>
        <v>6.7924456453965748E-2</v>
      </c>
      <c r="L45" s="126">
        <f>J45/SUM($J$45:$J$48)</f>
        <v>7.0751092844144825E-2</v>
      </c>
      <c r="M45">
        <f>L45*$K$45</f>
        <v>4.8057295249626028E-3</v>
      </c>
      <c r="N45" s="124">
        <f t="shared" si="3"/>
        <v>4.8120213349284553E-3</v>
      </c>
    </row>
    <row r="46" spans="2:14">
      <c r="C46" s="104" t="s">
        <v>359</v>
      </c>
      <c r="D46" s="105" t="s">
        <v>363</v>
      </c>
      <c r="E46" s="124"/>
      <c r="G46" t="str">
        <f t="shared" si="0"/>
        <v>23</v>
      </c>
      <c r="H46" s="75" t="s">
        <v>296</v>
      </c>
      <c r="I46" s="22" t="s">
        <v>189</v>
      </c>
      <c r="J46" s="22">
        <v>1.0557006217653347E-2</v>
      </c>
      <c r="L46" s="126">
        <f t="shared" ref="L46:L48" si="8">J46/SUM($J$45:$J$48)</f>
        <v>0.15636771912190425</v>
      </c>
      <c r="M46">
        <f t="shared" ref="M46:M48" si="9">L46*$K$45</f>
        <v>1.0621192328301733E-2</v>
      </c>
      <c r="N46" s="124">
        <f t="shared" si="3"/>
        <v>1.063509792232098E-2</v>
      </c>
    </row>
    <row r="47" spans="2:14">
      <c r="B47" t="s">
        <v>108</v>
      </c>
      <c r="C47" s="75" t="s">
        <v>108</v>
      </c>
      <c r="D47" s="22" t="s">
        <v>51</v>
      </c>
      <c r="E47" s="22">
        <v>1.9393556443678659E-2</v>
      </c>
      <c r="G47" t="str">
        <f t="shared" si="0"/>
        <v>23</v>
      </c>
      <c r="H47" s="75" t="s">
        <v>301</v>
      </c>
      <c r="I47" s="22" t="s">
        <v>192</v>
      </c>
      <c r="J47" s="22">
        <v>4.3036129945688312E-2</v>
      </c>
      <c r="L47" s="126">
        <f t="shared" si="8"/>
        <v>0.6374403254767631</v>
      </c>
      <c r="M47">
        <f t="shared" si="9"/>
        <v>4.329778762984815E-2</v>
      </c>
      <c r="N47" s="124">
        <f t="shared" si="3"/>
        <v>4.3354474434690947E-2</v>
      </c>
    </row>
    <row r="48" spans="2:14">
      <c r="C48" s="76"/>
      <c r="D48" s="69" t="s">
        <v>105</v>
      </c>
      <c r="E48" s="122">
        <v>1.3085983252157747E-2</v>
      </c>
      <c r="F48" s="125"/>
      <c r="G48" t="str">
        <f t="shared" si="0"/>
        <v>23</v>
      </c>
      <c r="H48" s="75" t="s">
        <v>296</v>
      </c>
      <c r="I48" s="22" t="s">
        <v>196</v>
      </c>
      <c r="J48" s="22">
        <v>9.1441509550053181E-3</v>
      </c>
      <c r="L48" s="126">
        <f t="shared" si="8"/>
        <v>0.13544086255718779</v>
      </c>
      <c r="M48">
        <f t="shared" si="9"/>
        <v>9.1997469708532623E-3</v>
      </c>
      <c r="N48" s="124">
        <f t="shared" si="3"/>
        <v>9.2117915645770383E-3</v>
      </c>
    </row>
    <row r="49" spans="2:14">
      <c r="C49" s="104" t="s">
        <v>368</v>
      </c>
      <c r="D49" s="105" t="s">
        <v>372</v>
      </c>
      <c r="E49" s="121"/>
      <c r="G49" t="str">
        <f t="shared" si="0"/>
        <v>23</v>
      </c>
      <c r="H49" s="75" t="s">
        <v>307</v>
      </c>
      <c r="I49" s="111" t="s">
        <v>199</v>
      </c>
      <c r="J49" s="111">
        <v>4.1048185014673261E-4</v>
      </c>
      <c r="L49" s="126"/>
    </row>
    <row r="50" spans="2:14">
      <c r="C50" s="104" t="s">
        <v>369</v>
      </c>
      <c r="D50" s="105" t="s">
        <v>373</v>
      </c>
      <c r="E50" s="121"/>
      <c r="G50" t="str">
        <f t="shared" si="0"/>
        <v>24</v>
      </c>
      <c r="H50" s="75" t="s">
        <v>310</v>
      </c>
      <c r="I50" s="22" t="s">
        <v>203</v>
      </c>
      <c r="J50" s="22">
        <v>5.1413342695416177E-2</v>
      </c>
      <c r="K50" s="131">
        <f>J50</f>
        <v>5.1413342695416177E-2</v>
      </c>
      <c r="L50" s="126"/>
      <c r="M50">
        <f t="shared" ref="M50:M54" si="10">J50</f>
        <v>5.1413342695416177E-2</v>
      </c>
      <c r="N50" s="124">
        <f t="shared" si="3"/>
        <v>5.1480654636354282E-2</v>
      </c>
    </row>
    <row r="51" spans="2:14">
      <c r="C51" s="104" t="s">
        <v>385</v>
      </c>
      <c r="D51" s="105" t="s">
        <v>386</v>
      </c>
      <c r="E51" s="121"/>
      <c r="G51" t="str">
        <f t="shared" si="0"/>
        <v>25</v>
      </c>
      <c r="H51" s="75" t="s">
        <v>313</v>
      </c>
      <c r="I51" s="22" t="s">
        <v>206</v>
      </c>
      <c r="J51" s="22">
        <v>1.4161502830083135E-2</v>
      </c>
      <c r="K51" s="131">
        <f>J51</f>
        <v>1.4161502830083135E-2</v>
      </c>
      <c r="L51" s="126"/>
      <c r="M51">
        <f t="shared" si="10"/>
        <v>1.4161502830083135E-2</v>
      </c>
      <c r="N51" s="124">
        <f t="shared" si="3"/>
        <v>1.4180043508282966E-2</v>
      </c>
    </row>
    <row r="52" spans="2:14">
      <c r="C52" s="104" t="s">
        <v>370</v>
      </c>
      <c r="D52" s="105" t="s">
        <v>374</v>
      </c>
      <c r="E52" s="121"/>
      <c r="G52" t="str">
        <f t="shared" si="0"/>
        <v>26</v>
      </c>
      <c r="H52" s="75" t="s">
        <v>318</v>
      </c>
      <c r="I52" s="22" t="s">
        <v>210</v>
      </c>
      <c r="J52" s="22">
        <v>2.7763185016377229E-2</v>
      </c>
      <c r="K52" s="131">
        <f>J52</f>
        <v>2.7763185016377229E-2</v>
      </c>
      <c r="L52" s="126"/>
      <c r="M52">
        <f t="shared" si="10"/>
        <v>2.7763185016377229E-2</v>
      </c>
      <c r="N52" s="124">
        <f t="shared" si="3"/>
        <v>2.7799533438247932E-2</v>
      </c>
    </row>
    <row r="53" spans="2:14">
      <c r="C53" s="104" t="s">
        <v>371</v>
      </c>
      <c r="D53" s="105" t="s">
        <v>375</v>
      </c>
      <c r="E53" s="121"/>
      <c r="G53" t="str">
        <f t="shared" si="0"/>
        <v>31</v>
      </c>
      <c r="H53" s="75" t="s">
        <v>327</v>
      </c>
      <c r="I53" s="22" t="s">
        <v>213</v>
      </c>
      <c r="J53" s="22">
        <v>3.3404273581901782E-2</v>
      </c>
      <c r="K53" s="131">
        <f>J53</f>
        <v>3.3404273581901782E-2</v>
      </c>
      <c r="L53" s="126"/>
      <c r="M53">
        <f t="shared" si="10"/>
        <v>3.3404273581901782E-2</v>
      </c>
      <c r="N53" s="124">
        <f t="shared" si="3"/>
        <v>3.3448007491671976E-2</v>
      </c>
    </row>
    <row r="54" spans="2:14">
      <c r="C54" s="76"/>
      <c r="D54" s="69" t="s">
        <v>110</v>
      </c>
      <c r="E54" s="122">
        <v>6.1140648693476848E-3</v>
      </c>
      <c r="G54" t="str">
        <f>LEFT(H54,2)</f>
        <v>32</v>
      </c>
      <c r="H54" s="75" t="s">
        <v>330</v>
      </c>
      <c r="I54" s="22" t="s">
        <v>217</v>
      </c>
      <c r="J54" s="22">
        <v>7.9056345084815398E-3</v>
      </c>
      <c r="K54" s="131">
        <f>J54</f>
        <v>7.9056345084815398E-3</v>
      </c>
      <c r="L54" s="126"/>
      <c r="M54">
        <f t="shared" si="10"/>
        <v>7.9056345084815398E-3</v>
      </c>
      <c r="N54" s="124">
        <f t="shared" si="3"/>
        <v>7.9159848100805955E-3</v>
      </c>
    </row>
    <row r="55" spans="2:14">
      <c r="C55" s="104" t="s">
        <v>364</v>
      </c>
      <c r="D55" s="105" t="s">
        <v>366</v>
      </c>
      <c r="E55" s="121"/>
      <c r="L55" s="126"/>
    </row>
    <row r="56" spans="2:14">
      <c r="C56" s="104" t="s">
        <v>365</v>
      </c>
      <c r="D56" s="105" t="s">
        <v>367</v>
      </c>
      <c r="E56" s="121"/>
      <c r="J56" s="131">
        <f>SUM(J2:J55)</f>
        <v>0.99999999999999978</v>
      </c>
      <c r="K56" s="131">
        <f>SUM(K2:K55)</f>
        <v>0.99999999999999978</v>
      </c>
      <c r="L56" s="126"/>
      <c r="M56" s="131">
        <f>SUM(M2:M55)</f>
        <v>0.99869248086657836</v>
      </c>
      <c r="N56" s="124">
        <f>SUM(N2:N55)</f>
        <v>1</v>
      </c>
    </row>
    <row r="57" spans="2:14">
      <c r="B57" t="s">
        <v>650</v>
      </c>
      <c r="C57" s="75" t="s">
        <v>650</v>
      </c>
      <c r="D57" s="22" t="s">
        <v>55</v>
      </c>
      <c r="E57" s="22">
        <v>9.4239208420071746E-3</v>
      </c>
      <c r="L57" s="126"/>
    </row>
    <row r="58" spans="2:14">
      <c r="C58" s="76"/>
      <c r="D58" s="69" t="s">
        <v>116</v>
      </c>
      <c r="E58" s="122">
        <v>8.2409496038631722E-3</v>
      </c>
      <c r="L58" s="126"/>
    </row>
    <row r="59" spans="2:14">
      <c r="C59" s="74" t="s">
        <v>376</v>
      </c>
      <c r="D59" t="s">
        <v>379</v>
      </c>
      <c r="E59" s="124"/>
      <c r="L59" s="126"/>
    </row>
    <row r="60" spans="2:14">
      <c r="B60" t="s">
        <v>650</v>
      </c>
      <c r="C60" s="75" t="s">
        <v>650</v>
      </c>
      <c r="D60" s="22" t="s">
        <v>58</v>
      </c>
      <c r="E60" s="22">
        <v>7.4087208847877098E-3</v>
      </c>
      <c r="L60" s="126"/>
    </row>
    <row r="61" spans="2:14">
      <c r="C61" s="76"/>
      <c r="D61" s="69" t="s">
        <v>123</v>
      </c>
      <c r="E61" s="122">
        <v>4.7161909974016451E-3</v>
      </c>
      <c r="F61" s="126"/>
      <c r="L61" s="126"/>
    </row>
    <row r="62" spans="2:14">
      <c r="C62" s="104" t="s">
        <v>383</v>
      </c>
      <c r="D62" s="105" t="s">
        <v>384</v>
      </c>
      <c r="E62" s="121"/>
      <c r="L62" s="126"/>
    </row>
    <row r="63" spans="2:14">
      <c r="C63" s="76"/>
      <c r="D63" s="69" t="s">
        <v>128</v>
      </c>
      <c r="E63" s="122">
        <v>1.88248794375486E-3</v>
      </c>
      <c r="F63" s="126"/>
      <c r="L63" s="126"/>
    </row>
    <row r="64" spans="2:14">
      <c r="C64" s="104" t="s">
        <v>378</v>
      </c>
      <c r="D64" s="105" t="s">
        <v>382</v>
      </c>
      <c r="E64" s="121"/>
      <c r="L64" s="126"/>
    </row>
    <row r="65" spans="2:12">
      <c r="B65" t="s">
        <v>650</v>
      </c>
      <c r="C65" s="75" t="s">
        <v>650</v>
      </c>
      <c r="D65" s="22" t="s">
        <v>64</v>
      </c>
      <c r="E65" s="22">
        <v>8.7020199672842181E-3</v>
      </c>
      <c r="L65" s="126"/>
    </row>
    <row r="66" spans="2:12">
      <c r="C66" s="76"/>
      <c r="D66" s="69" t="s">
        <v>128</v>
      </c>
      <c r="E66" s="122">
        <v>6.7213419282072008E-3</v>
      </c>
      <c r="L66" s="126"/>
    </row>
    <row r="67" spans="2:12">
      <c r="C67" s="104" t="s">
        <v>377</v>
      </c>
      <c r="D67" s="105" t="s">
        <v>380</v>
      </c>
      <c r="E67" s="121">
        <v>7.4061966114546346E-3</v>
      </c>
      <c r="L67" s="126"/>
    </row>
    <row r="68" spans="2:12">
      <c r="C68" s="104" t="s">
        <v>378</v>
      </c>
      <c r="D68" s="105" t="s">
        <v>381</v>
      </c>
      <c r="E68" s="121"/>
      <c r="L68" s="126"/>
    </row>
    <row r="69" spans="2:12">
      <c r="C69" s="76"/>
      <c r="D69" s="69" t="s">
        <v>137</v>
      </c>
      <c r="E69" s="122">
        <v>1.1759979257932361E-3</v>
      </c>
      <c r="L69" s="126"/>
    </row>
    <row r="70" spans="2:12">
      <c r="C70" s="104" t="s">
        <v>387</v>
      </c>
      <c r="D70" s="105" t="s">
        <v>394</v>
      </c>
      <c r="E70" s="121">
        <v>1.2958233558295843E-3</v>
      </c>
      <c r="L70" s="126"/>
    </row>
    <row r="71" spans="2:12">
      <c r="C71" s="104" t="s">
        <v>388</v>
      </c>
      <c r="D71" s="105" t="s">
        <v>395</v>
      </c>
      <c r="E71" s="121"/>
      <c r="L71" s="126"/>
    </row>
    <row r="72" spans="2:12">
      <c r="C72" s="104" t="s">
        <v>389</v>
      </c>
      <c r="D72" s="105" t="s">
        <v>396</v>
      </c>
      <c r="E72" s="121"/>
      <c r="L72" s="126"/>
    </row>
    <row r="73" spans="2:12">
      <c r="C73" s="104" t="s">
        <v>390</v>
      </c>
      <c r="D73" s="105" t="s">
        <v>397</v>
      </c>
      <c r="E73" s="121"/>
      <c r="L73" s="126"/>
    </row>
    <row r="74" spans="2:12">
      <c r="C74" s="104" t="s">
        <v>391</v>
      </c>
      <c r="D74" s="105" t="s">
        <v>398</v>
      </c>
      <c r="E74" s="121"/>
      <c r="L74" s="126"/>
    </row>
    <row r="75" spans="2:12">
      <c r="C75" s="104" t="s">
        <v>392</v>
      </c>
      <c r="D75" s="105" t="s">
        <v>399</v>
      </c>
      <c r="E75" s="121"/>
      <c r="L75" s="126"/>
    </row>
    <row r="76" spans="2:12">
      <c r="C76" s="104" t="s">
        <v>393</v>
      </c>
      <c r="D76" s="105" t="s">
        <v>400</v>
      </c>
      <c r="E76" s="121"/>
      <c r="L76" s="126"/>
    </row>
    <row r="77" spans="2:12">
      <c r="B77" t="s">
        <v>146</v>
      </c>
      <c r="C77" s="75" t="s">
        <v>146</v>
      </c>
      <c r="D77" s="22" t="s">
        <v>69</v>
      </c>
      <c r="E77" s="22">
        <v>1.142789957007863E-2</v>
      </c>
      <c r="L77" s="126"/>
    </row>
    <row r="78" spans="2:12">
      <c r="C78" s="76"/>
      <c r="D78" s="69" t="s">
        <v>143</v>
      </c>
      <c r="E78" s="122">
        <v>1.1047344011576275E-2</v>
      </c>
      <c r="L78" s="126"/>
    </row>
    <row r="79" spans="2:12">
      <c r="C79" s="104" t="s">
        <v>402</v>
      </c>
      <c r="D79" s="105" t="s">
        <v>401</v>
      </c>
      <c r="E79" s="121">
        <v>1.142789957007863E-2</v>
      </c>
      <c r="L79" s="126"/>
    </row>
    <row r="80" spans="2:12">
      <c r="B80" t="s">
        <v>651</v>
      </c>
      <c r="C80" s="75" t="s">
        <v>651</v>
      </c>
      <c r="D80" s="22" t="s">
        <v>73</v>
      </c>
      <c r="E80" s="22">
        <v>5.7900420073511233E-2</v>
      </c>
      <c r="L80" s="126"/>
    </row>
    <row r="81" spans="2:12">
      <c r="C81" s="76"/>
      <c r="D81" s="69" t="s">
        <v>150</v>
      </c>
      <c r="E81" s="122">
        <v>4.5858499649810015E-2</v>
      </c>
      <c r="L81" s="126"/>
    </row>
    <row r="82" spans="2:12">
      <c r="C82" s="104" t="s">
        <v>403</v>
      </c>
      <c r="D82" s="105" t="s">
        <v>404</v>
      </c>
      <c r="E82" s="121">
        <v>4.6450241179079338E-2</v>
      </c>
      <c r="L82" s="126"/>
    </row>
    <row r="83" spans="2:12">
      <c r="C83" s="76"/>
      <c r="D83" s="69" t="s">
        <v>155</v>
      </c>
      <c r="E83" s="122">
        <v>1.1304312130397729E-2</v>
      </c>
      <c r="L83" s="126"/>
    </row>
    <row r="84" spans="2:12">
      <c r="C84" s="104" t="s">
        <v>405</v>
      </c>
      <c r="D84" s="105" t="s">
        <v>407</v>
      </c>
      <c r="E84" s="121">
        <v>1.1450178894431888E-2</v>
      </c>
      <c r="L84" s="126"/>
    </row>
    <row r="85" spans="2:12">
      <c r="C85" s="104" t="s">
        <v>406</v>
      </c>
      <c r="D85" s="105" t="s">
        <v>408</v>
      </c>
      <c r="E85" s="121"/>
      <c r="L85" s="126"/>
    </row>
    <row r="86" spans="2:12">
      <c r="B86" t="s">
        <v>651</v>
      </c>
      <c r="C86" s="75" t="s">
        <v>651</v>
      </c>
      <c r="D86" s="22" t="s">
        <v>78</v>
      </c>
      <c r="E86" s="22">
        <v>5.4451175674568704E-2</v>
      </c>
      <c r="L86" s="126"/>
    </row>
    <row r="87" spans="2:12">
      <c r="C87" s="76"/>
      <c r="D87" s="69" t="s">
        <v>161</v>
      </c>
      <c r="E87" s="122">
        <v>5.418836354382521E-2</v>
      </c>
      <c r="L87" s="126"/>
    </row>
    <row r="88" spans="2:12">
      <c r="C88" s="104" t="s">
        <v>403</v>
      </c>
      <c r="D88" s="105" t="s">
        <v>404</v>
      </c>
      <c r="E88" s="121">
        <v>5.4451175674568704E-2</v>
      </c>
      <c r="L88" s="126"/>
    </row>
    <row r="89" spans="2:12">
      <c r="B89" t="s">
        <v>171</v>
      </c>
      <c r="C89" s="75" t="s">
        <v>171</v>
      </c>
      <c r="D89" s="22" t="s">
        <v>83</v>
      </c>
      <c r="E89" s="22">
        <v>3.8971066681025249E-2</v>
      </c>
      <c r="L89" s="126"/>
    </row>
    <row r="90" spans="2:12">
      <c r="C90" s="76"/>
      <c r="D90" s="69" t="s">
        <v>168</v>
      </c>
      <c r="E90" s="122">
        <v>3.4192644094451365E-2</v>
      </c>
      <c r="L90" s="126"/>
    </row>
    <row r="91" spans="2:12">
      <c r="C91" s="104" t="s">
        <v>421</v>
      </c>
      <c r="D91" s="105" t="s">
        <v>423</v>
      </c>
      <c r="E91" s="121">
        <v>3.8971066681025249E-2</v>
      </c>
      <c r="L91" s="126"/>
    </row>
    <row r="92" spans="2:12">
      <c r="C92" s="104" t="s">
        <v>422</v>
      </c>
      <c r="D92" s="105" t="s">
        <v>424</v>
      </c>
      <c r="E92" s="121"/>
      <c r="L92" s="126"/>
    </row>
    <row r="93" spans="2:12">
      <c r="B93" t="s">
        <v>178</v>
      </c>
      <c r="C93" s="75" t="s">
        <v>178</v>
      </c>
      <c r="D93" s="22" t="s">
        <v>87</v>
      </c>
      <c r="E93" s="22">
        <v>6.4328340005798427E-3</v>
      </c>
      <c r="L93" s="126"/>
    </row>
    <row r="94" spans="2:12">
      <c r="C94" s="76"/>
      <c r="D94" s="69" t="s">
        <v>175</v>
      </c>
      <c r="E94" s="122">
        <v>5.8602583960328395E-3</v>
      </c>
      <c r="L94" s="126"/>
    </row>
    <row r="95" spans="2:12">
      <c r="C95" s="104" t="s">
        <v>425</v>
      </c>
      <c r="D95" s="105" t="s">
        <v>428</v>
      </c>
      <c r="E95" s="121">
        <v>6.4328340005798427E-3</v>
      </c>
      <c r="L95" s="126"/>
    </row>
    <row r="96" spans="2:12">
      <c r="C96" s="104" t="s">
        <v>426</v>
      </c>
      <c r="D96" s="105" t="s">
        <v>429</v>
      </c>
      <c r="E96" s="121"/>
      <c r="L96" s="126"/>
    </row>
    <row r="97" spans="2:12">
      <c r="C97" s="104" t="s">
        <v>427</v>
      </c>
      <c r="D97" s="105" t="s">
        <v>430</v>
      </c>
      <c r="E97" s="121"/>
      <c r="L97" s="126"/>
    </row>
    <row r="98" spans="2:12">
      <c r="B98" t="s">
        <v>185</v>
      </c>
      <c r="C98" s="75" t="s">
        <v>185</v>
      </c>
      <c r="D98" s="22" t="s">
        <v>94</v>
      </c>
      <c r="E98" s="22">
        <v>4.5652749401444738E-3</v>
      </c>
      <c r="L98" s="126"/>
    </row>
    <row r="99" spans="2:12">
      <c r="C99" s="76"/>
      <c r="D99" s="69" t="s">
        <v>182</v>
      </c>
      <c r="E99" s="122">
        <v>4.3533828524235582E-3</v>
      </c>
      <c r="L99" s="126"/>
    </row>
    <row r="100" spans="2:12">
      <c r="C100" s="104" t="s">
        <v>431</v>
      </c>
      <c r="D100" s="105" t="s">
        <v>432</v>
      </c>
      <c r="E100" s="121">
        <v>4.5652749401444738E-3</v>
      </c>
      <c r="L100" s="126"/>
    </row>
    <row r="101" spans="2:12">
      <c r="B101" t="s">
        <v>669</v>
      </c>
      <c r="C101" s="75" t="s">
        <v>663</v>
      </c>
      <c r="D101" s="22" t="s">
        <v>96</v>
      </c>
      <c r="E101" s="22">
        <v>2.9243373362129364E-2</v>
      </c>
      <c r="L101" s="126"/>
    </row>
    <row r="102" spans="2:12">
      <c r="C102" s="76"/>
      <c r="D102" s="69" t="s">
        <v>137</v>
      </c>
      <c r="E102" s="122">
        <v>2.7945176175555822E-2</v>
      </c>
      <c r="L102" s="126"/>
    </row>
    <row r="103" spans="2:12">
      <c r="C103" s="104" t="s">
        <v>387</v>
      </c>
      <c r="D103" s="105" t="s">
        <v>394</v>
      </c>
      <c r="E103" s="121">
        <v>2.9243373362129364E-2</v>
      </c>
      <c r="L103" s="126"/>
    </row>
    <row r="104" spans="2:12">
      <c r="C104" s="104" t="s">
        <v>388</v>
      </c>
      <c r="D104" s="105" t="s">
        <v>395</v>
      </c>
      <c r="E104" s="121"/>
      <c r="L104" s="126"/>
    </row>
    <row r="105" spans="2:12">
      <c r="C105" s="104" t="s">
        <v>389</v>
      </c>
      <c r="D105" s="105" t="s">
        <v>396</v>
      </c>
      <c r="E105" s="121"/>
      <c r="L105" s="126"/>
    </row>
    <row r="106" spans="2:12">
      <c r="C106" s="104" t="s">
        <v>390</v>
      </c>
      <c r="D106" s="105" t="s">
        <v>397</v>
      </c>
      <c r="E106" s="121"/>
      <c r="L106" s="126"/>
    </row>
    <row r="107" spans="2:12">
      <c r="C107" s="104" t="s">
        <v>391</v>
      </c>
      <c r="D107" s="105" t="s">
        <v>398</v>
      </c>
      <c r="E107" s="121"/>
      <c r="L107" s="126"/>
    </row>
    <row r="108" spans="2:12">
      <c r="C108" s="104" t="s">
        <v>392</v>
      </c>
      <c r="D108" s="105" t="s">
        <v>399</v>
      </c>
      <c r="E108" s="121"/>
      <c r="L108" s="126"/>
    </row>
    <row r="109" spans="2:12">
      <c r="C109" s="104" t="s">
        <v>393</v>
      </c>
      <c r="D109" s="105" t="s">
        <v>400</v>
      </c>
      <c r="E109" s="121"/>
      <c r="L109" s="126"/>
    </row>
    <row r="110" spans="2:12">
      <c r="C110" s="104" t="s">
        <v>433</v>
      </c>
      <c r="D110" s="105" t="s">
        <v>434</v>
      </c>
      <c r="E110" s="121"/>
      <c r="L110" s="126"/>
    </row>
    <row r="111" spans="2:12">
      <c r="B111" t="s">
        <v>197</v>
      </c>
      <c r="C111" s="75" t="s">
        <v>197</v>
      </c>
      <c r="D111" s="22" t="s">
        <v>100</v>
      </c>
      <c r="E111" s="22">
        <v>2.6358335576351838E-2</v>
      </c>
      <c r="L111" s="126"/>
    </row>
    <row r="112" spans="2:12">
      <c r="C112" s="76"/>
      <c r="D112" s="69" t="s">
        <v>194</v>
      </c>
      <c r="E112" s="122">
        <v>2.5978094926445129E-2</v>
      </c>
      <c r="L112" s="126"/>
    </row>
    <row r="113" spans="2:12">
      <c r="C113" s="104" t="s">
        <v>435</v>
      </c>
      <c r="D113" s="105" t="s">
        <v>437</v>
      </c>
      <c r="E113" s="121">
        <v>2.6358335576351838E-2</v>
      </c>
      <c r="L113" s="126"/>
    </row>
    <row r="114" spans="2:12">
      <c r="C114" s="104" t="s">
        <v>436</v>
      </c>
      <c r="D114" s="105" t="s">
        <v>438</v>
      </c>
      <c r="E114" s="121"/>
      <c r="L114" s="126"/>
    </row>
    <row r="115" spans="2:12">
      <c r="B115" s="110" t="s">
        <v>204</v>
      </c>
      <c r="C115" s="75" t="s">
        <v>204</v>
      </c>
      <c r="D115" s="111" t="s">
        <v>103</v>
      </c>
      <c r="E115" s="111">
        <v>0</v>
      </c>
      <c r="L115" s="126"/>
    </row>
    <row r="116" spans="2:12">
      <c r="C116" s="76"/>
      <c r="D116" s="69" t="s">
        <v>201</v>
      </c>
      <c r="E116" s="122">
        <v>0</v>
      </c>
      <c r="L116" s="126"/>
    </row>
    <row r="117" spans="2:12">
      <c r="C117" s="112" t="s">
        <v>439</v>
      </c>
      <c r="D117" s="113" t="s">
        <v>440</v>
      </c>
      <c r="E117" s="113"/>
      <c r="L117" s="126"/>
    </row>
    <row r="118" spans="2:12">
      <c r="B118" s="110" t="s">
        <v>211</v>
      </c>
      <c r="C118" s="75" t="s">
        <v>211</v>
      </c>
      <c r="D118" s="111" t="s">
        <v>107</v>
      </c>
      <c r="E118" s="111">
        <v>0</v>
      </c>
      <c r="L118" s="126"/>
    </row>
    <row r="119" spans="2:12">
      <c r="C119" s="76"/>
      <c r="D119" s="69" t="s">
        <v>208</v>
      </c>
      <c r="E119" s="122">
        <v>0</v>
      </c>
      <c r="L119" s="126"/>
    </row>
    <row r="120" spans="2:12">
      <c r="C120" s="112" t="s">
        <v>441</v>
      </c>
      <c r="D120" s="113" t="s">
        <v>442</v>
      </c>
      <c r="E120" s="113"/>
      <c r="L120" s="126"/>
    </row>
    <row r="121" spans="2:12">
      <c r="B121" t="s">
        <v>218</v>
      </c>
      <c r="C121" s="75" t="s">
        <v>218</v>
      </c>
      <c r="D121" s="22" t="s">
        <v>112</v>
      </c>
      <c r="E121" s="22">
        <v>6.6859506898360463E-3</v>
      </c>
      <c r="L121" s="126"/>
    </row>
    <row r="122" spans="2:12">
      <c r="C122" s="76"/>
      <c r="D122" s="69" t="s">
        <v>215</v>
      </c>
      <c r="E122" s="122">
        <v>5.6796260951266254E-3</v>
      </c>
      <c r="L122" s="126"/>
    </row>
    <row r="123" spans="2:12">
      <c r="C123" s="74" t="s">
        <v>443</v>
      </c>
      <c r="D123" t="s">
        <v>444</v>
      </c>
      <c r="E123" s="124">
        <v>6.6859506898360463E-3</v>
      </c>
      <c r="L123" s="126"/>
    </row>
    <row r="124" spans="2:12">
      <c r="C124" s="76"/>
      <c r="D124" s="69" t="s">
        <v>220</v>
      </c>
      <c r="E124" s="122">
        <v>8.126801038113267E-4</v>
      </c>
      <c r="L124" s="126"/>
    </row>
    <row r="125" spans="2:12">
      <c r="B125" t="s">
        <v>221</v>
      </c>
      <c r="C125" s="75" t="s">
        <v>221</v>
      </c>
      <c r="D125" s="22" t="s">
        <v>114</v>
      </c>
      <c r="E125" s="22">
        <v>3.5780195371867912E-2</v>
      </c>
      <c r="L125" s="126"/>
    </row>
    <row r="126" spans="2:12">
      <c r="C126" s="76"/>
      <c r="D126" s="69" t="s">
        <v>92</v>
      </c>
      <c r="E126" s="122">
        <v>2.8997867092873986E-2</v>
      </c>
      <c r="L126" s="126"/>
    </row>
    <row r="127" spans="2:12">
      <c r="C127" s="104" t="s">
        <v>352</v>
      </c>
      <c r="D127" s="105" t="s">
        <v>353</v>
      </c>
      <c r="E127" s="121">
        <v>3.5780195371867912E-2</v>
      </c>
      <c r="L127" s="126"/>
    </row>
    <row r="128" spans="2:12">
      <c r="B128" s="110" t="s">
        <v>224</v>
      </c>
      <c r="C128" s="75" t="s">
        <v>224</v>
      </c>
      <c r="D128" s="111" t="s">
        <v>118</v>
      </c>
      <c r="E128" s="111">
        <v>0</v>
      </c>
      <c r="L128" s="126"/>
    </row>
    <row r="129" spans="2:12">
      <c r="B129" t="s">
        <v>44</v>
      </c>
      <c r="C129" s="114"/>
      <c r="D129" s="115" t="s">
        <v>223</v>
      </c>
      <c r="E129" s="115">
        <v>0</v>
      </c>
      <c r="L129" s="126"/>
    </row>
    <row r="130" spans="2:12">
      <c r="B130" t="s">
        <v>654</v>
      </c>
      <c r="C130" s="75" t="s">
        <v>654</v>
      </c>
      <c r="D130" s="22" t="s">
        <v>121</v>
      </c>
      <c r="E130" s="22">
        <v>9.6915713315944545E-3</v>
      </c>
      <c r="L130" s="126"/>
    </row>
    <row r="131" spans="2:12">
      <c r="C131" s="76"/>
      <c r="D131" s="69" t="s">
        <v>226</v>
      </c>
      <c r="E131" s="122">
        <v>7.3138502177547268E-3</v>
      </c>
      <c r="L131" s="126"/>
    </row>
    <row r="132" spans="2:12">
      <c r="C132" s="104" t="s">
        <v>445</v>
      </c>
      <c r="D132" s="105" t="s">
        <v>448</v>
      </c>
      <c r="E132" s="121">
        <v>9.6915713315944545E-3</v>
      </c>
      <c r="L132" s="126"/>
    </row>
    <row r="133" spans="2:12">
      <c r="C133" s="104" t="s">
        <v>447</v>
      </c>
      <c r="D133" s="105" t="s">
        <v>446</v>
      </c>
      <c r="E133" s="121"/>
      <c r="L133" s="126"/>
    </row>
    <row r="134" spans="2:12">
      <c r="C134" s="104" t="s">
        <v>449</v>
      </c>
      <c r="D134" s="105" t="s">
        <v>453</v>
      </c>
      <c r="E134" s="121"/>
      <c r="L134" s="126"/>
    </row>
    <row r="135" spans="2:12">
      <c r="C135" s="104" t="s">
        <v>450</v>
      </c>
      <c r="D135" s="105" t="s">
        <v>454</v>
      </c>
      <c r="E135" s="121"/>
      <c r="L135" s="126"/>
    </row>
    <row r="136" spans="2:12">
      <c r="C136" s="104" t="s">
        <v>451</v>
      </c>
      <c r="D136" s="105" t="s">
        <v>455</v>
      </c>
      <c r="E136" s="121"/>
      <c r="L136" s="126"/>
    </row>
    <row r="137" spans="2:12">
      <c r="C137" s="104" t="s">
        <v>452</v>
      </c>
      <c r="D137" s="105" t="s">
        <v>456</v>
      </c>
      <c r="E137" s="121"/>
      <c r="L137" s="126"/>
    </row>
    <row r="138" spans="2:12">
      <c r="C138" s="76"/>
      <c r="D138" s="69" t="s">
        <v>143</v>
      </c>
      <c r="E138" s="122">
        <v>0</v>
      </c>
      <c r="L138" s="126"/>
    </row>
    <row r="139" spans="2:12">
      <c r="B139" t="s">
        <v>653</v>
      </c>
      <c r="C139" s="75" t="s">
        <v>653</v>
      </c>
      <c r="D139" s="22" t="s">
        <v>125</v>
      </c>
      <c r="E139" s="22">
        <v>1.7495911809559998E-2</v>
      </c>
      <c r="L139" s="126"/>
    </row>
    <row r="140" spans="2:12">
      <c r="C140" s="76"/>
      <c r="D140" s="69" t="s">
        <v>229</v>
      </c>
      <c r="E140" s="122">
        <v>1.5271198711917509E-2</v>
      </c>
      <c r="L140" s="126"/>
    </row>
    <row r="141" spans="2:12">
      <c r="C141" s="104">
        <v>27120</v>
      </c>
      <c r="D141" s="105" t="s">
        <v>457</v>
      </c>
      <c r="E141" s="121">
        <v>1.7495911809559998E-2</v>
      </c>
      <c r="L141" s="126"/>
    </row>
    <row r="142" spans="2:12">
      <c r="C142" s="104">
        <v>27130</v>
      </c>
      <c r="D142" s="105" t="s">
        <v>458</v>
      </c>
      <c r="E142" s="121"/>
      <c r="L142" s="126"/>
    </row>
    <row r="143" spans="2:12">
      <c r="C143" s="104">
        <v>27180</v>
      </c>
      <c r="D143" s="105" t="s">
        <v>459</v>
      </c>
      <c r="E143" s="121"/>
      <c r="L143" s="126"/>
    </row>
    <row r="144" spans="2:12">
      <c r="C144" s="104">
        <v>27190</v>
      </c>
      <c r="D144" s="105" t="s">
        <v>460</v>
      </c>
      <c r="E144" s="121"/>
      <c r="L144" s="126"/>
    </row>
    <row r="145" spans="2:12">
      <c r="C145" s="104">
        <v>27911</v>
      </c>
      <c r="D145" s="105" t="s">
        <v>461</v>
      </c>
      <c r="E145" s="121"/>
      <c r="L145" s="126"/>
    </row>
    <row r="146" spans="2:12">
      <c r="B146" t="s">
        <v>652</v>
      </c>
      <c r="C146" s="75" t="s">
        <v>652</v>
      </c>
      <c r="D146" s="22" t="s">
        <v>130</v>
      </c>
      <c r="E146" s="22">
        <v>7.4016013341246634E-2</v>
      </c>
      <c r="L146" s="126"/>
    </row>
    <row r="147" spans="2:12">
      <c r="C147" s="76"/>
      <c r="D147" s="69" t="s">
        <v>232</v>
      </c>
      <c r="E147" s="122">
        <v>4.7773219783318562E-2</v>
      </c>
      <c r="L147" s="126"/>
    </row>
    <row r="148" spans="2:12">
      <c r="C148" s="104" t="s">
        <v>462</v>
      </c>
      <c r="D148" s="105" t="s">
        <v>470</v>
      </c>
      <c r="E148" s="121">
        <v>4.9280324897315236E-2</v>
      </c>
      <c r="L148" s="126"/>
    </row>
    <row r="149" spans="2:12">
      <c r="C149" s="104" t="s">
        <v>463</v>
      </c>
      <c r="D149" s="105" t="s">
        <v>471</v>
      </c>
      <c r="E149" s="121"/>
      <c r="L149" s="126"/>
    </row>
    <row r="150" spans="2:12">
      <c r="C150" s="104" t="s">
        <v>464</v>
      </c>
      <c r="D150" s="105" t="s">
        <v>472</v>
      </c>
      <c r="E150" s="121"/>
      <c r="L150" s="126"/>
    </row>
    <row r="151" spans="2:12">
      <c r="C151" s="104" t="s">
        <v>465</v>
      </c>
      <c r="D151" s="105" t="s">
        <v>473</v>
      </c>
      <c r="E151" s="121"/>
      <c r="L151" s="126"/>
    </row>
    <row r="152" spans="2:12">
      <c r="C152" s="104" t="s">
        <v>466</v>
      </c>
      <c r="D152" s="105" t="s">
        <v>474</v>
      </c>
      <c r="E152" s="121"/>
      <c r="L152" s="126"/>
    </row>
    <row r="153" spans="2:12">
      <c r="C153" s="104" t="s">
        <v>467</v>
      </c>
      <c r="D153" s="105" t="s">
        <v>475</v>
      </c>
      <c r="E153" s="121"/>
      <c r="L153" s="126"/>
    </row>
    <row r="154" spans="2:12">
      <c r="C154" s="104" t="s">
        <v>468</v>
      </c>
      <c r="D154" s="105" t="s">
        <v>476</v>
      </c>
      <c r="E154" s="121"/>
      <c r="L154" s="126"/>
    </row>
    <row r="155" spans="2:12">
      <c r="C155" s="104" t="s">
        <v>469</v>
      </c>
      <c r="D155" s="105" t="s">
        <v>477</v>
      </c>
      <c r="E155" s="121"/>
      <c r="L155" s="126"/>
    </row>
    <row r="156" spans="2:12">
      <c r="C156" s="76"/>
      <c r="D156" s="69" t="s">
        <v>143</v>
      </c>
      <c r="E156" s="122">
        <v>2.3979214483385157E-2</v>
      </c>
      <c r="L156" s="126"/>
    </row>
    <row r="157" spans="2:12">
      <c r="C157" s="127" t="s">
        <v>478</v>
      </c>
      <c r="D157" s="128" t="s">
        <v>480</v>
      </c>
      <c r="E157" s="129">
        <v>2.4735688443931394E-2</v>
      </c>
      <c r="L157" s="126"/>
    </row>
    <row r="158" spans="2:12">
      <c r="C158" s="127" t="s">
        <v>479</v>
      </c>
      <c r="D158" s="128" t="s">
        <v>481</v>
      </c>
      <c r="E158" s="129"/>
      <c r="L158" s="126"/>
    </row>
    <row r="159" spans="2:12">
      <c r="B159" s="110" t="s">
        <v>687</v>
      </c>
      <c r="C159" s="75" t="s">
        <v>664</v>
      </c>
      <c r="D159" s="111" t="s">
        <v>132</v>
      </c>
      <c r="E159" s="111">
        <v>0</v>
      </c>
      <c r="L159" s="126"/>
    </row>
    <row r="160" spans="2:12">
      <c r="C160" s="76"/>
      <c r="D160" s="69" t="s">
        <v>240</v>
      </c>
      <c r="E160" s="122">
        <v>0</v>
      </c>
      <c r="L160" s="126"/>
    </row>
    <row r="161" spans="2:12">
      <c r="C161" s="112" t="s">
        <v>485</v>
      </c>
      <c r="D161" s="113" t="s">
        <v>482</v>
      </c>
      <c r="E161" s="113" t="e">
        <v>#DIV/0!</v>
      </c>
      <c r="L161" s="126"/>
    </row>
    <row r="162" spans="2:12">
      <c r="C162" s="76"/>
      <c r="D162" s="69" t="s">
        <v>243</v>
      </c>
      <c r="E162" s="122">
        <v>0</v>
      </c>
      <c r="L162" s="126"/>
    </row>
    <row r="163" spans="2:12">
      <c r="C163" s="112" t="s">
        <v>483</v>
      </c>
      <c r="D163" s="113" t="s">
        <v>486</v>
      </c>
      <c r="E163" s="113" t="e">
        <v>#DIV/0!</v>
      </c>
      <c r="L163" s="126"/>
    </row>
    <row r="164" spans="2:12">
      <c r="C164" s="112" t="s">
        <v>484</v>
      </c>
      <c r="D164" s="113" t="s">
        <v>487</v>
      </c>
      <c r="E164" s="113"/>
      <c r="L164" s="126"/>
    </row>
    <row r="165" spans="2:12">
      <c r="B165" t="s">
        <v>246</v>
      </c>
      <c r="C165" s="75" t="s">
        <v>246</v>
      </c>
      <c r="D165" s="22" t="s">
        <v>134</v>
      </c>
      <c r="E165" s="22">
        <v>9.9406826360536049E-3</v>
      </c>
      <c r="L165" s="126"/>
    </row>
    <row r="166" spans="2:12">
      <c r="C166" s="76"/>
      <c r="D166" s="69" t="s">
        <v>245</v>
      </c>
      <c r="E166" s="122">
        <v>8.7743866735966562E-3</v>
      </c>
      <c r="L166" s="126"/>
    </row>
    <row r="167" spans="2:12">
      <c r="C167" s="104" t="s">
        <v>488</v>
      </c>
      <c r="D167" s="105" t="s">
        <v>492</v>
      </c>
      <c r="E167" s="121">
        <v>9.9406826360536049E-3</v>
      </c>
      <c r="L167" s="126"/>
    </row>
    <row r="168" spans="2:12">
      <c r="C168" s="104" t="s">
        <v>489</v>
      </c>
      <c r="D168" s="105" t="s">
        <v>493</v>
      </c>
      <c r="E168" s="121"/>
      <c r="L168" s="126"/>
    </row>
    <row r="169" spans="2:12">
      <c r="C169" s="104" t="s">
        <v>490</v>
      </c>
      <c r="D169" s="105" t="s">
        <v>494</v>
      </c>
      <c r="E169" s="121"/>
      <c r="L169" s="126"/>
    </row>
    <row r="170" spans="2:12">
      <c r="C170" s="104" t="s">
        <v>491</v>
      </c>
      <c r="D170" s="105" t="s">
        <v>495</v>
      </c>
      <c r="E170" s="121"/>
      <c r="L170" s="126"/>
    </row>
    <row r="171" spans="2:12">
      <c r="B171" t="s">
        <v>249</v>
      </c>
      <c r="C171" s="75" t="s">
        <v>249</v>
      </c>
      <c r="D171" s="22" t="s">
        <v>139</v>
      </c>
      <c r="E171" s="22">
        <v>1.1710182459565149E-2</v>
      </c>
      <c r="L171" s="126"/>
    </row>
    <row r="172" spans="2:12">
      <c r="C172" s="76"/>
      <c r="D172" s="69" t="s">
        <v>248</v>
      </c>
      <c r="E172" s="122">
        <v>1.1554064647809894E-2</v>
      </c>
      <c r="L172" s="126"/>
    </row>
    <row r="173" spans="2:12">
      <c r="C173" s="104" t="s">
        <v>496</v>
      </c>
      <c r="D173" s="105" t="s">
        <v>499</v>
      </c>
      <c r="E173" s="121">
        <v>1.1710182459565149E-2</v>
      </c>
      <c r="L173" s="126"/>
    </row>
    <row r="174" spans="2:12">
      <c r="C174" s="104" t="s">
        <v>497</v>
      </c>
      <c r="D174" s="105" t="s">
        <v>500</v>
      </c>
      <c r="E174" s="121"/>
      <c r="L174" s="126"/>
    </row>
    <row r="175" spans="2:12">
      <c r="C175" s="104" t="s">
        <v>498</v>
      </c>
      <c r="D175" s="105" t="s">
        <v>501</v>
      </c>
      <c r="E175" s="121"/>
      <c r="L175" s="126"/>
    </row>
    <row r="176" spans="2:12">
      <c r="B176" t="s">
        <v>670</v>
      </c>
      <c r="C176" s="75" t="s">
        <v>252</v>
      </c>
      <c r="D176" s="22" t="s">
        <v>141</v>
      </c>
      <c r="E176" s="22">
        <v>7.7353773023729686E-3</v>
      </c>
      <c r="L176" s="126"/>
    </row>
    <row r="177" spans="2:12">
      <c r="C177" s="76"/>
      <c r="D177" s="69" t="s">
        <v>251</v>
      </c>
      <c r="E177" s="122">
        <v>7.4644058137639472E-3</v>
      </c>
      <c r="L177" s="126"/>
    </row>
    <row r="178" spans="2:12">
      <c r="C178" s="104">
        <v>31420</v>
      </c>
      <c r="D178" s="105" t="s">
        <v>505</v>
      </c>
      <c r="E178" s="121">
        <v>7.7353773023729686E-3</v>
      </c>
      <c r="L178" s="126"/>
    </row>
    <row r="179" spans="2:12">
      <c r="C179" s="104" t="s">
        <v>502</v>
      </c>
      <c r="D179" s="105" t="s">
        <v>506</v>
      </c>
      <c r="E179" s="121"/>
      <c r="L179" s="126"/>
    </row>
    <row r="180" spans="2:12">
      <c r="C180" s="104" t="s">
        <v>504</v>
      </c>
      <c r="D180" s="105" t="s">
        <v>507</v>
      </c>
      <c r="E180" s="121"/>
      <c r="L180" s="126"/>
    </row>
    <row r="181" spans="2:12">
      <c r="C181" s="104" t="s">
        <v>503</v>
      </c>
      <c r="D181" s="105" t="s">
        <v>508</v>
      </c>
      <c r="E181" s="121"/>
      <c r="L181" s="126"/>
    </row>
    <row r="182" spans="2:12">
      <c r="B182" t="s">
        <v>671</v>
      </c>
      <c r="C182" s="75" t="s">
        <v>255</v>
      </c>
      <c r="D182" s="22" t="s">
        <v>145</v>
      </c>
      <c r="E182" s="22">
        <v>2.494571637457698E-2</v>
      </c>
    </row>
    <row r="183" spans="2:12">
      <c r="C183" s="76"/>
      <c r="D183" s="69" t="s">
        <v>254</v>
      </c>
      <c r="E183" s="122">
        <v>1.3741011014458406E-2</v>
      </c>
    </row>
    <row r="184" spans="2:12">
      <c r="C184" s="104" t="s">
        <v>509</v>
      </c>
      <c r="D184" s="105" t="s">
        <v>512</v>
      </c>
      <c r="E184" s="121">
        <v>1.404884945200306E-2</v>
      </c>
    </row>
    <row r="185" spans="2:12">
      <c r="C185" s="76"/>
      <c r="D185" s="69" t="s">
        <v>257</v>
      </c>
      <c r="E185" s="122">
        <v>1.0658094737062394E-2</v>
      </c>
    </row>
    <row r="186" spans="2:12">
      <c r="C186" s="104" t="s">
        <v>513</v>
      </c>
      <c r="D186" s="105" t="s">
        <v>514</v>
      </c>
      <c r="E186" s="121">
        <v>1.089686692257392E-2</v>
      </c>
    </row>
    <row r="187" spans="2:12">
      <c r="C187" s="104" t="s">
        <v>510</v>
      </c>
      <c r="D187" s="105" t="s">
        <v>511</v>
      </c>
      <c r="E187" s="121"/>
    </row>
    <row r="188" spans="2:12">
      <c r="B188" t="s">
        <v>672</v>
      </c>
      <c r="C188" s="75" t="s">
        <v>260</v>
      </c>
      <c r="D188" s="22" t="s">
        <v>148</v>
      </c>
      <c r="E188" s="22">
        <v>9.35363244011694E-3</v>
      </c>
    </row>
    <row r="189" spans="2:12">
      <c r="C189" s="76"/>
      <c r="D189" s="69" t="s">
        <v>259</v>
      </c>
      <c r="E189" s="122">
        <v>7.8691735587528774E-3</v>
      </c>
    </row>
    <row r="190" spans="2:12">
      <c r="C190" s="104" t="s">
        <v>515</v>
      </c>
      <c r="D190" s="105" t="s">
        <v>516</v>
      </c>
      <c r="E190" s="121">
        <v>9.35363244011694E-3</v>
      </c>
    </row>
    <row r="191" spans="2:12">
      <c r="B191" s="110" t="s">
        <v>673</v>
      </c>
      <c r="C191" s="75" t="s">
        <v>263</v>
      </c>
      <c r="D191" s="111" t="s">
        <v>152</v>
      </c>
      <c r="E191" s="111">
        <v>0</v>
      </c>
    </row>
    <row r="192" spans="2:12">
      <c r="C192" s="118"/>
      <c r="D192" s="119" t="s">
        <v>262</v>
      </c>
      <c r="E192" s="119">
        <v>0</v>
      </c>
    </row>
    <row r="193" spans="2:5">
      <c r="B193" t="s">
        <v>655</v>
      </c>
      <c r="C193" s="75" t="s">
        <v>655</v>
      </c>
      <c r="D193" s="22" t="s">
        <v>157</v>
      </c>
      <c r="E193" s="22">
        <v>6.545388831282163E-3</v>
      </c>
    </row>
    <row r="194" spans="2:5">
      <c r="C194" s="76"/>
      <c r="D194" s="69" t="s">
        <v>265</v>
      </c>
      <c r="E194" s="122">
        <v>5.2657553160516792E-3</v>
      </c>
    </row>
    <row r="195" spans="2:5">
      <c r="C195" s="127" t="s">
        <v>517</v>
      </c>
      <c r="D195" s="128" t="s">
        <v>518</v>
      </c>
      <c r="E195" s="129">
        <v>5.2875760581838262E-3</v>
      </c>
    </row>
    <row r="196" spans="2:5">
      <c r="C196" s="76"/>
      <c r="D196" s="69" t="s">
        <v>201</v>
      </c>
      <c r="E196" s="122">
        <v>1.2526220377083806E-3</v>
      </c>
    </row>
    <row r="197" spans="2:5">
      <c r="C197" s="104" t="s">
        <v>439</v>
      </c>
      <c r="D197" s="105" t="s">
        <v>440</v>
      </c>
      <c r="E197" s="121">
        <v>1.2578127730983367E-3</v>
      </c>
    </row>
    <row r="198" spans="2:5">
      <c r="B198" t="s">
        <v>674</v>
      </c>
      <c r="C198" s="75" t="s">
        <v>269</v>
      </c>
      <c r="D198" s="22" t="s">
        <v>159</v>
      </c>
      <c r="E198" s="22">
        <v>3.1331779842237006E-2</v>
      </c>
    </row>
    <row r="199" spans="2:5">
      <c r="C199" s="76"/>
      <c r="D199" s="69" t="s">
        <v>268</v>
      </c>
      <c r="E199" s="122">
        <v>3.0436078477967875E-2</v>
      </c>
    </row>
    <row r="200" spans="2:5">
      <c r="C200" s="104" t="s">
        <v>523</v>
      </c>
      <c r="D200" s="105" t="s">
        <v>524</v>
      </c>
      <c r="E200" s="121">
        <v>3.1331779842237006E-2</v>
      </c>
    </row>
    <row r="201" spans="2:5">
      <c r="C201" s="104" t="s">
        <v>525</v>
      </c>
      <c r="D201" s="105" t="s">
        <v>530</v>
      </c>
      <c r="E201" s="121"/>
    </row>
    <row r="202" spans="2:5">
      <c r="C202" s="104" t="s">
        <v>520</v>
      </c>
      <c r="D202" s="105" t="s">
        <v>522</v>
      </c>
      <c r="E202" s="121"/>
    </row>
    <row r="203" spans="2:5">
      <c r="C203" s="104" t="s">
        <v>519</v>
      </c>
      <c r="D203" s="105" t="s">
        <v>521</v>
      </c>
      <c r="E203" s="121"/>
    </row>
    <row r="204" spans="2:5">
      <c r="C204" s="104" t="s">
        <v>526</v>
      </c>
      <c r="D204" s="105" t="s">
        <v>529</v>
      </c>
      <c r="E204" s="121"/>
    </row>
    <row r="205" spans="2:5">
      <c r="C205" s="104" t="s">
        <v>527</v>
      </c>
      <c r="D205" s="105" t="s">
        <v>528</v>
      </c>
      <c r="E205" s="121"/>
    </row>
    <row r="206" spans="2:5">
      <c r="B206" s="110" t="s">
        <v>270</v>
      </c>
      <c r="C206" s="75" t="s">
        <v>270</v>
      </c>
      <c r="D206" s="111" t="s">
        <v>163</v>
      </c>
      <c r="E206" s="111">
        <v>0</v>
      </c>
    </row>
    <row r="207" spans="2:5">
      <c r="C207" s="118"/>
      <c r="D207" s="119" t="s">
        <v>262</v>
      </c>
      <c r="E207" s="119">
        <v>0</v>
      </c>
    </row>
    <row r="208" spans="2:5">
      <c r="B208" t="s">
        <v>273</v>
      </c>
      <c r="C208" s="75" t="s">
        <v>273</v>
      </c>
      <c r="D208" s="22" t="s">
        <v>166</v>
      </c>
      <c r="E208" s="22">
        <v>6.1693446319443738E-3</v>
      </c>
    </row>
    <row r="209" spans="2:5">
      <c r="C209" s="76"/>
      <c r="D209" s="69" t="s">
        <v>272</v>
      </c>
      <c r="E209" s="122">
        <v>6.0052972053595477E-3</v>
      </c>
    </row>
    <row r="210" spans="2:5">
      <c r="C210" s="104" t="s">
        <v>531</v>
      </c>
      <c r="D210" s="105" t="s">
        <v>532</v>
      </c>
      <c r="E210" s="121">
        <v>6.1693446319443738E-3</v>
      </c>
    </row>
    <row r="211" spans="2:5">
      <c r="B211" t="s">
        <v>276</v>
      </c>
      <c r="C211" s="75" t="s">
        <v>276</v>
      </c>
      <c r="D211" s="22" t="s">
        <v>170</v>
      </c>
      <c r="E211" s="22">
        <v>2.6844378501225379E-2</v>
      </c>
    </row>
    <row r="212" spans="2:5">
      <c r="C212" s="76"/>
      <c r="D212" s="69" t="s">
        <v>275</v>
      </c>
      <c r="E212" s="122">
        <v>2.6214743074517589E-2</v>
      </c>
    </row>
    <row r="213" spans="2:5">
      <c r="C213" s="104" t="s">
        <v>533</v>
      </c>
      <c r="D213" s="105" t="s">
        <v>534</v>
      </c>
      <c r="E213" s="121">
        <v>2.6844378501225379E-2</v>
      </c>
    </row>
    <row r="214" spans="2:5">
      <c r="C214" s="104" t="s">
        <v>535</v>
      </c>
      <c r="D214" s="105" t="s">
        <v>536</v>
      </c>
      <c r="E214" s="121"/>
    </row>
    <row r="215" spans="2:5">
      <c r="C215" s="104" t="s">
        <v>537</v>
      </c>
      <c r="D215" s="105" t="s">
        <v>538</v>
      </c>
      <c r="E215" s="121"/>
    </row>
    <row r="216" spans="2:5">
      <c r="B216" t="s">
        <v>655</v>
      </c>
      <c r="C216" s="75" t="s">
        <v>655</v>
      </c>
      <c r="D216" s="22" t="s">
        <v>173</v>
      </c>
      <c r="E216" s="22">
        <v>1.2168135774971984E-2</v>
      </c>
    </row>
    <row r="217" spans="2:5">
      <c r="C217" s="76"/>
      <c r="D217" s="69" t="s">
        <v>278</v>
      </c>
      <c r="E217" s="122">
        <v>6.844228982064232E-3</v>
      </c>
    </row>
    <row r="218" spans="2:5">
      <c r="C218" s="104" t="s">
        <v>539</v>
      </c>
      <c r="D218" s="105" t="s">
        <v>546</v>
      </c>
      <c r="E218" s="121">
        <v>8.1563677436482223E-3</v>
      </c>
    </row>
    <row r="219" spans="2:5">
      <c r="C219" s="104" t="s">
        <v>540</v>
      </c>
      <c r="D219" s="105" t="s">
        <v>547</v>
      </c>
      <c r="E219" s="121"/>
    </row>
    <row r="220" spans="2:5">
      <c r="C220" s="104" t="s">
        <v>541</v>
      </c>
      <c r="D220" s="105" t="s">
        <v>548</v>
      </c>
      <c r="E220" s="121"/>
    </row>
    <row r="221" spans="2:5">
      <c r="C221" s="104" t="s">
        <v>542</v>
      </c>
      <c r="D221" s="105" t="s">
        <v>544</v>
      </c>
      <c r="E221" s="121"/>
    </row>
    <row r="222" spans="2:5">
      <c r="C222" s="104" t="s">
        <v>543</v>
      </c>
      <c r="D222" s="105" t="s">
        <v>545</v>
      </c>
      <c r="E222" s="121"/>
    </row>
    <row r="223" spans="2:5">
      <c r="C223" s="76"/>
      <c r="D223" s="69" t="s">
        <v>281</v>
      </c>
      <c r="E223" s="122">
        <v>3.3663831612653033E-3</v>
      </c>
    </row>
    <row r="224" spans="2:5">
      <c r="C224" s="104" t="s">
        <v>549</v>
      </c>
      <c r="D224" s="105" t="s">
        <v>553</v>
      </c>
      <c r="E224" s="121">
        <v>4.0117680313237611E-3</v>
      </c>
    </row>
    <row r="225" spans="2:5">
      <c r="C225" s="104" t="s">
        <v>550</v>
      </c>
      <c r="D225" s="105" t="s">
        <v>554</v>
      </c>
      <c r="E225" s="121"/>
    </row>
    <row r="226" spans="2:5">
      <c r="C226" s="104" t="s">
        <v>551</v>
      </c>
      <c r="D226" s="105" t="s">
        <v>555</v>
      </c>
      <c r="E226" s="121"/>
    </row>
    <row r="227" spans="2:5">
      <c r="C227" s="104" t="s">
        <v>552</v>
      </c>
      <c r="D227" s="105" t="s">
        <v>556</v>
      </c>
      <c r="E227" s="121"/>
    </row>
    <row r="228" spans="2:5">
      <c r="B228" t="s">
        <v>284</v>
      </c>
      <c r="C228" s="75" t="s">
        <v>284</v>
      </c>
      <c r="D228" s="22" t="s">
        <v>177</v>
      </c>
      <c r="E228" s="22">
        <v>2.1128605704991293E-2</v>
      </c>
    </row>
    <row r="229" spans="2:5">
      <c r="C229" s="76"/>
      <c r="D229" s="69" t="s">
        <v>283</v>
      </c>
      <c r="E229" s="122">
        <v>1.6978918658746577E-2</v>
      </c>
    </row>
    <row r="230" spans="2:5">
      <c r="C230" s="104" t="s">
        <v>557</v>
      </c>
      <c r="D230" s="105" t="s">
        <v>559</v>
      </c>
      <c r="E230" s="121">
        <v>2.1128605704991293E-2</v>
      </c>
    </row>
    <row r="231" spans="2:5">
      <c r="C231" s="104" t="s">
        <v>558</v>
      </c>
      <c r="D231" s="105" t="s">
        <v>560</v>
      </c>
      <c r="E231" s="121"/>
    </row>
    <row r="232" spans="2:5">
      <c r="C232" s="76"/>
      <c r="D232" s="69" t="s">
        <v>268</v>
      </c>
      <c r="E232" s="122">
        <v>2.3566845475099358E-3</v>
      </c>
    </row>
    <row r="233" spans="2:5">
      <c r="B233" s="110" t="s">
        <v>675</v>
      </c>
      <c r="C233" s="75" t="s">
        <v>287</v>
      </c>
      <c r="D233" s="111" t="s">
        <v>180</v>
      </c>
      <c r="E233" s="111">
        <v>0</v>
      </c>
    </row>
    <row r="234" spans="2:5">
      <c r="C234" s="76"/>
      <c r="D234" s="69" t="s">
        <v>286</v>
      </c>
      <c r="E234" s="122">
        <v>0</v>
      </c>
    </row>
    <row r="235" spans="2:5">
      <c r="C235" s="112" t="s">
        <v>561</v>
      </c>
      <c r="D235" s="113" t="s">
        <v>564</v>
      </c>
      <c r="E235" s="113" t="e">
        <v>#DIV/0!</v>
      </c>
    </row>
    <row r="236" spans="2:5">
      <c r="C236" s="112" t="s">
        <v>562</v>
      </c>
      <c r="D236" s="113" t="s">
        <v>565</v>
      </c>
      <c r="E236" s="113"/>
    </row>
    <row r="237" spans="2:5">
      <c r="C237" s="112" t="s">
        <v>563</v>
      </c>
      <c r="D237" s="113" t="s">
        <v>566</v>
      </c>
      <c r="E237" s="113"/>
    </row>
    <row r="238" spans="2:5">
      <c r="B238" t="s">
        <v>290</v>
      </c>
      <c r="C238" s="75" t="s">
        <v>290</v>
      </c>
      <c r="D238" s="22" t="s">
        <v>184</v>
      </c>
      <c r="E238" s="22">
        <v>6.0523013895826434E-2</v>
      </c>
    </row>
    <row r="239" spans="2:5">
      <c r="C239" s="76"/>
      <c r="D239" s="69" t="s">
        <v>289</v>
      </c>
      <c r="E239" s="122">
        <v>5.726592523346815E-2</v>
      </c>
    </row>
    <row r="240" spans="2:5">
      <c r="C240" s="104" t="s">
        <v>567</v>
      </c>
      <c r="D240" s="105" t="s">
        <v>574</v>
      </c>
      <c r="E240" s="121">
        <v>6.0523013895826434E-2</v>
      </c>
    </row>
    <row r="241" spans="2:5">
      <c r="C241" s="104" t="s">
        <v>568</v>
      </c>
      <c r="D241" s="105" t="s">
        <v>575</v>
      </c>
      <c r="E241" s="121"/>
    </row>
    <row r="242" spans="2:5">
      <c r="C242" s="104" t="s">
        <v>569</v>
      </c>
      <c r="D242" s="105" t="s">
        <v>576</v>
      </c>
      <c r="E242" s="121"/>
    </row>
    <row r="243" spans="2:5">
      <c r="C243" s="104" t="s">
        <v>570</v>
      </c>
      <c r="D243" s="105" t="s">
        <v>577</v>
      </c>
      <c r="E243" s="121"/>
    </row>
    <row r="244" spans="2:5">
      <c r="C244" s="104" t="s">
        <v>571</v>
      </c>
      <c r="D244" s="105" t="s">
        <v>578</v>
      </c>
      <c r="E244" s="121"/>
    </row>
    <row r="245" spans="2:5">
      <c r="C245" s="104" t="s">
        <v>572</v>
      </c>
      <c r="D245" s="105" t="s">
        <v>579</v>
      </c>
      <c r="E245" s="121"/>
    </row>
    <row r="246" spans="2:5">
      <c r="C246" s="104" t="s">
        <v>573</v>
      </c>
      <c r="D246" s="105" t="s">
        <v>580</v>
      </c>
      <c r="E246" s="121"/>
    </row>
    <row r="247" spans="2:5">
      <c r="B247" t="s">
        <v>293</v>
      </c>
      <c r="C247" s="75" t="s">
        <v>293</v>
      </c>
      <c r="D247" s="22" t="s">
        <v>187</v>
      </c>
      <c r="E247" s="22">
        <v>4.8120213349284553E-3</v>
      </c>
    </row>
    <row r="248" spans="2:5">
      <c r="C248" s="76"/>
      <c r="D248" s="69" t="s">
        <v>292</v>
      </c>
      <c r="E248" s="122">
        <v>4.7347522027340397E-3</v>
      </c>
    </row>
    <row r="249" spans="2:5">
      <c r="C249" s="104" t="s">
        <v>581</v>
      </c>
      <c r="D249" s="105" t="s">
        <v>583</v>
      </c>
      <c r="E249" s="121">
        <v>4.8120213349284553E-3</v>
      </c>
    </row>
    <row r="250" spans="2:5">
      <c r="C250" s="104" t="s">
        <v>582</v>
      </c>
      <c r="D250" s="105" t="s">
        <v>584</v>
      </c>
      <c r="E250" s="121"/>
    </row>
    <row r="251" spans="2:5">
      <c r="B251" t="s">
        <v>676</v>
      </c>
      <c r="C251" s="75" t="s">
        <v>296</v>
      </c>
      <c r="D251" s="22" t="s">
        <v>189</v>
      </c>
      <c r="E251" s="22">
        <v>1.063509792232098E-2</v>
      </c>
    </row>
    <row r="252" spans="2:5">
      <c r="C252" s="76"/>
      <c r="D252" s="69" t="s">
        <v>295</v>
      </c>
      <c r="E252" s="122">
        <v>8.1927736114977036E-3</v>
      </c>
    </row>
    <row r="253" spans="2:5">
      <c r="C253" s="104" t="s">
        <v>585</v>
      </c>
      <c r="D253" s="105" t="s">
        <v>587</v>
      </c>
      <c r="E253" s="121">
        <v>8.2782401272541179E-3</v>
      </c>
    </row>
    <row r="254" spans="2:5">
      <c r="C254" s="104" t="s">
        <v>586</v>
      </c>
      <c r="D254" s="105" t="s">
        <v>588</v>
      </c>
      <c r="E254" s="121"/>
    </row>
    <row r="255" spans="2:5">
      <c r="C255" s="76"/>
      <c r="D255" s="69" t="s">
        <v>298</v>
      </c>
      <c r="E255" s="122">
        <v>2.3325250358352781E-3</v>
      </c>
    </row>
    <row r="256" spans="2:5">
      <c r="C256" s="104" t="s">
        <v>589</v>
      </c>
      <c r="D256" s="105" t="s">
        <v>590</v>
      </c>
      <c r="E256" s="121">
        <v>2.3568577950668621E-3</v>
      </c>
    </row>
    <row r="257" spans="2:5">
      <c r="B257" t="s">
        <v>301</v>
      </c>
      <c r="C257" s="75" t="s">
        <v>301</v>
      </c>
      <c r="D257" s="22" t="s">
        <v>192</v>
      </c>
      <c r="E257" s="22">
        <v>4.3354474434690947E-2</v>
      </c>
    </row>
    <row r="258" spans="2:5">
      <c r="C258" s="76"/>
      <c r="D258" s="69" t="s">
        <v>300</v>
      </c>
      <c r="E258" s="122">
        <v>4.2296285646061131E-2</v>
      </c>
    </row>
    <row r="259" spans="2:5">
      <c r="C259" s="104" t="s">
        <v>591</v>
      </c>
      <c r="D259" s="105" t="s">
        <v>592</v>
      </c>
      <c r="E259" s="121">
        <v>4.3354474434690947E-2</v>
      </c>
    </row>
    <row r="260" spans="2:5">
      <c r="B260" t="s">
        <v>304</v>
      </c>
      <c r="C260" s="75" t="s">
        <v>296</v>
      </c>
      <c r="D260" s="22" t="s">
        <v>196</v>
      </c>
      <c r="E260" s="22">
        <v>9.2117915645770383E-3</v>
      </c>
    </row>
    <row r="261" spans="2:5">
      <c r="C261" s="76"/>
      <c r="D261" s="69" t="s">
        <v>303</v>
      </c>
      <c r="E261" s="122">
        <v>9.0723777477771869E-3</v>
      </c>
    </row>
    <row r="262" spans="2:5">
      <c r="C262" s="104" t="s">
        <v>593</v>
      </c>
      <c r="D262" s="105" t="s">
        <v>595</v>
      </c>
      <c r="E262" s="121">
        <v>9.2117915645770383E-3</v>
      </c>
    </row>
    <row r="263" spans="2:5">
      <c r="C263" s="104" t="s">
        <v>594</v>
      </c>
      <c r="D263" s="105" t="s">
        <v>596</v>
      </c>
      <c r="E263" s="121"/>
    </row>
    <row r="264" spans="2:5">
      <c r="B264" s="110" t="s">
        <v>677</v>
      </c>
      <c r="C264" s="75" t="s">
        <v>307</v>
      </c>
      <c r="D264" s="111" t="s">
        <v>199</v>
      </c>
      <c r="E264" s="111">
        <v>0</v>
      </c>
    </row>
    <row r="265" spans="2:5">
      <c r="C265" s="76"/>
      <c r="D265" s="69" t="s">
        <v>306</v>
      </c>
      <c r="E265" s="122">
        <v>0</v>
      </c>
    </row>
    <row r="266" spans="2:5">
      <c r="C266" s="116" t="s">
        <v>597</v>
      </c>
      <c r="D266" s="117" t="s">
        <v>599</v>
      </c>
      <c r="E266" s="117" t="e">
        <v>#DIV/0!</v>
      </c>
    </row>
    <row r="267" spans="2:5">
      <c r="C267" s="116" t="s">
        <v>598</v>
      </c>
      <c r="D267" s="117" t="s">
        <v>600</v>
      </c>
      <c r="E267" s="117"/>
    </row>
    <row r="268" spans="2:5">
      <c r="B268" t="s">
        <v>678</v>
      </c>
      <c r="C268" s="75" t="s">
        <v>310</v>
      </c>
      <c r="D268" s="22" t="s">
        <v>203</v>
      </c>
      <c r="E268" s="22">
        <v>5.1480654636354282E-2</v>
      </c>
    </row>
    <row r="269" spans="2:5">
      <c r="C269" s="76"/>
      <c r="D269" s="69" t="s">
        <v>309</v>
      </c>
      <c r="E269" s="122">
        <v>4.8797084417030449E-2</v>
      </c>
    </row>
    <row r="270" spans="2:5">
      <c r="C270" s="104" t="s">
        <v>601</v>
      </c>
      <c r="D270" s="105" t="s">
        <v>608</v>
      </c>
      <c r="E270" s="121">
        <v>5.1480654636354282E-2</v>
      </c>
    </row>
    <row r="271" spans="2:5">
      <c r="C271" s="104" t="s">
        <v>602</v>
      </c>
      <c r="D271" s="105" t="s">
        <v>609</v>
      </c>
      <c r="E271" s="121"/>
    </row>
    <row r="272" spans="2:5">
      <c r="C272" s="104" t="s">
        <v>603</v>
      </c>
      <c r="D272" s="105" t="s">
        <v>610</v>
      </c>
      <c r="E272" s="121"/>
    </row>
    <row r="273" spans="2:5">
      <c r="C273" s="104" t="s">
        <v>604</v>
      </c>
      <c r="D273" s="105" t="s">
        <v>611</v>
      </c>
      <c r="E273" s="121"/>
    </row>
    <row r="274" spans="2:5">
      <c r="C274" s="104" t="s">
        <v>605</v>
      </c>
      <c r="D274" s="105" t="s">
        <v>612</v>
      </c>
      <c r="E274" s="121"/>
    </row>
    <row r="275" spans="2:5">
      <c r="C275" s="104" t="s">
        <v>606</v>
      </c>
      <c r="D275" s="105" t="s">
        <v>613</v>
      </c>
      <c r="E275" s="121"/>
    </row>
    <row r="276" spans="2:5">
      <c r="C276" s="104" t="s">
        <v>607</v>
      </c>
      <c r="D276" s="105" t="s">
        <v>614</v>
      </c>
      <c r="E276" s="121"/>
    </row>
    <row r="277" spans="2:5">
      <c r="B277" t="s">
        <v>679</v>
      </c>
      <c r="C277" s="75" t="s">
        <v>313</v>
      </c>
      <c r="D277" s="22" t="s">
        <v>206</v>
      </c>
      <c r="E277" s="22">
        <v>1.4180043508282966E-2</v>
      </c>
    </row>
    <row r="278" spans="2:5">
      <c r="C278" s="76"/>
      <c r="D278" s="69" t="s">
        <v>312</v>
      </c>
      <c r="E278" s="122">
        <v>8.8286482875252724E-3</v>
      </c>
    </row>
    <row r="279" spans="2:5">
      <c r="C279" s="104" t="s">
        <v>615</v>
      </c>
      <c r="D279" s="105" t="s">
        <v>620</v>
      </c>
      <c r="E279" s="121">
        <v>9.2114830797715552E-3</v>
      </c>
    </row>
    <row r="280" spans="2:5">
      <c r="C280" s="104" t="s">
        <v>616</v>
      </c>
      <c r="D280" s="105" t="s">
        <v>621</v>
      </c>
      <c r="E280" s="121"/>
    </row>
    <row r="281" spans="2:5">
      <c r="C281" s="104" t="s">
        <v>617</v>
      </c>
      <c r="D281" s="105" t="s">
        <v>622</v>
      </c>
      <c r="E281" s="121"/>
    </row>
    <row r="282" spans="2:5">
      <c r="C282" s="104" t="s">
        <v>618</v>
      </c>
      <c r="D282" s="105" t="s">
        <v>623</v>
      </c>
      <c r="E282" s="121"/>
    </row>
    <row r="283" spans="2:5">
      <c r="C283" s="104" t="s">
        <v>619</v>
      </c>
      <c r="D283" s="105" t="s">
        <v>624</v>
      </c>
      <c r="E283" s="121"/>
    </row>
    <row r="284" spans="2:5">
      <c r="C284" s="76"/>
      <c r="D284" s="69" t="s">
        <v>315</v>
      </c>
      <c r="E284" s="122">
        <v>4.7620640605606987E-3</v>
      </c>
    </row>
    <row r="285" spans="2:5">
      <c r="C285" s="104" t="s">
        <v>625</v>
      </c>
      <c r="D285" s="105" t="s">
        <v>626</v>
      </c>
      <c r="E285" s="121">
        <v>4.9685604285114116E-3</v>
      </c>
    </row>
    <row r="286" spans="2:5">
      <c r="B286" t="s">
        <v>680</v>
      </c>
      <c r="C286" s="75" t="s">
        <v>318</v>
      </c>
      <c r="D286" s="22" t="s">
        <v>210</v>
      </c>
      <c r="E286" s="22">
        <v>2.7799533438247932E-2</v>
      </c>
    </row>
    <row r="287" spans="2:5">
      <c r="C287" s="76"/>
      <c r="D287" s="69" t="s">
        <v>317</v>
      </c>
      <c r="E287" s="122">
        <v>1.5638765152983378E-2</v>
      </c>
    </row>
    <row r="288" spans="2:5">
      <c r="B288" s="130"/>
      <c r="C288" s="127" t="s">
        <v>627</v>
      </c>
      <c r="D288" s="128" t="s">
        <v>628</v>
      </c>
      <c r="E288" s="129">
        <v>1.6419111117002692E-2</v>
      </c>
    </row>
    <row r="289" spans="2:5">
      <c r="C289" s="76"/>
      <c r="D289" s="69" t="s">
        <v>320</v>
      </c>
      <c r="E289" s="122">
        <v>5.234292886912544E-3</v>
      </c>
    </row>
    <row r="290" spans="2:5">
      <c r="C290" s="104" t="s">
        <v>629</v>
      </c>
      <c r="D290" s="105" t="s">
        <v>630</v>
      </c>
      <c r="E290" s="121">
        <v>5.495474590764526E-3</v>
      </c>
    </row>
    <row r="291" spans="2:5">
      <c r="C291" s="76"/>
      <c r="D291" s="69" t="s">
        <v>322</v>
      </c>
      <c r="E291" s="122">
        <v>3.0565480792084641E-3</v>
      </c>
    </row>
    <row r="292" spans="2:5">
      <c r="C292" s="104" t="s">
        <v>631</v>
      </c>
      <c r="D292" s="105" t="s">
        <v>633</v>
      </c>
      <c r="E292" s="121">
        <v>3.209064274324182E-3</v>
      </c>
    </row>
    <row r="293" spans="2:5">
      <c r="C293" s="104" t="s">
        <v>632</v>
      </c>
      <c r="D293" s="105" t="s">
        <v>634</v>
      </c>
      <c r="E293" s="121"/>
    </row>
    <row r="294" spans="2:5">
      <c r="C294" s="76"/>
      <c r="D294" s="69" t="s">
        <v>324</v>
      </c>
      <c r="E294" s="122">
        <v>2.548707579197184E-3</v>
      </c>
    </row>
    <row r="295" spans="2:5">
      <c r="C295" s="104" t="s">
        <v>635</v>
      </c>
      <c r="D295" s="105" t="s">
        <v>636</v>
      </c>
      <c r="E295" s="121">
        <v>2.6758834561565322E-3</v>
      </c>
    </row>
    <row r="296" spans="2:5">
      <c r="B296" t="s">
        <v>327</v>
      </c>
      <c r="C296" s="75" t="s">
        <v>327</v>
      </c>
      <c r="D296" s="22" t="s">
        <v>213</v>
      </c>
      <c r="E296" s="22">
        <v>3.3448007491671976E-2</v>
      </c>
    </row>
    <row r="297" spans="2:5">
      <c r="C297" s="76"/>
      <c r="D297" s="69" t="s">
        <v>326</v>
      </c>
      <c r="E297" s="122">
        <v>3.0358580469576874E-2</v>
      </c>
    </row>
    <row r="298" spans="2:5">
      <c r="C298" s="104" t="s">
        <v>637</v>
      </c>
      <c r="D298" s="105" t="s">
        <v>640</v>
      </c>
      <c r="E298" s="121">
        <v>3.3448007491671976E-2</v>
      </c>
    </row>
    <row r="299" spans="2:5">
      <c r="C299" s="104" t="s">
        <v>638</v>
      </c>
      <c r="D299" s="105" t="s">
        <v>641</v>
      </c>
      <c r="E299" s="121"/>
    </row>
    <row r="300" spans="2:5">
      <c r="C300" s="104" t="s">
        <v>639</v>
      </c>
      <c r="D300" s="105" t="s">
        <v>642</v>
      </c>
      <c r="E300" s="121"/>
    </row>
    <row r="301" spans="2:5">
      <c r="B301" t="s">
        <v>681</v>
      </c>
      <c r="C301" s="75" t="s">
        <v>330</v>
      </c>
      <c r="D301" s="22" t="s">
        <v>217</v>
      </c>
      <c r="E301" s="22">
        <v>7.9159848100805955E-3</v>
      </c>
    </row>
    <row r="302" spans="2:5">
      <c r="C302" s="76"/>
      <c r="D302" s="69" t="s">
        <v>329</v>
      </c>
      <c r="E302" s="122">
        <v>5.5300116953537672E-3</v>
      </c>
    </row>
    <row r="303" spans="2:5">
      <c r="C303" s="104" t="s">
        <v>643</v>
      </c>
      <c r="D303" s="105" t="s">
        <v>645</v>
      </c>
      <c r="E303" s="121">
        <v>6.6449775893350832E-3</v>
      </c>
    </row>
    <row r="304" spans="2:5">
      <c r="C304" s="104" t="s">
        <v>644</v>
      </c>
      <c r="D304" s="105" t="s">
        <v>646</v>
      </c>
      <c r="E304" s="121"/>
    </row>
    <row r="305" spans="1:5">
      <c r="C305" s="76"/>
      <c r="D305" s="69" t="s">
        <v>332</v>
      </c>
      <c r="E305" s="122">
        <v>1.0577439428663422E-3</v>
      </c>
    </row>
    <row r="306" spans="1:5">
      <c r="C306" s="104" t="s">
        <v>647</v>
      </c>
      <c r="D306" s="105" t="s">
        <v>648</v>
      </c>
      <c r="E306" s="121">
        <v>1.2710072207455126E-3</v>
      </c>
    </row>
    <row r="309" spans="1:5">
      <c r="A309" t="s">
        <v>884</v>
      </c>
      <c r="B309" t="s">
        <v>883</v>
      </c>
      <c r="C309" s="148" t="s">
        <v>19</v>
      </c>
      <c r="D309" s="15" t="s">
        <v>22</v>
      </c>
      <c r="E309" s="15"/>
    </row>
    <row r="310" spans="1:5">
      <c r="A310" t="s">
        <v>694</v>
      </c>
      <c r="B310">
        <f>LEN(A310)</f>
        <v>5</v>
      </c>
      <c r="C310" s="75">
        <v>1010</v>
      </c>
      <c r="D310" s="22" t="s">
        <v>21</v>
      </c>
      <c r="E310" s="22">
        <v>2.2185477476964508E-2</v>
      </c>
    </row>
    <row r="311" spans="1:5">
      <c r="A311" t="s">
        <v>693</v>
      </c>
      <c r="B311">
        <f t="shared" ref="B311:B367" si="11">LEN(A311)</f>
        <v>11</v>
      </c>
      <c r="C311" s="104" t="s">
        <v>30</v>
      </c>
      <c r="D311" s="105" t="s">
        <v>656</v>
      </c>
      <c r="E311" s="121">
        <v>2.2185477476964508E-2</v>
      </c>
    </row>
    <row r="312" spans="1:5">
      <c r="A312" t="s">
        <v>694</v>
      </c>
      <c r="B312">
        <f t="shared" si="11"/>
        <v>5</v>
      </c>
      <c r="C312" s="75" t="s">
        <v>649</v>
      </c>
      <c r="D312" s="22" t="s">
        <v>26</v>
      </c>
      <c r="E312" s="22">
        <v>6.4191753088552678E-3</v>
      </c>
    </row>
    <row r="313" spans="1:5">
      <c r="A313" t="s">
        <v>695</v>
      </c>
      <c r="B313">
        <f t="shared" si="11"/>
        <v>11</v>
      </c>
      <c r="C313" s="104" t="s">
        <v>40</v>
      </c>
      <c r="D313" s="105" t="s">
        <v>41</v>
      </c>
      <c r="E313" s="121">
        <v>5.5739411044183384E-3</v>
      </c>
    </row>
    <row r="314" spans="1:5">
      <c r="A314" t="s">
        <v>696</v>
      </c>
      <c r="B314">
        <f t="shared" si="11"/>
        <v>11</v>
      </c>
      <c r="C314" s="104" t="s">
        <v>658</v>
      </c>
      <c r="D314" s="105" t="s">
        <v>657</v>
      </c>
      <c r="E314" s="121">
        <v>7.5181143316064799E-4</v>
      </c>
    </row>
    <row r="315" spans="1:5">
      <c r="A315" t="s">
        <v>694</v>
      </c>
      <c r="B315">
        <f t="shared" si="11"/>
        <v>5</v>
      </c>
      <c r="C315" s="75" t="s">
        <v>649</v>
      </c>
      <c r="D315" s="22" t="s">
        <v>29</v>
      </c>
      <c r="E315" s="22">
        <v>3.5320799461860418E-2</v>
      </c>
    </row>
    <row r="316" spans="1:5">
      <c r="A316" t="s">
        <v>697</v>
      </c>
      <c r="B316">
        <f t="shared" si="11"/>
        <v>11</v>
      </c>
      <c r="C316" s="104" t="s">
        <v>52</v>
      </c>
      <c r="D316" s="105" t="s">
        <v>53</v>
      </c>
      <c r="E316" s="121">
        <v>3.5320799461860418E-2</v>
      </c>
    </row>
    <row r="317" spans="1:5">
      <c r="A317" t="s">
        <v>694</v>
      </c>
      <c r="B317">
        <f t="shared" si="11"/>
        <v>5</v>
      </c>
      <c r="C317" s="75" t="s">
        <v>649</v>
      </c>
      <c r="D317" s="22" t="s">
        <v>34</v>
      </c>
      <c r="E317" s="22">
        <v>1.1592679206249835E-2</v>
      </c>
    </row>
    <row r="318" spans="1:5">
      <c r="A318" t="s">
        <v>698</v>
      </c>
      <c r="B318">
        <f t="shared" si="11"/>
        <v>11</v>
      </c>
      <c r="C318" s="104" t="s">
        <v>59</v>
      </c>
      <c r="D318" s="105" t="s">
        <v>60</v>
      </c>
      <c r="E318" s="121">
        <v>1.1592679206249835E-2</v>
      </c>
    </row>
    <row r="319" spans="1:5">
      <c r="A319" t="s">
        <v>699</v>
      </c>
      <c r="B319">
        <f t="shared" si="11"/>
        <v>5</v>
      </c>
      <c r="C319" s="75" t="s">
        <v>79</v>
      </c>
      <c r="D319" s="22" t="s">
        <v>43</v>
      </c>
      <c r="E319" s="22">
        <v>1.6286367859238836E-2</v>
      </c>
    </row>
    <row r="320" spans="1:5">
      <c r="A320" t="s">
        <v>700</v>
      </c>
      <c r="B320">
        <f t="shared" si="11"/>
        <v>11</v>
      </c>
      <c r="C320" s="104" t="s">
        <v>346</v>
      </c>
      <c r="D320" s="105" t="s">
        <v>349</v>
      </c>
      <c r="E320" s="121">
        <v>6.2123982311014158E-3</v>
      </c>
    </row>
    <row r="321" spans="1:5">
      <c r="A321" t="s">
        <v>701</v>
      </c>
      <c r="B321">
        <f t="shared" si="11"/>
        <v>11</v>
      </c>
      <c r="C321" s="104" t="s">
        <v>347</v>
      </c>
      <c r="D321" s="105" t="s">
        <v>350</v>
      </c>
      <c r="E321" s="121"/>
    </row>
    <row r="322" spans="1:5">
      <c r="A322" t="s">
        <v>702</v>
      </c>
      <c r="B322">
        <f t="shared" si="11"/>
        <v>11</v>
      </c>
      <c r="C322" s="104" t="s">
        <v>348</v>
      </c>
      <c r="D322" s="105" t="s">
        <v>351</v>
      </c>
      <c r="E322" s="121"/>
    </row>
    <row r="323" spans="1:5">
      <c r="A323" t="s">
        <v>703</v>
      </c>
      <c r="B323">
        <f t="shared" si="11"/>
        <v>11</v>
      </c>
      <c r="C323" s="104">
        <v>21311</v>
      </c>
      <c r="D323" s="105" t="s">
        <v>88</v>
      </c>
      <c r="E323" s="121">
        <v>4.4586264327696554E-3</v>
      </c>
    </row>
    <row r="324" spans="1:5">
      <c r="A324" t="s">
        <v>704</v>
      </c>
      <c r="B324">
        <f t="shared" si="11"/>
        <v>11</v>
      </c>
      <c r="C324" s="104">
        <v>21395</v>
      </c>
      <c r="D324" s="105" t="s">
        <v>89</v>
      </c>
      <c r="E324" s="121"/>
    </row>
    <row r="325" spans="1:5">
      <c r="A325" t="s">
        <v>705</v>
      </c>
      <c r="B325">
        <f t="shared" si="11"/>
        <v>11</v>
      </c>
      <c r="C325" s="104">
        <v>21399</v>
      </c>
      <c r="D325" s="105" t="s">
        <v>90</v>
      </c>
      <c r="E325" s="121"/>
    </row>
    <row r="326" spans="1:5">
      <c r="A326" t="s">
        <v>706</v>
      </c>
      <c r="B326">
        <f t="shared" si="11"/>
        <v>11</v>
      </c>
      <c r="C326" s="104" t="s">
        <v>334</v>
      </c>
      <c r="D326" s="105" t="s">
        <v>335</v>
      </c>
      <c r="E326" s="121">
        <v>3.4681869095633511E-3</v>
      </c>
    </row>
    <row r="327" spans="1:5">
      <c r="A327" t="s">
        <v>707</v>
      </c>
      <c r="B327">
        <f t="shared" si="11"/>
        <v>11</v>
      </c>
      <c r="C327" s="104" t="s">
        <v>338</v>
      </c>
      <c r="D327" s="105" t="s">
        <v>339</v>
      </c>
      <c r="E327" s="121"/>
    </row>
    <row r="328" spans="1:5">
      <c r="A328" t="s">
        <v>708</v>
      </c>
      <c r="B328">
        <f t="shared" si="11"/>
        <v>11</v>
      </c>
      <c r="C328" s="104" t="s">
        <v>336</v>
      </c>
      <c r="D328" s="105" t="s">
        <v>337</v>
      </c>
      <c r="E328" s="121"/>
    </row>
    <row r="329" spans="1:5">
      <c r="A329" t="s">
        <v>709</v>
      </c>
      <c r="B329">
        <f t="shared" si="11"/>
        <v>11</v>
      </c>
      <c r="C329" s="104" t="s">
        <v>340</v>
      </c>
      <c r="D329" s="105" t="s">
        <v>341</v>
      </c>
      <c r="E329" s="121"/>
    </row>
    <row r="330" spans="1:5">
      <c r="A330" t="s">
        <v>710</v>
      </c>
      <c r="B330">
        <f t="shared" si="11"/>
        <v>11</v>
      </c>
      <c r="C330" s="104" t="s">
        <v>342</v>
      </c>
      <c r="D330" s="105" t="s">
        <v>343</v>
      </c>
      <c r="E330" s="121"/>
    </row>
    <row r="331" spans="1:5">
      <c r="A331" t="s">
        <v>711</v>
      </c>
      <c r="B331">
        <f t="shared" si="11"/>
        <v>11</v>
      </c>
      <c r="C331" s="104" t="s">
        <v>344</v>
      </c>
      <c r="D331" s="105" t="s">
        <v>345</v>
      </c>
      <c r="E331" s="121"/>
    </row>
    <row r="332" spans="1:5">
      <c r="A332" t="s">
        <v>916</v>
      </c>
      <c r="B332">
        <f t="shared" si="11"/>
        <v>12</v>
      </c>
      <c r="C332" s="104" t="s">
        <v>915</v>
      </c>
      <c r="D332" s="105" t="s">
        <v>353</v>
      </c>
      <c r="E332" s="121">
        <v>2.147156285804416E-3</v>
      </c>
    </row>
    <row r="333" spans="1:5">
      <c r="A333" t="s">
        <v>712</v>
      </c>
      <c r="B333">
        <f t="shared" si="11"/>
        <v>11</v>
      </c>
      <c r="C333" s="104" t="s">
        <v>354</v>
      </c>
      <c r="D333" s="105" t="s">
        <v>355</v>
      </c>
      <c r="E333" s="121"/>
    </row>
    <row r="334" spans="1:5">
      <c r="A334" t="s">
        <v>713</v>
      </c>
      <c r="B334">
        <f t="shared" si="11"/>
        <v>5</v>
      </c>
      <c r="C334" s="75" t="s">
        <v>101</v>
      </c>
      <c r="D334" s="22" t="s">
        <v>48</v>
      </c>
      <c r="E334" s="22">
        <v>5.6893013071184301E-2</v>
      </c>
    </row>
    <row r="335" spans="1:5">
      <c r="A335" t="s">
        <v>714</v>
      </c>
      <c r="B335">
        <f t="shared" si="11"/>
        <v>11</v>
      </c>
      <c r="C335" s="104" t="s">
        <v>356</v>
      </c>
      <c r="D335" s="105" t="s">
        <v>360</v>
      </c>
      <c r="E335" s="121"/>
    </row>
    <row r="336" spans="1:5">
      <c r="A336" t="s">
        <v>715</v>
      </c>
      <c r="B336">
        <f t="shared" si="11"/>
        <v>11</v>
      </c>
      <c r="C336" s="104" t="s">
        <v>357</v>
      </c>
      <c r="D336" s="105" t="s">
        <v>361</v>
      </c>
      <c r="E336" s="124"/>
    </row>
    <row r="337" spans="1:5">
      <c r="A337" t="s">
        <v>716</v>
      </c>
      <c r="B337">
        <f t="shared" si="11"/>
        <v>11</v>
      </c>
      <c r="C337" s="104" t="s">
        <v>358</v>
      </c>
      <c r="D337" s="105" t="s">
        <v>362</v>
      </c>
      <c r="E337" s="124"/>
    </row>
    <row r="338" spans="1:5">
      <c r="A338" t="s">
        <v>717</v>
      </c>
      <c r="B338">
        <f t="shared" si="11"/>
        <v>11</v>
      </c>
      <c r="C338" s="104" t="s">
        <v>359</v>
      </c>
      <c r="D338" s="105" t="s">
        <v>363</v>
      </c>
      <c r="E338" s="124"/>
    </row>
    <row r="339" spans="1:5">
      <c r="A339" t="s">
        <v>718</v>
      </c>
      <c r="B339">
        <f t="shared" si="11"/>
        <v>5</v>
      </c>
      <c r="C339" s="75" t="s">
        <v>108</v>
      </c>
      <c r="D339" s="22" t="s">
        <v>51</v>
      </c>
      <c r="E339" s="22">
        <v>1.9393556443678659E-2</v>
      </c>
    </row>
    <row r="340" spans="1:5">
      <c r="A340" s="138" t="s">
        <v>719</v>
      </c>
      <c r="B340" s="138">
        <f t="shared" si="11"/>
        <v>11</v>
      </c>
      <c r="C340" s="137" t="s">
        <v>368</v>
      </c>
      <c r="D340" s="138" t="s">
        <v>372</v>
      </c>
      <c r="E340" s="139"/>
    </row>
    <row r="341" spans="1:5">
      <c r="A341" t="s">
        <v>720</v>
      </c>
      <c r="B341">
        <f t="shared" si="11"/>
        <v>11</v>
      </c>
      <c r="C341" s="104" t="s">
        <v>369</v>
      </c>
      <c r="D341" s="105" t="s">
        <v>373</v>
      </c>
      <c r="E341" s="121"/>
    </row>
    <row r="342" spans="1:5">
      <c r="A342" t="s">
        <v>721</v>
      </c>
      <c r="B342">
        <f t="shared" si="11"/>
        <v>11</v>
      </c>
      <c r="C342" s="104" t="s">
        <v>385</v>
      </c>
      <c r="D342" s="105" t="s">
        <v>386</v>
      </c>
      <c r="E342" s="121"/>
    </row>
    <row r="343" spans="1:5">
      <c r="A343" t="s">
        <v>722</v>
      </c>
      <c r="B343">
        <f t="shared" si="11"/>
        <v>11</v>
      </c>
      <c r="C343" s="104" t="s">
        <v>370</v>
      </c>
      <c r="D343" s="105" t="s">
        <v>374</v>
      </c>
      <c r="E343" s="121"/>
    </row>
    <row r="344" spans="1:5">
      <c r="A344" t="s">
        <v>723</v>
      </c>
      <c r="B344">
        <f t="shared" si="11"/>
        <v>11</v>
      </c>
      <c r="C344" s="104" t="s">
        <v>371</v>
      </c>
      <c r="D344" s="105" t="s">
        <v>375</v>
      </c>
      <c r="E344" s="121"/>
    </row>
    <row r="345" spans="1:5">
      <c r="A345" t="s">
        <v>724</v>
      </c>
      <c r="B345">
        <f t="shared" si="11"/>
        <v>11</v>
      </c>
      <c r="C345" s="104" t="s">
        <v>364</v>
      </c>
      <c r="D345" s="105" t="s">
        <v>366</v>
      </c>
      <c r="E345" s="121"/>
    </row>
    <row r="346" spans="1:5">
      <c r="A346" t="s">
        <v>725</v>
      </c>
      <c r="B346">
        <f t="shared" si="11"/>
        <v>11</v>
      </c>
      <c r="C346" s="104" t="s">
        <v>365</v>
      </c>
      <c r="D346" s="105" t="s">
        <v>367</v>
      </c>
      <c r="E346" s="121"/>
    </row>
    <row r="347" spans="1:5">
      <c r="A347" t="s">
        <v>726</v>
      </c>
      <c r="B347">
        <f t="shared" si="11"/>
        <v>5</v>
      </c>
      <c r="C347" s="75" t="s">
        <v>650</v>
      </c>
      <c r="D347" s="22" t="s">
        <v>55</v>
      </c>
      <c r="E347" s="22">
        <v>9.4239208420071746E-3</v>
      </c>
    </row>
    <row r="348" spans="1:5">
      <c r="A348" t="s">
        <v>727</v>
      </c>
      <c r="B348">
        <f t="shared" si="11"/>
        <v>11</v>
      </c>
      <c r="C348" s="74" t="s">
        <v>376</v>
      </c>
      <c r="D348" t="s">
        <v>379</v>
      </c>
      <c r="E348" s="124"/>
    </row>
    <row r="349" spans="1:5">
      <c r="A349" t="s">
        <v>726</v>
      </c>
      <c r="B349">
        <f t="shared" si="11"/>
        <v>5</v>
      </c>
      <c r="C349" s="75" t="s">
        <v>650</v>
      </c>
      <c r="D349" s="22" t="s">
        <v>58</v>
      </c>
      <c r="E349" s="22">
        <v>7.4087208847877098E-3</v>
      </c>
    </row>
    <row r="350" spans="1:5">
      <c r="A350" t="s">
        <v>728</v>
      </c>
      <c r="B350">
        <f t="shared" si="11"/>
        <v>11</v>
      </c>
      <c r="C350" s="104" t="s">
        <v>383</v>
      </c>
      <c r="D350" s="105" t="s">
        <v>384</v>
      </c>
      <c r="E350" s="121"/>
    </row>
    <row r="351" spans="1:5">
      <c r="A351" t="s">
        <v>729</v>
      </c>
      <c r="B351">
        <f t="shared" si="11"/>
        <v>11</v>
      </c>
      <c r="C351" s="104" t="s">
        <v>685</v>
      </c>
      <c r="D351" s="105" t="s">
        <v>382</v>
      </c>
      <c r="E351" s="121"/>
    </row>
    <row r="352" spans="1:5">
      <c r="A352" t="s">
        <v>726</v>
      </c>
      <c r="B352">
        <f t="shared" si="11"/>
        <v>5</v>
      </c>
      <c r="C352" s="75" t="s">
        <v>650</v>
      </c>
      <c r="D352" s="22" t="s">
        <v>64</v>
      </c>
      <c r="E352" s="22">
        <v>8.7020199672842181E-3</v>
      </c>
    </row>
    <row r="353" spans="1:5">
      <c r="A353" t="s">
        <v>730</v>
      </c>
      <c r="B353">
        <f t="shared" si="11"/>
        <v>11</v>
      </c>
      <c r="C353" s="104" t="s">
        <v>377</v>
      </c>
      <c r="D353" s="105" t="s">
        <v>380</v>
      </c>
      <c r="E353" s="121">
        <f>E352</f>
        <v>8.7020199672842181E-3</v>
      </c>
    </row>
    <row r="354" spans="1:5">
      <c r="A354" t="s">
        <v>729</v>
      </c>
      <c r="B354">
        <f t="shared" si="11"/>
        <v>11</v>
      </c>
      <c r="C354" s="104" t="s">
        <v>684</v>
      </c>
      <c r="D354" s="105" t="s">
        <v>381</v>
      </c>
      <c r="E354" s="121"/>
    </row>
    <row r="355" spans="1:5">
      <c r="A355" s="138" t="s">
        <v>731</v>
      </c>
      <c r="B355" s="138">
        <f t="shared" si="11"/>
        <v>5</v>
      </c>
      <c r="C355" s="140" t="s">
        <v>146</v>
      </c>
      <c r="D355" s="141" t="s">
        <v>69</v>
      </c>
      <c r="E355" s="22">
        <v>1.142789957007863E-2</v>
      </c>
    </row>
    <row r="356" spans="1:5">
      <c r="A356" s="138" t="s">
        <v>732</v>
      </c>
      <c r="B356" s="138">
        <f t="shared" si="11"/>
        <v>11</v>
      </c>
      <c r="C356" s="137" t="s">
        <v>402</v>
      </c>
      <c r="D356" s="138" t="s">
        <v>401</v>
      </c>
      <c r="E356" s="121">
        <v>1.142789957007863E-2</v>
      </c>
    </row>
    <row r="357" spans="1:5">
      <c r="A357" t="s">
        <v>733</v>
      </c>
      <c r="B357">
        <f t="shared" si="11"/>
        <v>5</v>
      </c>
      <c r="C357" s="75" t="s">
        <v>651</v>
      </c>
      <c r="D357" s="22" t="s">
        <v>73</v>
      </c>
      <c r="E357" s="22">
        <v>5.7900420073511233E-2</v>
      </c>
    </row>
    <row r="358" spans="1:5">
      <c r="A358" t="s">
        <v>894</v>
      </c>
      <c r="B358">
        <f t="shared" si="11"/>
        <v>12</v>
      </c>
      <c r="C358" s="104" t="s">
        <v>682</v>
      </c>
      <c r="D358" s="105" t="s">
        <v>404</v>
      </c>
      <c r="E358" s="121">
        <v>4.6450241179079338E-2</v>
      </c>
    </row>
    <row r="359" spans="1:5">
      <c r="A359" t="s">
        <v>734</v>
      </c>
      <c r="B359">
        <f t="shared" si="11"/>
        <v>11</v>
      </c>
      <c r="C359" s="104" t="s">
        <v>405</v>
      </c>
      <c r="D359" s="105" t="s">
        <v>407</v>
      </c>
      <c r="E359" s="121">
        <v>1.1450178894431888E-2</v>
      </c>
    </row>
    <row r="360" spans="1:5">
      <c r="A360" t="s">
        <v>735</v>
      </c>
      <c r="B360">
        <f t="shared" si="11"/>
        <v>11</v>
      </c>
      <c r="C360" s="104" t="s">
        <v>406</v>
      </c>
      <c r="D360" s="105" t="s">
        <v>408</v>
      </c>
      <c r="E360" s="121"/>
    </row>
    <row r="361" spans="1:5">
      <c r="A361" t="s">
        <v>733</v>
      </c>
      <c r="B361">
        <f t="shared" si="11"/>
        <v>5</v>
      </c>
      <c r="C361" s="75" t="s">
        <v>651</v>
      </c>
      <c r="D361" s="22" t="s">
        <v>78</v>
      </c>
      <c r="E361" s="22">
        <v>5.4451175674568704E-2</v>
      </c>
    </row>
    <row r="362" spans="1:5">
      <c r="A362" t="s">
        <v>895</v>
      </c>
      <c r="B362">
        <f t="shared" si="11"/>
        <v>12</v>
      </c>
      <c r="C362" s="104" t="s">
        <v>683</v>
      </c>
      <c r="D362" s="105" t="s">
        <v>404</v>
      </c>
      <c r="E362" s="121">
        <v>5.4451175674568704E-2</v>
      </c>
    </row>
    <row r="363" spans="1:5">
      <c r="A363" t="s">
        <v>736</v>
      </c>
      <c r="B363">
        <f t="shared" si="11"/>
        <v>5</v>
      </c>
      <c r="C363" s="75" t="s">
        <v>171</v>
      </c>
      <c r="D363" s="22" t="s">
        <v>83</v>
      </c>
      <c r="E363" s="22">
        <v>3.8971066681025249E-2</v>
      </c>
    </row>
    <row r="364" spans="1:5">
      <c r="A364" t="s">
        <v>737</v>
      </c>
      <c r="B364">
        <f t="shared" si="11"/>
        <v>11</v>
      </c>
      <c r="C364" s="104" t="s">
        <v>421</v>
      </c>
      <c r="D364" s="105" t="s">
        <v>423</v>
      </c>
      <c r="E364" s="121">
        <v>3.8971066681025249E-2</v>
      </c>
    </row>
    <row r="365" spans="1:5">
      <c r="A365" t="s">
        <v>738</v>
      </c>
      <c r="B365">
        <f t="shared" si="11"/>
        <v>11</v>
      </c>
      <c r="C365" s="104" t="s">
        <v>422</v>
      </c>
      <c r="D365" s="105" t="s">
        <v>424</v>
      </c>
      <c r="E365" s="121"/>
    </row>
    <row r="366" spans="1:5">
      <c r="A366" t="s">
        <v>739</v>
      </c>
      <c r="B366">
        <f t="shared" si="11"/>
        <v>5</v>
      </c>
      <c r="C366" s="75" t="s">
        <v>178</v>
      </c>
      <c r="D366" s="22" t="s">
        <v>87</v>
      </c>
      <c r="E366" s="22">
        <v>6.4328340005798427E-3</v>
      </c>
    </row>
    <row r="367" spans="1:5">
      <c r="A367" t="s">
        <v>740</v>
      </c>
      <c r="B367">
        <f t="shared" si="11"/>
        <v>11</v>
      </c>
      <c r="C367" s="104" t="s">
        <v>425</v>
      </c>
      <c r="D367" s="105" t="s">
        <v>428</v>
      </c>
      <c r="E367" s="121">
        <v>6.4328340005798427E-3</v>
      </c>
    </row>
    <row r="368" spans="1:5">
      <c r="A368" t="s">
        <v>741</v>
      </c>
      <c r="B368">
        <f t="shared" ref="B368:B432" si="12">LEN(A368)</f>
        <v>11</v>
      </c>
      <c r="C368" s="104" t="s">
        <v>426</v>
      </c>
      <c r="D368" s="105" t="s">
        <v>429</v>
      </c>
      <c r="E368" s="121"/>
    </row>
    <row r="369" spans="1:5">
      <c r="A369" t="s">
        <v>742</v>
      </c>
      <c r="B369">
        <f t="shared" si="12"/>
        <v>11</v>
      </c>
      <c r="C369" s="104" t="s">
        <v>427</v>
      </c>
      <c r="D369" s="105" t="s">
        <v>430</v>
      </c>
      <c r="E369" s="121"/>
    </row>
    <row r="370" spans="1:5">
      <c r="A370" t="s">
        <v>743</v>
      </c>
      <c r="B370">
        <f t="shared" si="12"/>
        <v>5</v>
      </c>
      <c r="C370" s="75" t="s">
        <v>185</v>
      </c>
      <c r="D370" s="22" t="s">
        <v>94</v>
      </c>
      <c r="E370" s="22">
        <v>4.5652749401444738E-3</v>
      </c>
    </row>
    <row r="371" spans="1:5">
      <c r="A371" t="s">
        <v>744</v>
      </c>
      <c r="B371">
        <f t="shared" si="12"/>
        <v>11</v>
      </c>
      <c r="C371" s="104" t="s">
        <v>431</v>
      </c>
      <c r="D371" s="105" t="s">
        <v>432</v>
      </c>
      <c r="E371" s="121">
        <v>4.5652749401444738E-3</v>
      </c>
    </row>
    <row r="372" spans="1:5">
      <c r="A372" t="s">
        <v>745</v>
      </c>
      <c r="B372">
        <f t="shared" si="12"/>
        <v>5</v>
      </c>
      <c r="C372" s="75" t="s">
        <v>663</v>
      </c>
      <c r="D372" s="22" t="s">
        <v>96</v>
      </c>
      <c r="E372" s="22">
        <v>2.9243373362129364E-2</v>
      </c>
    </row>
    <row r="373" spans="1:5">
      <c r="A373" t="s">
        <v>746</v>
      </c>
      <c r="B373">
        <f t="shared" si="12"/>
        <v>11</v>
      </c>
      <c r="C373" s="104" t="s">
        <v>387</v>
      </c>
      <c r="D373" s="105" t="s">
        <v>394</v>
      </c>
      <c r="E373" s="121">
        <v>2.9243373362129364E-2</v>
      </c>
    </row>
    <row r="374" spans="1:5">
      <c r="A374" t="s">
        <v>747</v>
      </c>
      <c r="B374">
        <f t="shared" si="12"/>
        <v>11</v>
      </c>
      <c r="C374" s="104" t="s">
        <v>388</v>
      </c>
      <c r="D374" s="105" t="s">
        <v>395</v>
      </c>
      <c r="E374" s="121"/>
    </row>
    <row r="375" spans="1:5">
      <c r="A375" t="s">
        <v>748</v>
      </c>
      <c r="B375">
        <f t="shared" si="12"/>
        <v>11</v>
      </c>
      <c r="C375" s="104" t="s">
        <v>389</v>
      </c>
      <c r="D375" s="105" t="s">
        <v>396</v>
      </c>
      <c r="E375" s="121"/>
    </row>
    <row r="376" spans="1:5">
      <c r="A376" s="138" t="s">
        <v>749</v>
      </c>
      <c r="B376" s="138">
        <f t="shared" si="12"/>
        <v>11</v>
      </c>
      <c r="C376" s="137" t="s">
        <v>390</v>
      </c>
      <c r="D376" s="138" t="s">
        <v>397</v>
      </c>
      <c r="E376" s="121"/>
    </row>
    <row r="377" spans="1:5">
      <c r="A377" t="s">
        <v>750</v>
      </c>
      <c r="B377">
        <f t="shared" si="12"/>
        <v>11</v>
      </c>
      <c r="C377" s="104" t="s">
        <v>391</v>
      </c>
      <c r="D377" s="105" t="s">
        <v>398</v>
      </c>
      <c r="E377" s="121"/>
    </row>
    <row r="378" spans="1:5">
      <c r="A378" t="s">
        <v>751</v>
      </c>
      <c r="B378">
        <f t="shared" si="12"/>
        <v>11</v>
      </c>
      <c r="C378" s="104" t="s">
        <v>392</v>
      </c>
      <c r="D378" s="105" t="s">
        <v>399</v>
      </c>
      <c r="E378" s="121"/>
    </row>
    <row r="379" spans="1:5">
      <c r="A379" t="s">
        <v>752</v>
      </c>
      <c r="B379">
        <f t="shared" si="12"/>
        <v>11</v>
      </c>
      <c r="C379" s="104" t="s">
        <v>393</v>
      </c>
      <c r="D379" s="105" t="s">
        <v>400</v>
      </c>
      <c r="E379" s="121"/>
    </row>
    <row r="380" spans="1:5">
      <c r="A380" t="s">
        <v>926</v>
      </c>
      <c r="B380">
        <f t="shared" si="12"/>
        <v>11</v>
      </c>
      <c r="C380" s="104">
        <v>23997</v>
      </c>
      <c r="D380" s="105" t="s">
        <v>925</v>
      </c>
      <c r="E380" s="121"/>
    </row>
    <row r="381" spans="1:5">
      <c r="A381" t="s">
        <v>753</v>
      </c>
      <c r="B381">
        <f t="shared" si="12"/>
        <v>11</v>
      </c>
      <c r="C381" s="104" t="s">
        <v>433</v>
      </c>
      <c r="D381" s="105" t="s">
        <v>434</v>
      </c>
      <c r="E381" s="121"/>
    </row>
    <row r="382" spans="1:5">
      <c r="A382" t="s">
        <v>754</v>
      </c>
      <c r="B382">
        <f t="shared" si="12"/>
        <v>5</v>
      </c>
      <c r="C382" s="75" t="s">
        <v>197</v>
      </c>
      <c r="D382" s="22" t="s">
        <v>100</v>
      </c>
      <c r="E382" s="22">
        <v>2.6358335576351838E-2</v>
      </c>
    </row>
    <row r="383" spans="1:5">
      <c r="A383" t="s">
        <v>755</v>
      </c>
      <c r="B383">
        <f t="shared" si="12"/>
        <v>11</v>
      </c>
      <c r="C383" s="104" t="s">
        <v>435</v>
      </c>
      <c r="D383" s="105" t="s">
        <v>437</v>
      </c>
      <c r="E383" s="121">
        <v>2.6358335576351838E-2</v>
      </c>
    </row>
    <row r="384" spans="1:5">
      <c r="A384" t="s">
        <v>756</v>
      </c>
      <c r="B384">
        <f t="shared" si="12"/>
        <v>11</v>
      </c>
      <c r="C384" s="104" t="s">
        <v>436</v>
      </c>
      <c r="D384" s="105" t="s">
        <v>438</v>
      </c>
      <c r="E384" s="121"/>
    </row>
    <row r="385" spans="1:5">
      <c r="A385" t="s">
        <v>757</v>
      </c>
      <c r="B385">
        <f t="shared" si="12"/>
        <v>5</v>
      </c>
      <c r="C385" s="75" t="s">
        <v>218</v>
      </c>
      <c r="D385" s="22" t="s">
        <v>112</v>
      </c>
      <c r="E385" s="22">
        <v>6.6859506898360463E-3</v>
      </c>
    </row>
    <row r="386" spans="1:5">
      <c r="A386" t="s">
        <v>758</v>
      </c>
      <c r="B386">
        <f t="shared" si="12"/>
        <v>11</v>
      </c>
      <c r="C386" s="104" t="s">
        <v>443</v>
      </c>
      <c r="D386" s="105" t="s">
        <v>444</v>
      </c>
      <c r="E386" s="124">
        <v>6.6859506898360463E-3</v>
      </c>
    </row>
    <row r="387" spans="1:5">
      <c r="A387" t="s">
        <v>759</v>
      </c>
      <c r="B387">
        <f t="shared" si="12"/>
        <v>5</v>
      </c>
      <c r="C387" s="75" t="s">
        <v>221</v>
      </c>
      <c r="D387" s="22" t="s">
        <v>114</v>
      </c>
      <c r="E387" s="22">
        <v>3.5780195371867912E-2</v>
      </c>
    </row>
    <row r="388" spans="1:5">
      <c r="A388" t="s">
        <v>921</v>
      </c>
      <c r="B388">
        <v>11</v>
      </c>
      <c r="C388" s="104" t="s">
        <v>917</v>
      </c>
      <c r="D388" s="105" t="s">
        <v>920</v>
      </c>
      <c r="E388" s="121">
        <v>3.5780195371867912E-2</v>
      </c>
    </row>
    <row r="389" spans="1:5">
      <c r="A389" t="s">
        <v>922</v>
      </c>
      <c r="B389">
        <v>11</v>
      </c>
      <c r="C389" s="104" t="s">
        <v>918</v>
      </c>
      <c r="D389" s="105" t="s">
        <v>919</v>
      </c>
      <c r="E389" s="121"/>
    </row>
    <row r="390" spans="1:5">
      <c r="A390" t="s">
        <v>761</v>
      </c>
      <c r="B390">
        <f t="shared" si="12"/>
        <v>5</v>
      </c>
      <c r="C390" s="75" t="s">
        <v>654</v>
      </c>
      <c r="D390" s="22" t="s">
        <v>121</v>
      </c>
      <c r="E390" s="22">
        <v>9.6915713315944545E-3</v>
      </c>
    </row>
    <row r="391" spans="1:5">
      <c r="A391" t="s">
        <v>762</v>
      </c>
      <c r="B391">
        <f t="shared" si="12"/>
        <v>11</v>
      </c>
      <c r="C391" s="104" t="s">
        <v>445</v>
      </c>
      <c r="D391" s="105" t="s">
        <v>448</v>
      </c>
      <c r="E391" s="121">
        <v>9.6915713315944545E-3</v>
      </c>
    </row>
    <row r="392" spans="1:5">
      <c r="A392" t="s">
        <v>763</v>
      </c>
      <c r="B392">
        <f t="shared" si="12"/>
        <v>11</v>
      </c>
      <c r="C392" s="104" t="s">
        <v>447</v>
      </c>
      <c r="D392" s="105" t="s">
        <v>446</v>
      </c>
      <c r="E392" s="121"/>
    </row>
    <row r="393" spans="1:5">
      <c r="A393" t="s">
        <v>764</v>
      </c>
      <c r="B393">
        <f t="shared" si="12"/>
        <v>11</v>
      </c>
      <c r="C393" s="104" t="s">
        <v>449</v>
      </c>
      <c r="D393" s="105" t="s">
        <v>453</v>
      </c>
      <c r="E393" s="121"/>
    </row>
    <row r="394" spans="1:5">
      <c r="A394" t="s">
        <v>765</v>
      </c>
      <c r="B394">
        <f t="shared" si="12"/>
        <v>11</v>
      </c>
      <c r="C394" s="104" t="s">
        <v>450</v>
      </c>
      <c r="D394" s="105" t="s">
        <v>454</v>
      </c>
      <c r="E394" s="121"/>
    </row>
    <row r="395" spans="1:5">
      <c r="A395" t="s">
        <v>766</v>
      </c>
      <c r="B395">
        <f t="shared" si="12"/>
        <v>11</v>
      </c>
      <c r="C395" s="104" t="s">
        <v>451</v>
      </c>
      <c r="D395" s="105" t="s">
        <v>455</v>
      </c>
      <c r="E395" s="121"/>
    </row>
    <row r="396" spans="1:5">
      <c r="A396" t="s">
        <v>767</v>
      </c>
      <c r="B396">
        <f t="shared" si="12"/>
        <v>11</v>
      </c>
      <c r="C396" s="104" t="s">
        <v>452</v>
      </c>
      <c r="D396" s="105" t="s">
        <v>456</v>
      </c>
      <c r="E396" s="121"/>
    </row>
    <row r="397" spans="1:5">
      <c r="A397" t="s">
        <v>768</v>
      </c>
      <c r="B397">
        <f t="shared" si="12"/>
        <v>5</v>
      </c>
      <c r="C397" s="75" t="s">
        <v>653</v>
      </c>
      <c r="D397" s="22" t="s">
        <v>125</v>
      </c>
      <c r="E397" s="22">
        <v>1.7495911809559998E-2</v>
      </c>
    </row>
    <row r="398" spans="1:5">
      <c r="A398" t="s">
        <v>769</v>
      </c>
      <c r="B398">
        <f t="shared" si="12"/>
        <v>11</v>
      </c>
      <c r="C398" s="104">
        <v>27120</v>
      </c>
      <c r="D398" s="105" t="s">
        <v>457</v>
      </c>
      <c r="E398" s="121">
        <v>1.7495911809559998E-2</v>
      </c>
    </row>
    <row r="399" spans="1:5">
      <c r="A399" s="138" t="s">
        <v>770</v>
      </c>
      <c r="B399" s="138">
        <f t="shared" si="12"/>
        <v>11</v>
      </c>
      <c r="C399" s="137">
        <v>27130</v>
      </c>
      <c r="D399" s="138" t="s">
        <v>458</v>
      </c>
      <c r="E399" s="121"/>
    </row>
    <row r="400" spans="1:5">
      <c r="A400" t="s">
        <v>771</v>
      </c>
      <c r="B400">
        <f t="shared" si="12"/>
        <v>11</v>
      </c>
      <c r="C400" s="104">
        <v>27180</v>
      </c>
      <c r="D400" s="105" t="s">
        <v>459</v>
      </c>
      <c r="E400" s="121"/>
    </row>
    <row r="401" spans="1:5">
      <c r="A401" t="s">
        <v>772</v>
      </c>
      <c r="B401">
        <f t="shared" si="12"/>
        <v>11</v>
      </c>
      <c r="C401" s="104">
        <v>27190</v>
      </c>
      <c r="D401" s="105" t="s">
        <v>460</v>
      </c>
      <c r="E401" s="121"/>
    </row>
    <row r="402" spans="1:5">
      <c r="A402" t="s">
        <v>773</v>
      </c>
      <c r="B402">
        <f t="shared" si="12"/>
        <v>11</v>
      </c>
      <c r="C402" s="104">
        <v>27911</v>
      </c>
      <c r="D402" s="105" t="s">
        <v>461</v>
      </c>
      <c r="E402" s="121"/>
    </row>
    <row r="403" spans="1:5">
      <c r="A403" t="s">
        <v>774</v>
      </c>
      <c r="B403">
        <f t="shared" si="12"/>
        <v>5</v>
      </c>
      <c r="C403" s="75" t="s">
        <v>652</v>
      </c>
      <c r="D403" s="22" t="s">
        <v>130</v>
      </c>
      <c r="E403" s="22">
        <v>7.4016013341246634E-2</v>
      </c>
    </row>
    <row r="404" spans="1:5">
      <c r="A404" t="s">
        <v>775</v>
      </c>
      <c r="B404">
        <f t="shared" si="12"/>
        <v>11</v>
      </c>
      <c r="C404" s="104" t="s">
        <v>462</v>
      </c>
      <c r="D404" s="105" t="s">
        <v>470</v>
      </c>
      <c r="E404" s="121">
        <v>4.9280324897315236E-2</v>
      </c>
    </row>
    <row r="405" spans="1:5">
      <c r="A405" t="s">
        <v>776</v>
      </c>
      <c r="B405">
        <f t="shared" si="12"/>
        <v>11</v>
      </c>
      <c r="C405" s="104" t="s">
        <v>463</v>
      </c>
      <c r="D405" s="105" t="s">
        <v>471</v>
      </c>
      <c r="E405" s="121"/>
    </row>
    <row r="406" spans="1:5">
      <c r="A406" t="s">
        <v>777</v>
      </c>
      <c r="B406">
        <f t="shared" si="12"/>
        <v>11</v>
      </c>
      <c r="C406" s="104" t="s">
        <v>464</v>
      </c>
      <c r="D406" s="105" t="s">
        <v>472</v>
      </c>
      <c r="E406" s="121"/>
    </row>
    <row r="407" spans="1:5">
      <c r="A407" t="s">
        <v>778</v>
      </c>
      <c r="B407">
        <f t="shared" si="12"/>
        <v>11</v>
      </c>
      <c r="C407" s="104" t="s">
        <v>465</v>
      </c>
      <c r="D407" s="105" t="s">
        <v>473</v>
      </c>
      <c r="E407" s="121"/>
    </row>
    <row r="408" spans="1:5">
      <c r="A408" t="s">
        <v>779</v>
      </c>
      <c r="B408">
        <f t="shared" si="12"/>
        <v>11</v>
      </c>
      <c r="C408" s="104" t="s">
        <v>466</v>
      </c>
      <c r="D408" s="105" t="s">
        <v>474</v>
      </c>
      <c r="E408" s="121"/>
    </row>
    <row r="409" spans="1:5">
      <c r="A409" t="s">
        <v>780</v>
      </c>
      <c r="B409">
        <f t="shared" si="12"/>
        <v>11</v>
      </c>
      <c r="C409" s="104" t="s">
        <v>467</v>
      </c>
      <c r="D409" s="105" t="s">
        <v>475</v>
      </c>
      <c r="E409" s="121"/>
    </row>
    <row r="410" spans="1:5">
      <c r="A410" t="s">
        <v>781</v>
      </c>
      <c r="B410">
        <f t="shared" si="12"/>
        <v>11</v>
      </c>
      <c r="C410" s="104" t="s">
        <v>468</v>
      </c>
      <c r="D410" s="105" t="s">
        <v>476</v>
      </c>
      <c r="E410" s="121"/>
    </row>
    <row r="411" spans="1:5">
      <c r="A411" t="s">
        <v>782</v>
      </c>
      <c r="B411">
        <f t="shared" si="12"/>
        <v>11</v>
      </c>
      <c r="C411" s="104" t="s">
        <v>469</v>
      </c>
      <c r="D411" s="105" t="s">
        <v>477</v>
      </c>
      <c r="E411" s="121"/>
    </row>
    <row r="412" spans="1:5">
      <c r="A412" t="s">
        <v>783</v>
      </c>
      <c r="B412">
        <f t="shared" si="12"/>
        <v>11</v>
      </c>
      <c r="C412" s="127" t="s">
        <v>478</v>
      </c>
      <c r="D412" s="128" t="s">
        <v>480</v>
      </c>
      <c r="E412" s="129">
        <v>2.4735688443931394E-2</v>
      </c>
    </row>
    <row r="413" spans="1:5">
      <c r="A413" t="s">
        <v>784</v>
      </c>
      <c r="B413">
        <f t="shared" si="12"/>
        <v>11</v>
      </c>
      <c r="C413" s="127" t="s">
        <v>479</v>
      </c>
      <c r="D413" s="128" t="s">
        <v>481</v>
      </c>
      <c r="E413" s="129"/>
    </row>
    <row r="414" spans="1:5">
      <c r="A414" t="s">
        <v>785</v>
      </c>
      <c r="B414">
        <f t="shared" si="12"/>
        <v>5</v>
      </c>
      <c r="C414" s="75" t="s">
        <v>246</v>
      </c>
      <c r="D414" s="22" t="s">
        <v>134</v>
      </c>
      <c r="E414" s="22">
        <v>9.9406826360536049E-3</v>
      </c>
    </row>
    <row r="415" spans="1:5">
      <c r="A415" t="s">
        <v>786</v>
      </c>
      <c r="B415">
        <f t="shared" si="12"/>
        <v>11</v>
      </c>
      <c r="C415" s="104" t="s">
        <v>488</v>
      </c>
      <c r="D415" s="105" t="s">
        <v>492</v>
      </c>
      <c r="E415" s="121">
        <v>9.9406826360536049E-3</v>
      </c>
    </row>
    <row r="416" spans="1:5">
      <c r="A416" t="s">
        <v>787</v>
      </c>
      <c r="B416">
        <f t="shared" si="12"/>
        <v>11</v>
      </c>
      <c r="C416" s="104" t="s">
        <v>489</v>
      </c>
      <c r="D416" s="105" t="s">
        <v>493</v>
      </c>
      <c r="E416" s="121"/>
    </row>
    <row r="417" spans="1:5">
      <c r="A417" t="s">
        <v>788</v>
      </c>
      <c r="B417">
        <f t="shared" si="12"/>
        <v>11</v>
      </c>
      <c r="C417" s="104" t="s">
        <v>490</v>
      </c>
      <c r="D417" s="105" t="s">
        <v>494</v>
      </c>
      <c r="E417" s="121"/>
    </row>
    <row r="418" spans="1:5">
      <c r="A418" t="s">
        <v>789</v>
      </c>
      <c r="B418">
        <f t="shared" si="12"/>
        <v>11</v>
      </c>
      <c r="C418" s="104" t="s">
        <v>491</v>
      </c>
      <c r="D418" s="105" t="s">
        <v>495</v>
      </c>
      <c r="E418" s="121"/>
    </row>
    <row r="419" spans="1:5">
      <c r="A419" t="s">
        <v>790</v>
      </c>
      <c r="B419">
        <f t="shared" si="12"/>
        <v>5</v>
      </c>
      <c r="C419" s="75" t="s">
        <v>249</v>
      </c>
      <c r="D419" s="22" t="s">
        <v>139</v>
      </c>
      <c r="E419" s="22">
        <v>1.1710182459565149E-2</v>
      </c>
    </row>
    <row r="420" spans="1:5">
      <c r="A420" t="s">
        <v>791</v>
      </c>
      <c r="B420">
        <f t="shared" si="12"/>
        <v>11</v>
      </c>
      <c r="C420" s="104" t="s">
        <v>496</v>
      </c>
      <c r="D420" s="105" t="s">
        <v>499</v>
      </c>
      <c r="E420" s="121">
        <v>1.1710182459565149E-2</v>
      </c>
    </row>
    <row r="421" spans="1:5">
      <c r="A421" t="s">
        <v>792</v>
      </c>
      <c r="B421">
        <f t="shared" si="12"/>
        <v>11</v>
      </c>
      <c r="C421" s="104" t="s">
        <v>497</v>
      </c>
      <c r="D421" s="105" t="s">
        <v>500</v>
      </c>
      <c r="E421" s="121"/>
    </row>
    <row r="422" spans="1:5">
      <c r="A422" t="s">
        <v>793</v>
      </c>
      <c r="B422">
        <f t="shared" si="12"/>
        <v>11</v>
      </c>
      <c r="C422" s="104" t="s">
        <v>498</v>
      </c>
      <c r="D422" s="105" t="s">
        <v>501</v>
      </c>
      <c r="E422" s="121"/>
    </row>
    <row r="423" spans="1:5">
      <c r="A423" t="s">
        <v>794</v>
      </c>
      <c r="B423">
        <f t="shared" si="12"/>
        <v>5</v>
      </c>
      <c r="C423" s="133" t="s">
        <v>670</v>
      </c>
      <c r="D423" s="22" t="s">
        <v>141</v>
      </c>
      <c r="E423" s="22">
        <v>7.7353773023729686E-3</v>
      </c>
    </row>
    <row r="424" spans="1:5">
      <c r="A424" t="s">
        <v>795</v>
      </c>
      <c r="B424">
        <f t="shared" si="12"/>
        <v>11</v>
      </c>
      <c r="C424" s="104">
        <v>31420</v>
      </c>
      <c r="D424" s="105" t="s">
        <v>505</v>
      </c>
      <c r="E424" s="121">
        <v>7.7353773023729686E-3</v>
      </c>
    </row>
    <row r="425" spans="1:5">
      <c r="A425" t="s">
        <v>796</v>
      </c>
      <c r="B425">
        <f t="shared" si="12"/>
        <v>11</v>
      </c>
      <c r="C425" s="104" t="s">
        <v>502</v>
      </c>
      <c r="D425" s="105" t="s">
        <v>506</v>
      </c>
      <c r="E425" s="121"/>
    </row>
    <row r="426" spans="1:5">
      <c r="A426" t="s">
        <v>797</v>
      </c>
      <c r="B426">
        <f t="shared" si="12"/>
        <v>11</v>
      </c>
      <c r="C426" s="104" t="s">
        <v>504</v>
      </c>
      <c r="D426" s="105" t="s">
        <v>507</v>
      </c>
      <c r="E426" s="121"/>
    </row>
    <row r="427" spans="1:5">
      <c r="A427" t="s">
        <v>798</v>
      </c>
      <c r="B427">
        <f t="shared" si="12"/>
        <v>11</v>
      </c>
      <c r="C427" s="104" t="s">
        <v>503</v>
      </c>
      <c r="D427" s="105" t="s">
        <v>508</v>
      </c>
      <c r="E427" s="121"/>
    </row>
    <row r="428" spans="1:5">
      <c r="A428" t="s">
        <v>799</v>
      </c>
      <c r="B428">
        <v>5</v>
      </c>
      <c r="C428" s="133">
        <v>1702</v>
      </c>
      <c r="D428" s="22" t="s">
        <v>145</v>
      </c>
      <c r="E428" s="22">
        <v>2.494571637457698E-2</v>
      </c>
    </row>
    <row r="429" spans="1:5">
      <c r="A429" t="s">
        <v>800</v>
      </c>
      <c r="B429">
        <f t="shared" si="12"/>
        <v>11</v>
      </c>
      <c r="C429" s="104" t="s">
        <v>509</v>
      </c>
      <c r="D429" s="105" t="s">
        <v>512</v>
      </c>
      <c r="E429" s="121">
        <v>1.404884945200306E-2</v>
      </c>
    </row>
    <row r="430" spans="1:5">
      <c r="A430" t="s">
        <v>801</v>
      </c>
      <c r="B430">
        <f t="shared" si="12"/>
        <v>11</v>
      </c>
      <c r="C430" s="104" t="s">
        <v>513</v>
      </c>
      <c r="D430" s="105" t="s">
        <v>514</v>
      </c>
      <c r="E430" s="121">
        <v>1.089686692257392E-2</v>
      </c>
    </row>
    <row r="431" spans="1:5">
      <c r="A431" t="s">
        <v>802</v>
      </c>
      <c r="B431">
        <f t="shared" si="12"/>
        <v>11</v>
      </c>
      <c r="C431" s="104" t="s">
        <v>510</v>
      </c>
      <c r="D431" s="105" t="s">
        <v>511</v>
      </c>
      <c r="E431" s="121"/>
    </row>
    <row r="432" spans="1:5">
      <c r="A432" t="s">
        <v>908</v>
      </c>
      <c r="B432">
        <f t="shared" si="12"/>
        <v>11</v>
      </c>
      <c r="C432" s="104">
        <v>32700</v>
      </c>
      <c r="D432" s="105" t="s">
        <v>516</v>
      </c>
      <c r="E432" s="121"/>
    </row>
    <row r="433" spans="1:5">
      <c r="A433" t="s">
        <v>803</v>
      </c>
      <c r="B433">
        <v>5</v>
      </c>
      <c r="C433" s="75">
        <v>1811</v>
      </c>
      <c r="D433" s="22" t="s">
        <v>148</v>
      </c>
      <c r="E433" s="22">
        <v>9.35363244011694E-3</v>
      </c>
    </row>
    <row r="434" spans="1:5">
      <c r="A434" t="s">
        <v>804</v>
      </c>
      <c r="B434">
        <f t="shared" ref="B434:B497" si="13">LEN(A434)</f>
        <v>11</v>
      </c>
      <c r="C434" s="104">
        <v>32690</v>
      </c>
      <c r="D434" s="105" t="s">
        <v>516</v>
      </c>
      <c r="E434" s="121">
        <v>9.35363244011694E-3</v>
      </c>
    </row>
    <row r="435" spans="1:5">
      <c r="A435" t="s">
        <v>805</v>
      </c>
      <c r="B435">
        <f t="shared" si="13"/>
        <v>5</v>
      </c>
      <c r="C435" s="75" t="s">
        <v>655</v>
      </c>
      <c r="D435" s="22" t="s">
        <v>157</v>
      </c>
      <c r="E435" s="22">
        <v>6.545388831282163E-3</v>
      </c>
    </row>
    <row r="436" spans="1:5">
      <c r="A436" t="s">
        <v>806</v>
      </c>
      <c r="B436">
        <f t="shared" si="13"/>
        <v>11</v>
      </c>
      <c r="C436" s="127" t="s">
        <v>517</v>
      </c>
      <c r="D436" s="128" t="s">
        <v>518</v>
      </c>
      <c r="E436" s="129">
        <v>6.545388831282163E-3</v>
      </c>
    </row>
    <row r="437" spans="1:5">
      <c r="A437" t="s">
        <v>807</v>
      </c>
      <c r="B437">
        <v>5</v>
      </c>
      <c r="C437" s="75">
        <v>2021</v>
      </c>
      <c r="D437" s="22" t="s">
        <v>159</v>
      </c>
      <c r="E437" s="22">
        <v>3.1331779842237006E-2</v>
      </c>
    </row>
    <row r="438" spans="1:5">
      <c r="A438" t="s">
        <v>808</v>
      </c>
      <c r="B438">
        <f t="shared" si="13"/>
        <v>11</v>
      </c>
      <c r="C438" s="104" t="s">
        <v>525</v>
      </c>
      <c r="D438" s="105" t="s">
        <v>530</v>
      </c>
      <c r="E438" s="121">
        <v>3.1331779842237006E-2</v>
      </c>
    </row>
    <row r="439" spans="1:5">
      <c r="A439" t="s">
        <v>809</v>
      </c>
      <c r="B439">
        <f t="shared" si="13"/>
        <v>11</v>
      </c>
      <c r="C439" s="104">
        <v>34644</v>
      </c>
      <c r="D439" s="105" t="s">
        <v>524</v>
      </c>
      <c r="E439" s="121"/>
    </row>
    <row r="440" spans="1:5">
      <c r="A440" t="s">
        <v>810</v>
      </c>
      <c r="B440">
        <f t="shared" si="13"/>
        <v>11</v>
      </c>
      <c r="C440" s="104" t="s">
        <v>520</v>
      </c>
      <c r="D440" s="105" t="s">
        <v>522</v>
      </c>
      <c r="E440" s="121"/>
    </row>
    <row r="441" spans="1:5">
      <c r="A441" t="s">
        <v>811</v>
      </c>
      <c r="B441">
        <f t="shared" si="13"/>
        <v>11</v>
      </c>
      <c r="C441" s="104" t="s">
        <v>519</v>
      </c>
      <c r="D441" s="105" t="s">
        <v>521</v>
      </c>
      <c r="E441" s="121"/>
    </row>
    <row r="442" spans="1:5">
      <c r="A442" t="s">
        <v>812</v>
      </c>
      <c r="B442">
        <f t="shared" si="13"/>
        <v>11</v>
      </c>
      <c r="C442" s="104" t="s">
        <v>526</v>
      </c>
      <c r="D442" s="105" t="s">
        <v>529</v>
      </c>
      <c r="E442" s="121"/>
    </row>
    <row r="443" spans="1:5">
      <c r="A443" t="s">
        <v>813</v>
      </c>
      <c r="B443">
        <f t="shared" si="13"/>
        <v>11</v>
      </c>
      <c r="C443" s="104" t="s">
        <v>527</v>
      </c>
      <c r="D443" s="105" t="s">
        <v>528</v>
      </c>
      <c r="E443" s="121"/>
    </row>
    <row r="444" spans="1:5">
      <c r="A444" t="s">
        <v>814</v>
      </c>
      <c r="B444">
        <f t="shared" si="13"/>
        <v>5</v>
      </c>
      <c r="C444" s="75" t="s">
        <v>273</v>
      </c>
      <c r="D444" s="22" t="s">
        <v>166</v>
      </c>
      <c r="E444" s="22">
        <v>6.1693446319443738E-3</v>
      </c>
    </row>
    <row r="445" spans="1:5">
      <c r="A445" t="s">
        <v>815</v>
      </c>
      <c r="B445">
        <f t="shared" si="13"/>
        <v>11</v>
      </c>
      <c r="C445" s="104" t="s">
        <v>531</v>
      </c>
      <c r="D445" s="105" t="s">
        <v>532</v>
      </c>
      <c r="E445" s="121">
        <v>6.1693446319443738E-3</v>
      </c>
    </row>
    <row r="446" spans="1:5">
      <c r="A446" t="s">
        <v>816</v>
      </c>
      <c r="B446">
        <f t="shared" si="13"/>
        <v>5</v>
      </c>
      <c r="C446" s="75" t="s">
        <v>276</v>
      </c>
      <c r="D446" s="22" t="s">
        <v>170</v>
      </c>
      <c r="E446" s="22">
        <v>2.6844378501225379E-2</v>
      </c>
    </row>
    <row r="447" spans="1:5">
      <c r="A447" t="s">
        <v>817</v>
      </c>
      <c r="B447">
        <f t="shared" si="13"/>
        <v>11</v>
      </c>
      <c r="C447" s="104" t="s">
        <v>533</v>
      </c>
      <c r="D447" s="105" t="s">
        <v>534</v>
      </c>
      <c r="E447" s="121">
        <v>2.6844378501225379E-2</v>
      </c>
    </row>
    <row r="448" spans="1:5">
      <c r="A448" t="s">
        <v>818</v>
      </c>
      <c r="B448">
        <f t="shared" si="13"/>
        <v>11</v>
      </c>
      <c r="C448" s="104" t="s">
        <v>535</v>
      </c>
      <c r="D448" s="105" t="s">
        <v>536</v>
      </c>
      <c r="E448" s="121"/>
    </row>
    <row r="449" spans="1:5">
      <c r="A449" t="s">
        <v>819</v>
      </c>
      <c r="B449">
        <f t="shared" si="13"/>
        <v>11</v>
      </c>
      <c r="C449" s="104" t="s">
        <v>537</v>
      </c>
      <c r="D449" s="105" t="s">
        <v>538</v>
      </c>
      <c r="E449" s="121"/>
    </row>
    <row r="450" spans="1:5">
      <c r="A450" t="s">
        <v>820</v>
      </c>
      <c r="B450">
        <v>5</v>
      </c>
      <c r="C450" s="75" t="s">
        <v>692</v>
      </c>
      <c r="D450" s="22" t="s">
        <v>173</v>
      </c>
      <c r="E450" s="22">
        <v>1.2168135774971984E-2</v>
      </c>
    </row>
    <row r="451" spans="1:5">
      <c r="A451" t="s">
        <v>821</v>
      </c>
      <c r="B451">
        <f t="shared" si="13"/>
        <v>11</v>
      </c>
      <c r="C451" s="104" t="s">
        <v>539</v>
      </c>
      <c r="D451" s="105" t="s">
        <v>546</v>
      </c>
      <c r="E451" s="121">
        <v>8.1563677436482223E-3</v>
      </c>
    </row>
    <row r="452" spans="1:5">
      <c r="A452" t="s">
        <v>822</v>
      </c>
      <c r="B452">
        <f t="shared" si="13"/>
        <v>11</v>
      </c>
      <c r="C452" s="104" t="s">
        <v>540</v>
      </c>
      <c r="D452" s="105" t="s">
        <v>547</v>
      </c>
      <c r="E452" s="121"/>
    </row>
    <row r="453" spans="1:5">
      <c r="A453" s="138" t="s">
        <v>823</v>
      </c>
      <c r="B453" s="138">
        <f t="shared" si="13"/>
        <v>11</v>
      </c>
      <c r="C453" s="137" t="s">
        <v>541</v>
      </c>
      <c r="D453" s="138" t="s">
        <v>548</v>
      </c>
      <c r="E453" s="121"/>
    </row>
    <row r="454" spans="1:5">
      <c r="A454" t="s">
        <v>824</v>
      </c>
      <c r="B454">
        <f t="shared" si="13"/>
        <v>11</v>
      </c>
      <c r="C454" s="104" t="s">
        <v>542</v>
      </c>
      <c r="D454" s="105" t="s">
        <v>544</v>
      </c>
      <c r="E454" s="121"/>
    </row>
    <row r="455" spans="1:5">
      <c r="A455" t="s">
        <v>825</v>
      </c>
      <c r="B455">
        <f t="shared" si="13"/>
        <v>11</v>
      </c>
      <c r="C455" s="104" t="s">
        <v>543</v>
      </c>
      <c r="D455" s="105" t="s">
        <v>545</v>
      </c>
      <c r="E455" s="121"/>
    </row>
    <row r="456" spans="1:5">
      <c r="A456" t="s">
        <v>826</v>
      </c>
      <c r="B456">
        <f t="shared" si="13"/>
        <v>11</v>
      </c>
      <c r="C456" s="104" t="s">
        <v>549</v>
      </c>
      <c r="D456" s="105" t="s">
        <v>553</v>
      </c>
      <c r="E456" s="121">
        <v>4.0117680313237611E-3</v>
      </c>
    </row>
    <row r="457" spans="1:5">
      <c r="A457" t="s">
        <v>827</v>
      </c>
      <c r="B457">
        <f t="shared" si="13"/>
        <v>11</v>
      </c>
      <c r="C457" s="104" t="s">
        <v>550</v>
      </c>
      <c r="D457" s="105" t="s">
        <v>554</v>
      </c>
      <c r="E457" s="121"/>
    </row>
    <row r="458" spans="1:5">
      <c r="A458" t="s">
        <v>828</v>
      </c>
      <c r="B458">
        <f t="shared" si="13"/>
        <v>11</v>
      </c>
      <c r="C458" s="104" t="s">
        <v>551</v>
      </c>
      <c r="D458" s="105" t="s">
        <v>555</v>
      </c>
      <c r="E458" s="121"/>
    </row>
    <row r="459" spans="1:5">
      <c r="A459" t="s">
        <v>829</v>
      </c>
      <c r="B459">
        <f t="shared" si="13"/>
        <v>11</v>
      </c>
      <c r="C459" s="104" t="s">
        <v>552</v>
      </c>
      <c r="D459" s="105" t="s">
        <v>556</v>
      </c>
      <c r="E459" s="121"/>
    </row>
    <row r="460" spans="1:5">
      <c r="A460" t="s">
        <v>830</v>
      </c>
      <c r="B460">
        <f t="shared" si="13"/>
        <v>11</v>
      </c>
      <c r="C460" s="104" t="s">
        <v>644</v>
      </c>
      <c r="D460" s="105" t="s">
        <v>646</v>
      </c>
      <c r="E460" s="121"/>
    </row>
    <row r="461" spans="1:5">
      <c r="A461" t="s">
        <v>831</v>
      </c>
      <c r="B461">
        <f t="shared" si="13"/>
        <v>5</v>
      </c>
      <c r="C461" s="75" t="s">
        <v>284</v>
      </c>
      <c r="D461" s="22" t="s">
        <v>177</v>
      </c>
      <c r="E461" s="22">
        <v>2.1128605704991293E-2</v>
      </c>
    </row>
    <row r="462" spans="1:5">
      <c r="A462" t="s">
        <v>832</v>
      </c>
      <c r="B462">
        <f t="shared" si="13"/>
        <v>11</v>
      </c>
      <c r="C462" s="104" t="s">
        <v>557</v>
      </c>
      <c r="D462" s="105" t="s">
        <v>559</v>
      </c>
      <c r="E462" s="121">
        <v>2.1128605704991293E-2</v>
      </c>
    </row>
    <row r="463" spans="1:5">
      <c r="A463" t="s">
        <v>833</v>
      </c>
      <c r="B463">
        <f t="shared" si="13"/>
        <v>11</v>
      </c>
      <c r="C463" s="104" t="s">
        <v>558</v>
      </c>
      <c r="D463" s="105" t="s">
        <v>560</v>
      </c>
      <c r="E463" s="121"/>
    </row>
    <row r="464" spans="1:5">
      <c r="A464" t="s">
        <v>834</v>
      </c>
      <c r="B464">
        <f t="shared" si="13"/>
        <v>5</v>
      </c>
      <c r="C464" s="75" t="s">
        <v>290</v>
      </c>
      <c r="D464" s="22" t="s">
        <v>184</v>
      </c>
      <c r="E464" s="22">
        <v>6.0523013895826434E-2</v>
      </c>
    </row>
    <row r="465" spans="1:5">
      <c r="A465" t="s">
        <v>835</v>
      </c>
      <c r="B465">
        <f t="shared" si="13"/>
        <v>11</v>
      </c>
      <c r="C465" s="104" t="s">
        <v>567</v>
      </c>
      <c r="D465" s="105" t="s">
        <v>574</v>
      </c>
      <c r="E465" s="121">
        <v>6.0523013895826434E-2</v>
      </c>
    </row>
    <row r="466" spans="1:5">
      <c r="A466" t="s">
        <v>836</v>
      </c>
      <c r="B466">
        <f t="shared" si="13"/>
        <v>11</v>
      </c>
      <c r="C466" s="104" t="s">
        <v>568</v>
      </c>
      <c r="D466" s="105" t="s">
        <v>575</v>
      </c>
      <c r="E466" s="121"/>
    </row>
    <row r="467" spans="1:5">
      <c r="A467" t="s">
        <v>837</v>
      </c>
      <c r="B467">
        <f t="shared" si="13"/>
        <v>11</v>
      </c>
      <c r="C467" s="104" t="s">
        <v>569</v>
      </c>
      <c r="D467" s="105" t="s">
        <v>576</v>
      </c>
      <c r="E467" s="121"/>
    </row>
    <row r="468" spans="1:5">
      <c r="A468" t="s">
        <v>838</v>
      </c>
      <c r="B468">
        <f t="shared" si="13"/>
        <v>11</v>
      </c>
      <c r="C468" s="104" t="s">
        <v>570</v>
      </c>
      <c r="D468" s="105" t="s">
        <v>577</v>
      </c>
      <c r="E468" s="121"/>
    </row>
    <row r="469" spans="1:5">
      <c r="A469" t="s">
        <v>839</v>
      </c>
      <c r="B469">
        <f t="shared" si="13"/>
        <v>11</v>
      </c>
      <c r="C469" s="104" t="s">
        <v>571</v>
      </c>
      <c r="D469" s="105" t="s">
        <v>578</v>
      </c>
      <c r="E469" s="121"/>
    </row>
    <row r="470" spans="1:5">
      <c r="A470" s="138" t="s">
        <v>840</v>
      </c>
      <c r="B470" s="138">
        <f t="shared" si="13"/>
        <v>11</v>
      </c>
      <c r="C470" s="137" t="s">
        <v>572</v>
      </c>
      <c r="D470" s="138" t="s">
        <v>579</v>
      </c>
      <c r="E470" s="121"/>
    </row>
    <row r="471" spans="1:5">
      <c r="A471" t="s">
        <v>841</v>
      </c>
      <c r="B471">
        <f t="shared" si="13"/>
        <v>11</v>
      </c>
      <c r="C471" s="104" t="s">
        <v>573</v>
      </c>
      <c r="D471" s="105" t="s">
        <v>580</v>
      </c>
      <c r="E471" s="121"/>
    </row>
    <row r="472" spans="1:5">
      <c r="A472" t="s">
        <v>842</v>
      </c>
      <c r="B472">
        <f t="shared" si="13"/>
        <v>5</v>
      </c>
      <c r="C472" s="75" t="s">
        <v>293</v>
      </c>
      <c r="D472" s="22" t="s">
        <v>187</v>
      </c>
      <c r="E472" s="22">
        <v>4.8120213349284553E-3</v>
      </c>
    </row>
    <row r="473" spans="1:5">
      <c r="A473" s="138" t="s">
        <v>843</v>
      </c>
      <c r="B473" s="138">
        <f t="shared" si="13"/>
        <v>11</v>
      </c>
      <c r="C473" s="137" t="s">
        <v>581</v>
      </c>
      <c r="D473" s="138" t="s">
        <v>583</v>
      </c>
    </row>
    <row r="474" spans="1:5">
      <c r="A474" t="s">
        <v>844</v>
      </c>
      <c r="B474">
        <f t="shared" si="13"/>
        <v>11</v>
      </c>
      <c r="C474" s="104" t="s">
        <v>582</v>
      </c>
      <c r="D474" s="105" t="s">
        <v>584</v>
      </c>
      <c r="E474" s="121">
        <v>4.8120213349284553E-3</v>
      </c>
    </row>
    <row r="475" spans="1:5">
      <c r="A475" t="s">
        <v>845</v>
      </c>
      <c r="B475">
        <f t="shared" si="13"/>
        <v>5</v>
      </c>
      <c r="C475" s="136" t="s">
        <v>689</v>
      </c>
      <c r="D475" s="22" t="s">
        <v>189</v>
      </c>
      <c r="E475" s="22">
        <v>1.063509792232098E-2</v>
      </c>
    </row>
    <row r="476" spans="1:5">
      <c r="A476" t="s">
        <v>846</v>
      </c>
      <c r="B476">
        <f t="shared" si="13"/>
        <v>11</v>
      </c>
      <c r="C476" s="104" t="s">
        <v>589</v>
      </c>
      <c r="D476" s="105" t="s">
        <v>590</v>
      </c>
      <c r="E476" s="121">
        <v>2.3568577950668621E-3</v>
      </c>
    </row>
    <row r="477" spans="1:5">
      <c r="A477" t="s">
        <v>847</v>
      </c>
      <c r="B477">
        <f t="shared" si="13"/>
        <v>11</v>
      </c>
      <c r="C477" s="104" t="s">
        <v>585</v>
      </c>
      <c r="D477" s="105" t="s">
        <v>587</v>
      </c>
      <c r="E477" s="121">
        <v>8.2782401272541179E-3</v>
      </c>
    </row>
    <row r="478" spans="1:5">
      <c r="A478" t="s">
        <v>848</v>
      </c>
      <c r="B478">
        <f t="shared" si="13"/>
        <v>11</v>
      </c>
      <c r="C478" s="104" t="s">
        <v>586</v>
      </c>
      <c r="D478" s="105" t="s">
        <v>588</v>
      </c>
      <c r="E478" s="121"/>
    </row>
    <row r="479" spans="1:5">
      <c r="A479" t="s">
        <v>849</v>
      </c>
      <c r="B479">
        <f t="shared" si="13"/>
        <v>5</v>
      </c>
      <c r="C479" s="75" t="s">
        <v>301</v>
      </c>
      <c r="D479" s="22" t="s">
        <v>192</v>
      </c>
      <c r="E479" s="22">
        <v>4.3354474434690947E-2</v>
      </c>
    </row>
    <row r="480" spans="1:5">
      <c r="A480" t="s">
        <v>850</v>
      </c>
      <c r="B480">
        <f t="shared" si="13"/>
        <v>11</v>
      </c>
      <c r="C480" s="104" t="s">
        <v>591</v>
      </c>
      <c r="D480" s="105" t="s">
        <v>592</v>
      </c>
      <c r="E480" s="121">
        <v>4.3354474434690947E-2</v>
      </c>
    </row>
    <row r="481" spans="1:5">
      <c r="A481" t="s">
        <v>851</v>
      </c>
      <c r="B481">
        <f t="shared" si="13"/>
        <v>5</v>
      </c>
      <c r="C481" s="136" t="s">
        <v>304</v>
      </c>
      <c r="D481" s="22" t="s">
        <v>196</v>
      </c>
      <c r="E481" s="22">
        <v>9.2117915645770383E-3</v>
      </c>
    </row>
    <row r="482" spans="1:5">
      <c r="A482" t="s">
        <v>852</v>
      </c>
      <c r="B482">
        <f t="shared" si="13"/>
        <v>11</v>
      </c>
      <c r="C482" s="104" t="s">
        <v>593</v>
      </c>
      <c r="D482" s="105" t="s">
        <v>595</v>
      </c>
      <c r="E482" s="121">
        <v>9.2117915645770383E-3</v>
      </c>
    </row>
    <row r="483" spans="1:5">
      <c r="A483" t="s">
        <v>853</v>
      </c>
      <c r="B483">
        <f t="shared" si="13"/>
        <v>11</v>
      </c>
      <c r="C483" s="104" t="s">
        <v>594</v>
      </c>
      <c r="D483" s="105" t="s">
        <v>596</v>
      </c>
      <c r="E483" s="121"/>
    </row>
    <row r="484" spans="1:5">
      <c r="A484" t="s">
        <v>854</v>
      </c>
      <c r="B484">
        <f t="shared" si="13"/>
        <v>5</v>
      </c>
      <c r="C484" s="136" t="s">
        <v>678</v>
      </c>
      <c r="D484" s="22" t="s">
        <v>203</v>
      </c>
      <c r="E484" s="22">
        <v>5.1480654636354282E-2</v>
      </c>
    </row>
    <row r="485" spans="1:5">
      <c r="A485" t="s">
        <v>855</v>
      </c>
      <c r="B485">
        <f t="shared" si="13"/>
        <v>11</v>
      </c>
      <c r="C485" s="104" t="s">
        <v>601</v>
      </c>
      <c r="D485" s="105" t="s">
        <v>608</v>
      </c>
      <c r="E485" s="121">
        <v>5.1480654636354282E-2</v>
      </c>
    </row>
    <row r="486" spans="1:5">
      <c r="A486" t="s">
        <v>856</v>
      </c>
      <c r="B486">
        <f t="shared" si="13"/>
        <v>11</v>
      </c>
      <c r="C486" s="104" t="s">
        <v>602</v>
      </c>
      <c r="D486" s="105" t="s">
        <v>609</v>
      </c>
      <c r="E486" s="121"/>
    </row>
    <row r="487" spans="1:5">
      <c r="A487" t="s">
        <v>857</v>
      </c>
      <c r="B487">
        <f t="shared" si="13"/>
        <v>11</v>
      </c>
      <c r="C487" s="104" t="s">
        <v>603</v>
      </c>
      <c r="D487" s="105" t="s">
        <v>610</v>
      </c>
      <c r="E487" s="121"/>
    </row>
    <row r="488" spans="1:5">
      <c r="A488" t="s">
        <v>858</v>
      </c>
      <c r="B488">
        <f t="shared" si="13"/>
        <v>11</v>
      </c>
      <c r="C488" s="104" t="s">
        <v>604</v>
      </c>
      <c r="D488" s="105" t="s">
        <v>611</v>
      </c>
      <c r="E488" s="121"/>
    </row>
    <row r="489" spans="1:5">
      <c r="A489" t="s">
        <v>859</v>
      </c>
      <c r="B489">
        <f t="shared" si="13"/>
        <v>11</v>
      </c>
      <c r="C489" s="104" t="s">
        <v>605</v>
      </c>
      <c r="D489" s="105" t="s">
        <v>612</v>
      </c>
      <c r="E489" s="121"/>
    </row>
    <row r="490" spans="1:5">
      <c r="A490" t="s">
        <v>860</v>
      </c>
      <c r="B490">
        <f t="shared" si="13"/>
        <v>11</v>
      </c>
      <c r="C490" s="104" t="s">
        <v>606</v>
      </c>
      <c r="D490" s="105" t="s">
        <v>613</v>
      </c>
      <c r="E490" s="121"/>
    </row>
    <row r="491" spans="1:5">
      <c r="A491" t="s">
        <v>861</v>
      </c>
      <c r="B491">
        <f t="shared" si="13"/>
        <v>11</v>
      </c>
      <c r="C491" s="104" t="s">
        <v>607</v>
      </c>
      <c r="D491" s="105" t="s">
        <v>614</v>
      </c>
      <c r="E491" s="121"/>
    </row>
    <row r="492" spans="1:5">
      <c r="A492" t="s">
        <v>862</v>
      </c>
      <c r="B492">
        <v>5</v>
      </c>
      <c r="C492" s="136" t="s">
        <v>690</v>
      </c>
      <c r="D492" s="22" t="s">
        <v>206</v>
      </c>
      <c r="E492" s="22">
        <v>1.4180043508282966E-2</v>
      </c>
    </row>
    <row r="493" spans="1:5">
      <c r="A493" t="s">
        <v>863</v>
      </c>
      <c r="B493">
        <f t="shared" si="13"/>
        <v>11</v>
      </c>
      <c r="C493" s="104" t="s">
        <v>615</v>
      </c>
      <c r="D493" s="105" t="s">
        <v>620</v>
      </c>
      <c r="E493" s="121">
        <v>9.2114830797715552E-3</v>
      </c>
    </row>
    <row r="494" spans="1:5">
      <c r="A494" t="s">
        <v>864</v>
      </c>
      <c r="B494">
        <f t="shared" si="13"/>
        <v>11</v>
      </c>
      <c r="C494" s="104" t="s">
        <v>616</v>
      </c>
      <c r="D494" s="105" t="s">
        <v>621</v>
      </c>
      <c r="E494" s="121"/>
    </row>
    <row r="495" spans="1:5">
      <c r="A495" t="s">
        <v>865</v>
      </c>
      <c r="B495">
        <f t="shared" si="13"/>
        <v>11</v>
      </c>
      <c r="C495" s="104" t="s">
        <v>617</v>
      </c>
      <c r="D495" s="105" t="s">
        <v>622</v>
      </c>
      <c r="E495" s="121"/>
    </row>
    <row r="496" spans="1:5">
      <c r="A496" t="s">
        <v>866</v>
      </c>
      <c r="B496">
        <f t="shared" si="13"/>
        <v>11</v>
      </c>
      <c r="C496" s="104" t="s">
        <v>618</v>
      </c>
      <c r="D496" s="105" t="s">
        <v>623</v>
      </c>
      <c r="E496" s="121"/>
    </row>
    <row r="497" spans="1:5">
      <c r="A497" t="s">
        <v>867</v>
      </c>
      <c r="B497">
        <f t="shared" si="13"/>
        <v>11</v>
      </c>
      <c r="C497" s="104" t="s">
        <v>619</v>
      </c>
      <c r="D497" s="105" t="s">
        <v>624</v>
      </c>
      <c r="E497" s="121"/>
    </row>
    <row r="498" spans="1:5">
      <c r="A498" t="s">
        <v>868</v>
      </c>
      <c r="B498">
        <f t="shared" ref="B498:B511" si="14">LEN(A498)</f>
        <v>11</v>
      </c>
      <c r="C498" s="104" t="s">
        <v>625</v>
      </c>
      <c r="D498" s="105" t="s">
        <v>626</v>
      </c>
      <c r="E498" s="121">
        <v>4.9685604285114116E-3</v>
      </c>
    </row>
    <row r="499" spans="1:5">
      <c r="A499" t="s">
        <v>869</v>
      </c>
      <c r="B499">
        <v>5</v>
      </c>
      <c r="C499" s="75" t="s">
        <v>691</v>
      </c>
      <c r="D499" s="22" t="s">
        <v>210</v>
      </c>
      <c r="E499" s="22">
        <v>2.7799533438247932E-2</v>
      </c>
    </row>
    <row r="500" spans="1:5">
      <c r="A500" t="s">
        <v>870</v>
      </c>
      <c r="B500">
        <f t="shared" si="14"/>
        <v>11</v>
      </c>
      <c r="C500" s="127" t="s">
        <v>627</v>
      </c>
      <c r="D500" s="128" t="s">
        <v>628</v>
      </c>
      <c r="E500" s="129">
        <v>1.6419111117002692E-2</v>
      </c>
    </row>
    <row r="501" spans="1:5">
      <c r="A501" t="s">
        <v>871</v>
      </c>
      <c r="B501">
        <f t="shared" si="14"/>
        <v>11</v>
      </c>
      <c r="C501" s="104" t="s">
        <v>629</v>
      </c>
      <c r="D501" s="105" t="s">
        <v>630</v>
      </c>
      <c r="E501" s="121">
        <v>5.495474590764526E-3</v>
      </c>
    </row>
    <row r="502" spans="1:5">
      <c r="A502" t="s">
        <v>872</v>
      </c>
      <c r="B502">
        <f t="shared" si="14"/>
        <v>11</v>
      </c>
      <c r="C502" s="104" t="s">
        <v>631</v>
      </c>
      <c r="D502" s="105" t="s">
        <v>633</v>
      </c>
      <c r="E502" s="121">
        <v>3.209064274324182E-3</v>
      </c>
    </row>
    <row r="503" spans="1:5">
      <c r="A503" t="s">
        <v>873</v>
      </c>
      <c r="B503">
        <f t="shared" si="14"/>
        <v>11</v>
      </c>
      <c r="C503" s="104" t="s">
        <v>632</v>
      </c>
      <c r="D503" s="105" t="s">
        <v>634</v>
      </c>
      <c r="E503" s="121"/>
    </row>
    <row r="504" spans="1:5">
      <c r="A504" t="s">
        <v>874</v>
      </c>
      <c r="B504">
        <f t="shared" si="14"/>
        <v>11</v>
      </c>
      <c r="C504" s="104" t="s">
        <v>635</v>
      </c>
      <c r="D504" s="105" t="s">
        <v>636</v>
      </c>
      <c r="E504" s="121">
        <v>2.6758834561565322E-3</v>
      </c>
    </row>
    <row r="505" spans="1:5">
      <c r="A505" t="s">
        <v>875</v>
      </c>
      <c r="B505">
        <f t="shared" si="14"/>
        <v>5</v>
      </c>
      <c r="C505" s="75" t="s">
        <v>327</v>
      </c>
      <c r="D505" s="22" t="s">
        <v>213</v>
      </c>
      <c r="E505" s="22">
        <v>3.3448007491671976E-2</v>
      </c>
    </row>
    <row r="506" spans="1:5">
      <c r="A506" t="s">
        <v>876</v>
      </c>
      <c r="B506">
        <f t="shared" si="14"/>
        <v>11</v>
      </c>
      <c r="C506" s="104" t="s">
        <v>637</v>
      </c>
      <c r="D506" s="105" t="s">
        <v>640</v>
      </c>
      <c r="E506" s="121">
        <v>3.3448007491671976E-2</v>
      </c>
    </row>
    <row r="507" spans="1:5">
      <c r="A507" t="s">
        <v>877</v>
      </c>
      <c r="B507">
        <f t="shared" si="14"/>
        <v>11</v>
      </c>
      <c r="C507" s="104" t="s">
        <v>638</v>
      </c>
      <c r="D507" s="105" t="s">
        <v>641</v>
      </c>
      <c r="E507" s="121"/>
    </row>
    <row r="508" spans="1:5">
      <c r="A508" t="s">
        <v>878</v>
      </c>
      <c r="B508">
        <f t="shared" si="14"/>
        <v>11</v>
      </c>
      <c r="C508" s="104" t="s">
        <v>639</v>
      </c>
      <c r="D508" s="105" t="s">
        <v>642</v>
      </c>
      <c r="E508" s="121"/>
    </row>
    <row r="509" spans="1:5">
      <c r="A509" t="s">
        <v>881</v>
      </c>
      <c r="B509">
        <v>5</v>
      </c>
      <c r="C509" s="75" t="s">
        <v>882</v>
      </c>
      <c r="D509" s="22" t="s">
        <v>217</v>
      </c>
      <c r="E509" s="22">
        <v>7.9159848100805955E-3</v>
      </c>
    </row>
    <row r="510" spans="1:5">
      <c r="A510" t="s">
        <v>879</v>
      </c>
      <c r="B510">
        <f t="shared" si="14"/>
        <v>11</v>
      </c>
      <c r="C510" s="104" t="s">
        <v>643</v>
      </c>
      <c r="D510" s="105" t="s">
        <v>645</v>
      </c>
      <c r="E510" s="121">
        <v>6.6449775893350832E-3</v>
      </c>
    </row>
    <row r="511" spans="1:5">
      <c r="A511" t="s">
        <v>880</v>
      </c>
      <c r="B511">
        <f t="shared" si="14"/>
        <v>11</v>
      </c>
      <c r="C511" s="104" t="s">
        <v>647</v>
      </c>
      <c r="D511" s="105" t="s">
        <v>648</v>
      </c>
      <c r="E511" s="121">
        <v>1.2710072207455126E-3</v>
      </c>
    </row>
    <row r="515" spans="1:6">
      <c r="A515" t="s">
        <v>884</v>
      </c>
      <c r="B515" t="s">
        <v>883</v>
      </c>
      <c r="C515" s="148" t="s">
        <v>19</v>
      </c>
      <c r="D515" s="15" t="s">
        <v>22</v>
      </c>
      <c r="E515" s="15"/>
      <c r="F515" s="147">
        <f>F516+F588+F594+F607+F619+F624+F634+F640+F643+F669+F673+F681+F693+F702+F710+F717+F722</f>
        <v>1</v>
      </c>
    </row>
    <row r="516" spans="1:6">
      <c r="A516" t="s">
        <v>940</v>
      </c>
      <c r="C516" s="149">
        <v>10</v>
      </c>
      <c r="D516" s="142" t="s">
        <v>941</v>
      </c>
      <c r="E516" s="142"/>
      <c r="F516" s="143">
        <v>0.41720056891829183</v>
      </c>
    </row>
    <row r="517" spans="1:6">
      <c r="A517" t="s">
        <v>694</v>
      </c>
      <c r="B517">
        <f>LEN(A517)</f>
        <v>5</v>
      </c>
      <c r="C517" s="75">
        <v>1010</v>
      </c>
      <c r="D517" s="22" t="s">
        <v>21</v>
      </c>
      <c r="E517" s="22">
        <v>2.2185477476964508E-2</v>
      </c>
      <c r="F517" s="22">
        <f>F518</f>
        <v>2.249018117813514E-2</v>
      </c>
    </row>
    <row r="518" spans="1:6">
      <c r="A518" t="s">
        <v>693</v>
      </c>
      <c r="B518">
        <f t="shared" ref="B518:B579" si="15">LEN(A518)</f>
        <v>11</v>
      </c>
      <c r="C518" s="104" t="s">
        <v>30</v>
      </c>
      <c r="D518" s="105" t="s">
        <v>656</v>
      </c>
      <c r="E518" s="121">
        <v>2.2185477476964508E-2</v>
      </c>
      <c r="F518" s="121">
        <v>2.249018117813514E-2</v>
      </c>
    </row>
    <row r="519" spans="1:6">
      <c r="A519" t="s">
        <v>694</v>
      </c>
      <c r="B519">
        <f t="shared" si="15"/>
        <v>5</v>
      </c>
      <c r="C519" s="75" t="s">
        <v>649</v>
      </c>
      <c r="D519" s="22" t="s">
        <v>26</v>
      </c>
      <c r="E519" s="22">
        <v>6.4191753088552678E-3</v>
      </c>
      <c r="F519" s="22">
        <f>F520+F521</f>
        <v>6.5073386795603712E-3</v>
      </c>
    </row>
    <row r="520" spans="1:6">
      <c r="A520" t="s">
        <v>695</v>
      </c>
      <c r="B520">
        <f t="shared" si="15"/>
        <v>11</v>
      </c>
      <c r="C520" s="104" t="s">
        <v>40</v>
      </c>
      <c r="D520" s="105" t="s">
        <v>41</v>
      </c>
      <c r="E520" s="121">
        <v>5.5739411044183384E-3</v>
      </c>
      <c r="F520" s="121">
        <v>5.733945855595367E-3</v>
      </c>
    </row>
    <row r="521" spans="1:6">
      <c r="A521" t="s">
        <v>696</v>
      </c>
      <c r="B521">
        <f t="shared" si="15"/>
        <v>11</v>
      </c>
      <c r="C521" s="104" t="s">
        <v>658</v>
      </c>
      <c r="D521" s="105" t="s">
        <v>657</v>
      </c>
      <c r="E521" s="121">
        <v>7.5181143316064799E-4</v>
      </c>
      <c r="F521" s="121">
        <v>7.7339282396500378E-4</v>
      </c>
    </row>
    <row r="522" spans="1:6">
      <c r="A522" t="s">
        <v>694</v>
      </c>
      <c r="B522">
        <f t="shared" si="15"/>
        <v>5</v>
      </c>
      <c r="C522" s="75" t="s">
        <v>649</v>
      </c>
      <c r="D522" s="22" t="s">
        <v>29</v>
      </c>
      <c r="E522" s="22">
        <v>3.5320799461860418E-2</v>
      </c>
      <c r="F522" s="22">
        <f>F523+F524</f>
        <v>3.5805908621016867E-2</v>
      </c>
    </row>
    <row r="523" spans="1:6">
      <c r="A523" t="s">
        <v>697</v>
      </c>
      <c r="B523">
        <f t="shared" si="15"/>
        <v>11</v>
      </c>
      <c r="C523" s="104" t="s">
        <v>52</v>
      </c>
      <c r="D523" s="105" t="s">
        <v>53</v>
      </c>
      <c r="E523" s="121">
        <v>3.5320799461860418E-2</v>
      </c>
      <c r="F523" s="121">
        <v>2.148354517261012E-2</v>
      </c>
    </row>
    <row r="524" spans="1:6">
      <c r="A524" t="s">
        <v>939</v>
      </c>
      <c r="B524">
        <v>11</v>
      </c>
      <c r="C524" s="104">
        <v>21160</v>
      </c>
      <c r="D524" s="105" t="s">
        <v>938</v>
      </c>
      <c r="E524" s="121"/>
      <c r="F524" s="121">
        <v>1.4322363448406747E-2</v>
      </c>
    </row>
    <row r="525" spans="1:6">
      <c r="A525" t="s">
        <v>694</v>
      </c>
      <c r="B525">
        <f t="shared" si="15"/>
        <v>5</v>
      </c>
      <c r="C525" s="75" t="s">
        <v>649</v>
      </c>
      <c r="D525" s="22" t="s">
        <v>34</v>
      </c>
      <c r="E525" s="22">
        <v>1.1592679206249835E-2</v>
      </c>
      <c r="F525" s="22">
        <f>F526</f>
        <v>1.1751897427462148E-2</v>
      </c>
    </row>
    <row r="526" spans="1:6">
      <c r="A526" t="s">
        <v>698</v>
      </c>
      <c r="B526">
        <f t="shared" si="15"/>
        <v>11</v>
      </c>
      <c r="C526" s="104" t="s">
        <v>59</v>
      </c>
      <c r="D526" s="105" t="s">
        <v>60</v>
      </c>
      <c r="E526" s="121">
        <v>1.1592679206249835E-2</v>
      </c>
      <c r="F526" s="121">
        <v>1.1751897427462148E-2</v>
      </c>
    </row>
    <row r="527" spans="1:6">
      <c r="A527" t="s">
        <v>699</v>
      </c>
      <c r="B527">
        <f t="shared" si="15"/>
        <v>5</v>
      </c>
      <c r="C527" s="75" t="s">
        <v>79</v>
      </c>
      <c r="D527" s="22" t="s">
        <v>43</v>
      </c>
      <c r="E527" s="22">
        <v>1.6286367859238836E-2</v>
      </c>
      <c r="F527" s="22">
        <f>SUM(F528:F541)</f>
        <v>1.6510050967726776E-2</v>
      </c>
    </row>
    <row r="528" spans="1:6">
      <c r="A528" t="s">
        <v>700</v>
      </c>
      <c r="B528">
        <f t="shared" si="15"/>
        <v>11</v>
      </c>
      <c r="C528" s="104" t="s">
        <v>346</v>
      </c>
      <c r="D528" s="105" t="s">
        <v>349</v>
      </c>
      <c r="E528" s="121">
        <v>6.2123982311014158E-3</v>
      </c>
      <c r="F528" s="121">
        <v>2.0992405491876117E-3</v>
      </c>
    </row>
    <row r="529" spans="1:6">
      <c r="A529" t="s">
        <v>701</v>
      </c>
      <c r="B529">
        <f t="shared" si="15"/>
        <v>11</v>
      </c>
      <c r="C529" s="104" t="s">
        <v>347</v>
      </c>
      <c r="D529" s="105" t="s">
        <v>350</v>
      </c>
      <c r="E529" s="121"/>
      <c r="F529" s="121">
        <v>2.0992405491876117E-3</v>
      </c>
    </row>
    <row r="530" spans="1:6">
      <c r="A530" t="s">
        <v>702</v>
      </c>
      <c r="B530">
        <f t="shared" si="15"/>
        <v>11</v>
      </c>
      <c r="C530" s="104" t="s">
        <v>348</v>
      </c>
      <c r="D530" s="105" t="s">
        <v>351</v>
      </c>
      <c r="E530" s="121"/>
      <c r="F530" s="121">
        <v>2.0992405491876117E-3</v>
      </c>
    </row>
    <row r="531" spans="1:6">
      <c r="A531" t="s">
        <v>703</v>
      </c>
      <c r="B531">
        <f t="shared" si="15"/>
        <v>11</v>
      </c>
      <c r="C531" s="104">
        <v>21311</v>
      </c>
      <c r="D531" s="105" t="s">
        <v>88</v>
      </c>
      <c r="E531" s="121">
        <v>4.4586264327696554E-3</v>
      </c>
      <c r="F531" s="121">
        <v>1.5066209623349203E-3</v>
      </c>
    </row>
    <row r="532" spans="1:6">
      <c r="A532" t="s">
        <v>704</v>
      </c>
      <c r="B532">
        <f t="shared" si="15"/>
        <v>11</v>
      </c>
      <c r="C532" s="104">
        <v>21395</v>
      </c>
      <c r="D532" s="105" t="s">
        <v>89</v>
      </c>
      <c r="E532" s="121"/>
      <c r="F532" s="121">
        <v>1.5066209623349203E-3</v>
      </c>
    </row>
    <row r="533" spans="1:6">
      <c r="A533" t="s">
        <v>705</v>
      </c>
      <c r="B533">
        <f t="shared" si="15"/>
        <v>11</v>
      </c>
      <c r="C533" s="104">
        <v>21399</v>
      </c>
      <c r="D533" s="105" t="s">
        <v>90</v>
      </c>
      <c r="E533" s="121"/>
      <c r="F533" s="121">
        <v>1.5066209623349203E-3</v>
      </c>
    </row>
    <row r="534" spans="1:6">
      <c r="A534" t="s">
        <v>706</v>
      </c>
      <c r="B534">
        <f t="shared" si="15"/>
        <v>11</v>
      </c>
      <c r="C534" s="104" t="s">
        <v>334</v>
      </c>
      <c r="D534" s="105" t="s">
        <v>335</v>
      </c>
      <c r="E534" s="121">
        <v>3.4681869095633511E-3</v>
      </c>
      <c r="F534" s="121">
        <v>5.8597004907606038E-4</v>
      </c>
    </row>
    <row r="535" spans="1:6">
      <c r="A535" t="s">
        <v>707</v>
      </c>
      <c r="B535">
        <f t="shared" si="15"/>
        <v>11</v>
      </c>
      <c r="C535" s="104" t="s">
        <v>338</v>
      </c>
      <c r="D535" s="105" t="s">
        <v>339</v>
      </c>
      <c r="E535" s="121"/>
      <c r="F535" s="121">
        <v>5.8597004907606038E-4</v>
      </c>
    </row>
    <row r="536" spans="1:6">
      <c r="A536" t="s">
        <v>708</v>
      </c>
      <c r="B536">
        <f t="shared" si="15"/>
        <v>11</v>
      </c>
      <c r="C536" s="104" t="s">
        <v>336</v>
      </c>
      <c r="D536" s="105" t="s">
        <v>337</v>
      </c>
      <c r="E536" s="121"/>
      <c r="F536" s="121">
        <v>5.8597004907606038E-4</v>
      </c>
    </row>
    <row r="537" spans="1:6">
      <c r="A537" t="s">
        <v>709</v>
      </c>
      <c r="B537">
        <f t="shared" si="15"/>
        <v>11</v>
      </c>
      <c r="C537" s="104" t="s">
        <v>340</v>
      </c>
      <c r="D537" s="105" t="s">
        <v>341</v>
      </c>
      <c r="E537" s="121"/>
      <c r="F537" s="121">
        <v>5.8597004907606038E-4</v>
      </c>
    </row>
    <row r="538" spans="1:6">
      <c r="A538" t="s">
        <v>710</v>
      </c>
      <c r="B538">
        <f t="shared" si="15"/>
        <v>11</v>
      </c>
      <c r="C538" s="104" t="s">
        <v>342</v>
      </c>
      <c r="D538" s="105" t="s">
        <v>343</v>
      </c>
      <c r="E538" s="121"/>
      <c r="F538" s="121">
        <v>5.8597004907606038E-4</v>
      </c>
    </row>
    <row r="539" spans="1:6">
      <c r="A539" t="s">
        <v>711</v>
      </c>
      <c r="B539">
        <f t="shared" si="15"/>
        <v>11</v>
      </c>
      <c r="C539" s="104" t="s">
        <v>344</v>
      </c>
      <c r="D539" s="105" t="s">
        <v>345</v>
      </c>
      <c r="E539" s="121"/>
      <c r="F539" s="121">
        <v>5.8597004907606038E-4</v>
      </c>
    </row>
    <row r="540" spans="1:6">
      <c r="A540" t="s">
        <v>916</v>
      </c>
      <c r="B540">
        <f t="shared" si="15"/>
        <v>12</v>
      </c>
      <c r="C540" s="104" t="s">
        <v>915</v>
      </c>
      <c r="D540" s="105" t="s">
        <v>353</v>
      </c>
      <c r="E540" s="121">
        <v>2.147156285804416E-3</v>
      </c>
      <c r="F540" s="121">
        <v>1.0883230693514065E-3</v>
      </c>
    </row>
    <row r="541" spans="1:6">
      <c r="A541" t="s">
        <v>712</v>
      </c>
      <c r="B541">
        <f t="shared" si="15"/>
        <v>11</v>
      </c>
      <c r="C541" s="104" t="s">
        <v>354</v>
      </c>
      <c r="D541" s="105" t="s">
        <v>355</v>
      </c>
      <c r="E541" s="121"/>
      <c r="F541" s="121">
        <v>1.0883230693514065E-3</v>
      </c>
    </row>
    <row r="542" spans="1:6">
      <c r="A542" t="s">
        <v>713</v>
      </c>
      <c r="B542">
        <f t="shared" si="15"/>
        <v>5</v>
      </c>
      <c r="C542" s="75" t="s">
        <v>101</v>
      </c>
      <c r="D542" s="22" t="s">
        <v>48</v>
      </c>
      <c r="E542" s="22">
        <v>5.6893013071184301E-2</v>
      </c>
      <c r="F542" s="22">
        <f>SUM(F543:F546)</f>
        <v>5.7674403134640846E-2</v>
      </c>
    </row>
    <row r="543" spans="1:6">
      <c r="A543" t="s">
        <v>714</v>
      </c>
      <c r="B543">
        <f t="shared" si="15"/>
        <v>11</v>
      </c>
      <c r="C543" s="104" t="s">
        <v>356</v>
      </c>
      <c r="D543" s="105" t="s">
        <v>360</v>
      </c>
      <c r="E543" s="121">
        <f>E542</f>
        <v>5.6893013071184301E-2</v>
      </c>
      <c r="F543" s="121">
        <v>1.4418600783660212E-2</v>
      </c>
    </row>
    <row r="544" spans="1:6">
      <c r="A544" t="s">
        <v>715</v>
      </c>
      <c r="B544">
        <f t="shared" si="15"/>
        <v>11</v>
      </c>
      <c r="C544" s="104" t="s">
        <v>357</v>
      </c>
      <c r="D544" s="105" t="s">
        <v>361</v>
      </c>
      <c r="E544" s="121"/>
      <c r="F544" s="121">
        <v>1.4418600783660212E-2</v>
      </c>
    </row>
    <row r="545" spans="1:6">
      <c r="A545" t="s">
        <v>716</v>
      </c>
      <c r="B545">
        <f t="shared" si="15"/>
        <v>11</v>
      </c>
      <c r="C545" s="104" t="s">
        <v>358</v>
      </c>
      <c r="D545" s="105" t="s">
        <v>362</v>
      </c>
      <c r="E545" s="121"/>
      <c r="F545" s="121">
        <v>1.4418600783660212E-2</v>
      </c>
    </row>
    <row r="546" spans="1:6">
      <c r="A546" t="s">
        <v>717</v>
      </c>
      <c r="B546">
        <f t="shared" si="15"/>
        <v>11</v>
      </c>
      <c r="C546" s="104" t="s">
        <v>359</v>
      </c>
      <c r="D546" s="105" t="s">
        <v>363</v>
      </c>
      <c r="E546" s="121"/>
      <c r="F546" s="121">
        <v>1.4418600783660212E-2</v>
      </c>
    </row>
    <row r="547" spans="1:6">
      <c r="A547" t="s">
        <v>718</v>
      </c>
      <c r="B547">
        <f t="shared" si="15"/>
        <v>5</v>
      </c>
      <c r="C547" s="75" t="s">
        <v>108</v>
      </c>
      <c r="D547" s="22" t="s">
        <v>51</v>
      </c>
      <c r="E547" s="22">
        <v>1.9393556443678659E-2</v>
      </c>
      <c r="F547" s="22">
        <f>SUM(F548:F553)</f>
        <v>1.9659914850135591E-2</v>
      </c>
    </row>
    <row r="548" spans="1:6">
      <c r="A548" t="s">
        <v>720</v>
      </c>
      <c r="B548">
        <f t="shared" si="15"/>
        <v>11</v>
      </c>
      <c r="C548" s="104" t="s">
        <v>369</v>
      </c>
      <c r="D548" s="105" t="s">
        <v>373</v>
      </c>
      <c r="E548" s="121"/>
      <c r="F548" s="121">
        <v>3.2766524750225986E-3</v>
      </c>
    </row>
    <row r="549" spans="1:6">
      <c r="A549" t="s">
        <v>721</v>
      </c>
      <c r="B549">
        <f t="shared" si="15"/>
        <v>11</v>
      </c>
      <c r="C549" s="104" t="s">
        <v>385</v>
      </c>
      <c r="D549" s="105" t="s">
        <v>386</v>
      </c>
      <c r="E549" s="121"/>
      <c r="F549" s="121">
        <v>3.2766524750225986E-3</v>
      </c>
    </row>
    <row r="550" spans="1:6">
      <c r="A550" t="s">
        <v>722</v>
      </c>
      <c r="B550">
        <f t="shared" si="15"/>
        <v>11</v>
      </c>
      <c r="C550" s="104" t="s">
        <v>370</v>
      </c>
      <c r="D550" s="105" t="s">
        <v>374</v>
      </c>
      <c r="E550" s="121"/>
      <c r="F550" s="121">
        <v>3.2766524750225986E-3</v>
      </c>
    </row>
    <row r="551" spans="1:6">
      <c r="A551" t="s">
        <v>723</v>
      </c>
      <c r="B551">
        <f t="shared" si="15"/>
        <v>11</v>
      </c>
      <c r="C551" s="104" t="s">
        <v>371</v>
      </c>
      <c r="D551" s="105" t="s">
        <v>375</v>
      </c>
      <c r="E551" s="121"/>
      <c r="F551" s="121">
        <v>3.2766524750225986E-3</v>
      </c>
    </row>
    <row r="552" spans="1:6">
      <c r="A552" t="s">
        <v>724</v>
      </c>
      <c r="B552">
        <f t="shared" si="15"/>
        <v>11</v>
      </c>
      <c r="C552" s="104" t="s">
        <v>364</v>
      </c>
      <c r="D552" s="105" t="s">
        <v>366</v>
      </c>
      <c r="E552" s="121"/>
      <c r="F552" s="121">
        <v>3.2766524750225986E-3</v>
      </c>
    </row>
    <row r="553" spans="1:6">
      <c r="A553" t="s">
        <v>725</v>
      </c>
      <c r="B553">
        <f t="shared" si="15"/>
        <v>11</v>
      </c>
      <c r="C553" s="104" t="s">
        <v>365</v>
      </c>
      <c r="D553" s="105" t="s">
        <v>367</v>
      </c>
      <c r="E553" s="121"/>
      <c r="F553" s="121">
        <v>3.2766524750225986E-3</v>
      </c>
    </row>
    <row r="554" spans="1:6">
      <c r="A554" t="s">
        <v>726</v>
      </c>
      <c r="B554">
        <f t="shared" si="15"/>
        <v>5</v>
      </c>
      <c r="C554" s="75" t="s">
        <v>650</v>
      </c>
      <c r="D554" s="22" t="s">
        <v>55</v>
      </c>
      <c r="E554" s="22">
        <v>9.4239208420071746E-3</v>
      </c>
      <c r="F554" s="22">
        <f>F555</f>
        <v>9.5533525192419855E-3</v>
      </c>
    </row>
    <row r="555" spans="1:6">
      <c r="A555" t="s">
        <v>727</v>
      </c>
      <c r="B555">
        <f t="shared" si="15"/>
        <v>11</v>
      </c>
      <c r="C555" s="104" t="s">
        <v>376</v>
      </c>
      <c r="D555" s="105" t="s">
        <v>379</v>
      </c>
      <c r="E555" s="121"/>
      <c r="F555" s="121">
        <v>9.5533525192419855E-3</v>
      </c>
    </row>
    <row r="556" spans="1:6">
      <c r="A556" t="s">
        <v>726</v>
      </c>
      <c r="B556">
        <f t="shared" si="15"/>
        <v>5</v>
      </c>
      <c r="C556" s="75" t="s">
        <v>650</v>
      </c>
      <c r="D556" s="22" t="s">
        <v>58</v>
      </c>
      <c r="E556" s="22">
        <v>7.4087208847877098E-3</v>
      </c>
      <c r="F556" s="22">
        <f>F557+F558</f>
        <v>7.5104750470264504E-3</v>
      </c>
    </row>
    <row r="557" spans="1:6">
      <c r="A557" t="s">
        <v>728</v>
      </c>
      <c r="B557">
        <f t="shared" si="15"/>
        <v>11</v>
      </c>
      <c r="C557" s="104" t="s">
        <v>383</v>
      </c>
      <c r="D557" s="105" t="s">
        <v>384</v>
      </c>
      <c r="E557" s="121"/>
      <c r="F557" s="121">
        <v>6.0083800376211603E-3</v>
      </c>
    </row>
    <row r="558" spans="1:6">
      <c r="A558" t="s">
        <v>729</v>
      </c>
      <c r="B558">
        <f t="shared" si="15"/>
        <v>11</v>
      </c>
      <c r="C558" s="104" t="s">
        <v>685</v>
      </c>
      <c r="D558" s="105" t="s">
        <v>382</v>
      </c>
      <c r="E558" s="121"/>
      <c r="F558" s="121">
        <v>1.5020950094052901E-3</v>
      </c>
    </row>
    <row r="559" spans="1:6">
      <c r="A559" t="s">
        <v>726</v>
      </c>
      <c r="B559">
        <f t="shared" si="15"/>
        <v>5</v>
      </c>
      <c r="C559" s="75" t="s">
        <v>650</v>
      </c>
      <c r="D559" s="22" t="s">
        <v>64</v>
      </c>
      <c r="E559" s="22">
        <v>8.7020199672842181E-3</v>
      </c>
      <c r="F559" s="22">
        <f>F560+F561</f>
        <v>8.8215367860881126E-3</v>
      </c>
    </row>
    <row r="560" spans="1:6">
      <c r="A560" t="s">
        <v>730</v>
      </c>
      <c r="B560">
        <f t="shared" si="15"/>
        <v>11</v>
      </c>
      <c r="C560" s="104" t="s">
        <v>377</v>
      </c>
      <c r="D560" s="105" t="s">
        <v>380</v>
      </c>
      <c r="E560" s="121">
        <f>E559</f>
        <v>8.7020199672842181E-3</v>
      </c>
      <c r="F560" s="121">
        <v>4.4107683930440563E-3</v>
      </c>
    </row>
    <row r="561" spans="1:6">
      <c r="A561" t="s">
        <v>729</v>
      </c>
      <c r="B561">
        <f t="shared" si="15"/>
        <v>11</v>
      </c>
      <c r="C561" s="104" t="s">
        <v>684</v>
      </c>
      <c r="D561" s="105" t="s">
        <v>381</v>
      </c>
      <c r="E561" s="121"/>
      <c r="F561" s="121">
        <v>4.4107683930440563E-3</v>
      </c>
    </row>
    <row r="562" spans="1:6">
      <c r="A562" t="s">
        <v>733</v>
      </c>
      <c r="B562">
        <f t="shared" si="15"/>
        <v>5</v>
      </c>
      <c r="C562" s="75" t="s">
        <v>651</v>
      </c>
      <c r="D562" s="22" t="s">
        <v>73</v>
      </c>
      <c r="E562" s="22">
        <v>5.7900420073511233E-2</v>
      </c>
      <c r="F562" s="22">
        <f>SUM(F563:F565)</f>
        <v>5.8695646244056876E-2</v>
      </c>
    </row>
    <row r="563" spans="1:6">
      <c r="A563" t="s">
        <v>894</v>
      </c>
      <c r="B563">
        <f t="shared" si="15"/>
        <v>12</v>
      </c>
      <c r="C563" s="104" t="s">
        <v>682</v>
      </c>
      <c r="D563" s="105" t="s">
        <v>404</v>
      </c>
      <c r="E563" s="121">
        <v>4.6450241179079338E-2</v>
      </c>
      <c r="F563" s="121">
        <v>4.7088206281350853E-2</v>
      </c>
    </row>
    <row r="564" spans="1:6">
      <c r="A564" t="s">
        <v>734</v>
      </c>
      <c r="B564">
        <f t="shared" si="15"/>
        <v>11</v>
      </c>
      <c r="C564" s="104" t="s">
        <v>405</v>
      </c>
      <c r="D564" s="105" t="s">
        <v>407</v>
      </c>
      <c r="E564" s="121">
        <v>1.1450178894431888E-2</v>
      </c>
      <c r="F564" s="121">
        <v>5.8037199813530133E-3</v>
      </c>
    </row>
    <row r="565" spans="1:6">
      <c r="A565" t="s">
        <v>735</v>
      </c>
      <c r="B565">
        <f t="shared" si="15"/>
        <v>11</v>
      </c>
      <c r="C565" s="104" t="s">
        <v>406</v>
      </c>
      <c r="D565" s="105" t="s">
        <v>408</v>
      </c>
      <c r="E565" s="121"/>
      <c r="F565" s="121">
        <v>5.8037199813530133E-3</v>
      </c>
    </row>
    <row r="566" spans="1:6">
      <c r="A566" t="s">
        <v>733</v>
      </c>
      <c r="B566">
        <f t="shared" si="15"/>
        <v>5</v>
      </c>
      <c r="C566" s="75" t="s">
        <v>651</v>
      </c>
      <c r="D566" s="22" t="s">
        <v>78</v>
      </c>
      <c r="E566" s="22">
        <v>5.4451175674568704E-2</v>
      </c>
      <c r="F566" s="22">
        <f>F567</f>
        <v>5.5199028623794631E-2</v>
      </c>
    </row>
    <row r="567" spans="1:6">
      <c r="A567" t="s">
        <v>895</v>
      </c>
      <c r="B567">
        <f t="shared" si="15"/>
        <v>12</v>
      </c>
      <c r="C567" s="104" t="s">
        <v>683</v>
      </c>
      <c r="D567" s="105" t="s">
        <v>404</v>
      </c>
      <c r="E567" s="121">
        <v>5.4451175674568704E-2</v>
      </c>
      <c r="F567" s="121">
        <v>5.5199028623794631E-2</v>
      </c>
    </row>
    <row r="568" spans="1:6">
      <c r="A568" t="s">
        <v>736</v>
      </c>
      <c r="B568">
        <f t="shared" si="15"/>
        <v>5</v>
      </c>
      <c r="C568" s="75" t="s">
        <v>171</v>
      </c>
      <c r="D568" s="22" t="s">
        <v>83</v>
      </c>
      <c r="E568" s="22">
        <v>3.8971066681025249E-2</v>
      </c>
      <c r="F568" s="22">
        <f>F569+F570</f>
        <v>3.9506309984605505E-2</v>
      </c>
    </row>
    <row r="569" spans="1:6">
      <c r="A569" t="s">
        <v>737</v>
      </c>
      <c r="B569">
        <f t="shared" si="15"/>
        <v>11</v>
      </c>
      <c r="C569" s="104" t="s">
        <v>421</v>
      </c>
      <c r="D569" s="105" t="s">
        <v>423</v>
      </c>
      <c r="E569" s="121">
        <v>3.8971066681025249E-2</v>
      </c>
      <c r="F569" s="121">
        <v>1.9753154992302752E-2</v>
      </c>
    </row>
    <row r="570" spans="1:6">
      <c r="A570" t="s">
        <v>738</v>
      </c>
      <c r="B570">
        <f t="shared" si="15"/>
        <v>11</v>
      </c>
      <c r="C570" s="104" t="s">
        <v>422</v>
      </c>
      <c r="D570" s="105" t="s">
        <v>424</v>
      </c>
      <c r="E570" s="121"/>
      <c r="F570" s="121">
        <v>1.9753154992302752E-2</v>
      </c>
    </row>
    <row r="571" spans="1:6">
      <c r="A571" t="s">
        <v>739</v>
      </c>
      <c r="B571">
        <f t="shared" si="15"/>
        <v>5</v>
      </c>
      <c r="C571" s="75" t="s">
        <v>178</v>
      </c>
      <c r="D571" s="22" t="s">
        <v>87</v>
      </c>
      <c r="E571" s="22">
        <v>6.4328340005798427E-3</v>
      </c>
      <c r="F571" s="22">
        <f>SUM(F572:F574)</f>
        <v>6.5211849649000004E-3</v>
      </c>
    </row>
    <row r="572" spans="1:6">
      <c r="A572" t="s">
        <v>740</v>
      </c>
      <c r="B572">
        <f t="shared" si="15"/>
        <v>11</v>
      </c>
      <c r="C572" s="104" t="s">
        <v>425</v>
      </c>
      <c r="D572" s="105" t="s">
        <v>428</v>
      </c>
      <c r="E572" s="121">
        <v>6.4328340005798427E-3</v>
      </c>
      <c r="F572" s="121">
        <v>2.1737283216333335E-3</v>
      </c>
    </row>
    <row r="573" spans="1:6">
      <c r="A573" t="s">
        <v>741</v>
      </c>
      <c r="B573">
        <f t="shared" si="15"/>
        <v>11</v>
      </c>
      <c r="C573" s="104" t="s">
        <v>426</v>
      </c>
      <c r="D573" s="105" t="s">
        <v>429</v>
      </c>
      <c r="E573" s="121"/>
      <c r="F573" s="121">
        <v>2.1737283216333335E-3</v>
      </c>
    </row>
    <row r="574" spans="1:6">
      <c r="A574" t="s">
        <v>742</v>
      </c>
      <c r="B574">
        <f t="shared" si="15"/>
        <v>11</v>
      </c>
      <c r="C574" s="104" t="s">
        <v>427</v>
      </c>
      <c r="D574" s="105" t="s">
        <v>430</v>
      </c>
      <c r="E574" s="121"/>
      <c r="F574" s="121">
        <v>2.1737283216333335E-3</v>
      </c>
    </row>
    <row r="575" spans="1:6">
      <c r="A575" t="s">
        <v>743</v>
      </c>
      <c r="B575">
        <f t="shared" si="15"/>
        <v>5</v>
      </c>
      <c r="C575" s="75" t="s">
        <v>185</v>
      </c>
      <c r="D575" s="22" t="s">
        <v>94</v>
      </c>
      <c r="E575" s="22">
        <v>4.5652749401444738E-3</v>
      </c>
      <c r="F575" s="22">
        <f>F576</f>
        <v>4.6279761451362483E-3</v>
      </c>
    </row>
    <row r="576" spans="1:6">
      <c r="A576" t="s">
        <v>744</v>
      </c>
      <c r="B576">
        <f t="shared" si="15"/>
        <v>11</v>
      </c>
      <c r="C576" s="104" t="s">
        <v>431</v>
      </c>
      <c r="D576" s="105" t="s">
        <v>432</v>
      </c>
      <c r="E576" s="121">
        <v>4.5652749401444738E-3</v>
      </c>
      <c r="F576" s="121">
        <v>4.6279761451362483E-3</v>
      </c>
    </row>
    <row r="577" spans="1:7">
      <c r="A577" t="s">
        <v>745</v>
      </c>
      <c r="B577">
        <f t="shared" si="15"/>
        <v>5</v>
      </c>
      <c r="C577" s="75" t="s">
        <v>663</v>
      </c>
      <c r="D577" s="22" t="s">
        <v>96</v>
      </c>
      <c r="E577" s="22">
        <v>2.9243373362129364E-2</v>
      </c>
      <c r="F577" s="22">
        <f>SUM(F578:F584)</f>
        <v>2.9645012862897713E-2</v>
      </c>
    </row>
    <row r="578" spans="1:7">
      <c r="A578" t="s">
        <v>746</v>
      </c>
      <c r="B578">
        <f t="shared" si="15"/>
        <v>11</v>
      </c>
      <c r="C578" s="104" t="s">
        <v>387</v>
      </c>
      <c r="D578" s="105" t="s">
        <v>394</v>
      </c>
      <c r="E578" s="121">
        <v>2.9243373362129364E-2</v>
      </c>
      <c r="F578" s="121">
        <v>7.4112532157244284E-3</v>
      </c>
      <c r="G578">
        <v>2.5</v>
      </c>
    </row>
    <row r="579" spans="1:7">
      <c r="A579" t="s">
        <v>747</v>
      </c>
      <c r="B579">
        <f t="shared" si="15"/>
        <v>11</v>
      </c>
      <c r="C579" s="104" t="s">
        <v>388</v>
      </c>
      <c r="D579" s="105" t="s">
        <v>395</v>
      </c>
      <c r="E579" s="121"/>
      <c r="F579" s="121">
        <v>2.9645012862897714E-3</v>
      </c>
      <c r="G579">
        <v>1</v>
      </c>
    </row>
    <row r="580" spans="1:7">
      <c r="A580" t="s">
        <v>748</v>
      </c>
      <c r="B580">
        <f t="shared" ref="B580:B639" si="16">LEN(A580)</f>
        <v>11</v>
      </c>
      <c r="C580" s="104" t="s">
        <v>389</v>
      </c>
      <c r="D580" s="105" t="s">
        <v>396</v>
      </c>
      <c r="E580" s="121"/>
      <c r="F580" s="121">
        <v>2.9645012862897714E-3</v>
      </c>
      <c r="G580">
        <v>1</v>
      </c>
    </row>
    <row r="581" spans="1:7">
      <c r="A581" t="s">
        <v>750</v>
      </c>
      <c r="B581">
        <f t="shared" si="16"/>
        <v>11</v>
      </c>
      <c r="C581" s="104" t="s">
        <v>391</v>
      </c>
      <c r="D581" s="105" t="s">
        <v>398</v>
      </c>
      <c r="E581" s="121"/>
      <c r="F581" s="121">
        <v>4.4467519294346574E-3</v>
      </c>
      <c r="G581">
        <v>1.5</v>
      </c>
    </row>
    <row r="582" spans="1:7">
      <c r="A582" t="s">
        <v>751</v>
      </c>
      <c r="B582">
        <f t="shared" si="16"/>
        <v>11</v>
      </c>
      <c r="C582" s="104" t="s">
        <v>392</v>
      </c>
      <c r="D582" s="105" t="s">
        <v>399</v>
      </c>
      <c r="E582" s="121"/>
      <c r="F582" s="121">
        <v>5.9290025725795429E-3</v>
      </c>
      <c r="G582">
        <v>1.5</v>
      </c>
    </row>
    <row r="583" spans="1:7">
      <c r="A583" t="s">
        <v>752</v>
      </c>
      <c r="B583">
        <f t="shared" si="16"/>
        <v>11</v>
      </c>
      <c r="C583" s="104" t="s">
        <v>393</v>
      </c>
      <c r="D583" s="105" t="s">
        <v>400</v>
      </c>
      <c r="E583" s="121"/>
      <c r="F583" s="121">
        <v>2.9645012862897714E-3</v>
      </c>
      <c r="G583">
        <v>1</v>
      </c>
    </row>
    <row r="584" spans="1:7">
      <c r="A584" t="s">
        <v>753</v>
      </c>
      <c r="B584">
        <f t="shared" si="16"/>
        <v>11</v>
      </c>
      <c r="C584" s="104" t="s">
        <v>433</v>
      </c>
      <c r="D584" s="105" t="s">
        <v>434</v>
      </c>
      <c r="E584" s="121"/>
      <c r="F584" s="121">
        <v>2.9645012862897714E-3</v>
      </c>
      <c r="G584">
        <v>0.5</v>
      </c>
    </row>
    <row r="585" spans="1:7">
      <c r="A585" t="s">
        <v>754</v>
      </c>
      <c r="B585">
        <f t="shared" si="16"/>
        <v>5</v>
      </c>
      <c r="C585" s="75" t="s">
        <v>197</v>
      </c>
      <c r="D585" s="22" t="s">
        <v>100</v>
      </c>
      <c r="E585" s="22">
        <v>2.6358335576351838E-2</v>
      </c>
      <c r="F585" s="22">
        <f>F586+F587</f>
        <v>2.67203508818665E-2</v>
      </c>
    </row>
    <row r="586" spans="1:7">
      <c r="A586" t="s">
        <v>755</v>
      </c>
      <c r="B586">
        <f t="shared" si="16"/>
        <v>11</v>
      </c>
      <c r="C586" s="104" t="s">
        <v>435</v>
      </c>
      <c r="D586" s="105" t="s">
        <v>437</v>
      </c>
      <c r="E586" s="121">
        <v>2.6358335576351838E-2</v>
      </c>
      <c r="F586" s="121">
        <v>1.4696192985026576E-2</v>
      </c>
    </row>
    <row r="587" spans="1:7">
      <c r="A587" t="s">
        <v>756</v>
      </c>
      <c r="B587">
        <f t="shared" si="16"/>
        <v>11</v>
      </c>
      <c r="C587" s="104" t="s">
        <v>436</v>
      </c>
      <c r="D587" s="105" t="s">
        <v>438</v>
      </c>
      <c r="E587" s="121"/>
      <c r="F587" s="121">
        <v>1.2024157896839926E-2</v>
      </c>
    </row>
    <row r="588" spans="1:7">
      <c r="A588" t="s">
        <v>942</v>
      </c>
      <c r="C588" s="144" t="s">
        <v>688</v>
      </c>
      <c r="D588" s="142" t="s">
        <v>943</v>
      </c>
      <c r="E588" s="142"/>
      <c r="F588" s="143">
        <f>F589+F591</f>
        <v>4.3049392101501355E-2</v>
      </c>
    </row>
    <row r="589" spans="1:7">
      <c r="A589" t="s">
        <v>757</v>
      </c>
      <c r="B589">
        <f t="shared" si="16"/>
        <v>5</v>
      </c>
      <c r="C589" s="75" t="s">
        <v>218</v>
      </c>
      <c r="D589" s="22" t="s">
        <v>112</v>
      </c>
      <c r="E589" s="22">
        <v>6.6859506898360463E-3</v>
      </c>
      <c r="F589" s="22">
        <f>F590</f>
        <v>6.7777780540725233E-3</v>
      </c>
    </row>
    <row r="590" spans="1:7">
      <c r="A590" t="s">
        <v>758</v>
      </c>
      <c r="B590">
        <f t="shared" si="16"/>
        <v>11</v>
      </c>
      <c r="C590" s="104" t="s">
        <v>443</v>
      </c>
      <c r="D590" s="105" t="s">
        <v>444</v>
      </c>
      <c r="E590" s="121">
        <v>6.6859506898360463E-3</v>
      </c>
      <c r="F590" s="121">
        <v>6.7777780540725233E-3</v>
      </c>
    </row>
    <row r="591" spans="1:7">
      <c r="A591" t="s">
        <v>759</v>
      </c>
      <c r="B591">
        <f t="shared" si="16"/>
        <v>5</v>
      </c>
      <c r="C591" s="75" t="s">
        <v>221</v>
      </c>
      <c r="D591" s="22" t="s">
        <v>114</v>
      </c>
      <c r="E591" s="22">
        <v>3.5780195371867912E-2</v>
      </c>
      <c r="F591" s="22">
        <f>F592+F593</f>
        <v>3.6271614047428832E-2</v>
      </c>
    </row>
    <row r="592" spans="1:7">
      <c r="A592" t="s">
        <v>921</v>
      </c>
      <c r="B592">
        <v>11</v>
      </c>
      <c r="C592" s="104" t="s">
        <v>917</v>
      </c>
      <c r="D592" s="105" t="s">
        <v>920</v>
      </c>
      <c r="E592" s="121">
        <v>3.5780195371867912E-2</v>
      </c>
      <c r="F592" s="121">
        <v>1.6322226321342975E-2</v>
      </c>
    </row>
    <row r="593" spans="1:6">
      <c r="A593" t="s">
        <v>922</v>
      </c>
      <c r="B593">
        <v>11</v>
      </c>
      <c r="C593" s="104" t="s">
        <v>918</v>
      </c>
      <c r="D593" s="105" t="s">
        <v>919</v>
      </c>
      <c r="E593" s="121"/>
      <c r="F593" s="121">
        <v>1.9949387726085861E-2</v>
      </c>
    </row>
    <row r="594" spans="1:6">
      <c r="A594" t="s">
        <v>944</v>
      </c>
      <c r="C594" s="144">
        <v>13</v>
      </c>
      <c r="D594" s="142" t="s">
        <v>945</v>
      </c>
      <c r="E594" s="142"/>
      <c r="F594" s="143">
        <f>F595+F602</f>
        <v>2.7560886271523199E-2</v>
      </c>
    </row>
    <row r="595" spans="1:6">
      <c r="A595" t="s">
        <v>761</v>
      </c>
      <c r="B595">
        <f t="shared" si="16"/>
        <v>5</v>
      </c>
      <c r="C595" s="75" t="s">
        <v>654</v>
      </c>
      <c r="D595" s="22" t="s">
        <v>121</v>
      </c>
      <c r="E595" s="22">
        <v>9.6915713315944545E-3</v>
      </c>
      <c r="F595" s="22">
        <f>SUM(F596:F601)</f>
        <v>9.8246790214317464E-3</v>
      </c>
    </row>
    <row r="596" spans="1:6">
      <c r="A596" t="s">
        <v>762</v>
      </c>
      <c r="B596">
        <f t="shared" si="16"/>
        <v>11</v>
      </c>
      <c r="C596" s="104" t="s">
        <v>445</v>
      </c>
      <c r="D596" s="105" t="s">
        <v>448</v>
      </c>
      <c r="E596" s="121">
        <v>9.6915713315944545E-3</v>
      </c>
      <c r="F596" s="121">
        <v>1.6374465035719577E-3</v>
      </c>
    </row>
    <row r="597" spans="1:6">
      <c r="A597" t="s">
        <v>763</v>
      </c>
      <c r="B597">
        <f t="shared" si="16"/>
        <v>11</v>
      </c>
      <c r="C597" s="104" t="s">
        <v>447</v>
      </c>
      <c r="D597" s="105" t="s">
        <v>446</v>
      </c>
      <c r="E597" s="121"/>
      <c r="F597" s="121">
        <v>1.6374465035719577E-3</v>
      </c>
    </row>
    <row r="598" spans="1:6">
      <c r="A598" t="s">
        <v>764</v>
      </c>
      <c r="B598">
        <f t="shared" si="16"/>
        <v>11</v>
      </c>
      <c r="C598" s="104" t="s">
        <v>449</v>
      </c>
      <c r="D598" s="105" t="s">
        <v>453</v>
      </c>
      <c r="E598" s="121"/>
      <c r="F598" s="121">
        <v>1.6374465035719577E-3</v>
      </c>
    </row>
    <row r="599" spans="1:6">
      <c r="A599" t="s">
        <v>765</v>
      </c>
      <c r="B599">
        <f t="shared" si="16"/>
        <v>11</v>
      </c>
      <c r="C599" s="104" t="s">
        <v>450</v>
      </c>
      <c r="D599" s="105" t="s">
        <v>454</v>
      </c>
      <c r="E599" s="121"/>
      <c r="F599" s="121">
        <v>1.6374465035719577E-3</v>
      </c>
    </row>
    <row r="600" spans="1:6">
      <c r="A600" t="s">
        <v>766</v>
      </c>
      <c r="B600">
        <f t="shared" si="16"/>
        <v>11</v>
      </c>
      <c r="C600" s="104" t="s">
        <v>451</v>
      </c>
      <c r="D600" s="105" t="s">
        <v>455</v>
      </c>
      <c r="E600" s="121"/>
      <c r="F600" s="121">
        <v>1.6374465035719577E-3</v>
      </c>
    </row>
    <row r="601" spans="1:6">
      <c r="A601" t="s">
        <v>767</v>
      </c>
      <c r="B601">
        <f t="shared" si="16"/>
        <v>11</v>
      </c>
      <c r="C601" s="104" t="s">
        <v>452</v>
      </c>
      <c r="D601" s="105" t="s">
        <v>456</v>
      </c>
      <c r="E601" s="121"/>
      <c r="F601" s="121">
        <v>1.6374465035719577E-3</v>
      </c>
    </row>
    <row r="602" spans="1:6">
      <c r="A602" t="s">
        <v>768</v>
      </c>
      <c r="B602">
        <f t="shared" si="16"/>
        <v>5</v>
      </c>
      <c r="C602" s="75" t="s">
        <v>653</v>
      </c>
      <c r="D602" s="22" t="s">
        <v>125</v>
      </c>
      <c r="E602" s="22">
        <v>1.7495911809559998E-2</v>
      </c>
      <c r="F602" s="22">
        <f>SUM(F603:F606)</f>
        <v>1.7736207250091451E-2</v>
      </c>
    </row>
    <row r="603" spans="1:6">
      <c r="A603" t="s">
        <v>769</v>
      </c>
      <c r="B603">
        <f t="shared" si="16"/>
        <v>11</v>
      </c>
      <c r="C603" s="104">
        <v>27120</v>
      </c>
      <c r="D603" s="105" t="s">
        <v>457</v>
      </c>
      <c r="E603" s="121">
        <v>1.7495911809559998E-2</v>
      </c>
      <c r="F603" s="121">
        <v>5.3208621750274361E-3</v>
      </c>
    </row>
    <row r="604" spans="1:6">
      <c r="A604" t="s">
        <v>771</v>
      </c>
      <c r="B604">
        <f t="shared" si="16"/>
        <v>11</v>
      </c>
      <c r="C604" s="104">
        <v>27180</v>
      </c>
      <c r="D604" s="105" t="s">
        <v>459</v>
      </c>
      <c r="E604" s="121"/>
      <c r="F604" s="121">
        <v>4.4340518125228637E-3</v>
      </c>
    </row>
    <row r="605" spans="1:6">
      <c r="A605" t="s">
        <v>772</v>
      </c>
      <c r="B605">
        <f t="shared" si="16"/>
        <v>11</v>
      </c>
      <c r="C605" s="104">
        <v>27190</v>
      </c>
      <c r="D605" s="105" t="s">
        <v>460</v>
      </c>
      <c r="E605" s="121"/>
      <c r="F605" s="121">
        <v>4.4340518125228637E-3</v>
      </c>
    </row>
    <row r="606" spans="1:6">
      <c r="A606" t="s">
        <v>773</v>
      </c>
      <c r="B606">
        <f t="shared" si="16"/>
        <v>11</v>
      </c>
      <c r="C606" s="104">
        <v>27911</v>
      </c>
      <c r="D606" s="105" t="s">
        <v>461</v>
      </c>
      <c r="E606" s="121"/>
      <c r="F606" s="121">
        <v>3.5472414500182913E-3</v>
      </c>
    </row>
    <row r="607" spans="1:6">
      <c r="A607" t="s">
        <v>946</v>
      </c>
      <c r="C607" s="144">
        <v>14</v>
      </c>
      <c r="D607" s="142" t="s">
        <v>947</v>
      </c>
      <c r="E607" s="142"/>
      <c r="F607" s="143">
        <f>F608</f>
        <v>7.5032577137738726E-2</v>
      </c>
    </row>
    <row r="608" spans="1:6">
      <c r="A608" t="s">
        <v>774</v>
      </c>
      <c r="B608">
        <f t="shared" si="16"/>
        <v>5</v>
      </c>
      <c r="C608" s="75" t="s">
        <v>652</v>
      </c>
      <c r="D608" s="22" t="s">
        <v>130</v>
      </c>
      <c r="E608" s="22">
        <v>7.4016013341246634E-2</v>
      </c>
      <c r="F608" s="22">
        <f>SUM(F609:F618)</f>
        <v>7.5032577137738726E-2</v>
      </c>
    </row>
    <row r="609" spans="1:6">
      <c r="A609" t="s">
        <v>775</v>
      </c>
      <c r="B609">
        <f t="shared" si="16"/>
        <v>11</v>
      </c>
      <c r="C609" s="104" t="s">
        <v>462</v>
      </c>
      <c r="D609" s="105" t="s">
        <v>470</v>
      </c>
      <c r="E609" s="121">
        <v>4.9280324897315236E-2</v>
      </c>
      <c r="F609" s="121">
        <v>6.2446449293731198E-3</v>
      </c>
    </row>
    <row r="610" spans="1:6">
      <c r="A610" t="s">
        <v>776</v>
      </c>
      <c r="B610">
        <f t="shared" si="16"/>
        <v>11</v>
      </c>
      <c r="C610" s="104" t="s">
        <v>463</v>
      </c>
      <c r="D610" s="105" t="s">
        <v>471</v>
      </c>
      <c r="E610" s="121"/>
      <c r="F610" s="121">
        <v>6.2446449293731198E-3</v>
      </c>
    </row>
    <row r="611" spans="1:6">
      <c r="A611" t="s">
        <v>777</v>
      </c>
      <c r="B611">
        <f t="shared" si="16"/>
        <v>11</v>
      </c>
      <c r="C611" s="104" t="s">
        <v>464</v>
      </c>
      <c r="D611" s="105" t="s">
        <v>472</v>
      </c>
      <c r="E611" s="121"/>
      <c r="F611" s="121">
        <v>6.2446449293731198E-3</v>
      </c>
    </row>
    <row r="612" spans="1:6">
      <c r="A612" t="s">
        <v>778</v>
      </c>
      <c r="B612">
        <f t="shared" si="16"/>
        <v>11</v>
      </c>
      <c r="C612" s="104" t="s">
        <v>465</v>
      </c>
      <c r="D612" s="105" t="s">
        <v>473</v>
      </c>
      <c r="E612" s="121"/>
      <c r="F612" s="121">
        <v>6.2446449293731198E-3</v>
      </c>
    </row>
    <row r="613" spans="1:6">
      <c r="A613" t="s">
        <v>779</v>
      </c>
      <c r="B613">
        <f t="shared" si="16"/>
        <v>11</v>
      </c>
      <c r="C613" s="104" t="s">
        <v>466</v>
      </c>
      <c r="D613" s="105" t="s">
        <v>474</v>
      </c>
      <c r="E613" s="121"/>
      <c r="F613" s="121">
        <v>6.2446449293731198E-3</v>
      </c>
    </row>
    <row r="614" spans="1:6">
      <c r="A614" t="s">
        <v>780</v>
      </c>
      <c r="B614">
        <f t="shared" si="16"/>
        <v>11</v>
      </c>
      <c r="C614" s="104" t="s">
        <v>467</v>
      </c>
      <c r="D614" s="105" t="s">
        <v>475</v>
      </c>
      <c r="E614" s="121"/>
      <c r="F614" s="121">
        <v>6.2446449293731198E-3</v>
      </c>
    </row>
    <row r="615" spans="1:6">
      <c r="A615" t="s">
        <v>781</v>
      </c>
      <c r="B615">
        <f t="shared" si="16"/>
        <v>11</v>
      </c>
      <c r="C615" s="104" t="s">
        <v>468</v>
      </c>
      <c r="D615" s="105" t="s">
        <v>476</v>
      </c>
      <c r="E615" s="121"/>
      <c r="F615" s="121">
        <v>6.2446449293731198E-3</v>
      </c>
    </row>
    <row r="616" spans="1:6">
      <c r="A616" t="s">
        <v>782</v>
      </c>
      <c r="B616">
        <f t="shared" si="16"/>
        <v>11</v>
      </c>
      <c r="C616" s="104" t="s">
        <v>469</v>
      </c>
      <c r="D616" s="105" t="s">
        <v>477</v>
      </c>
      <c r="E616" s="121"/>
      <c r="F616" s="121">
        <v>6.2446449293731198E-3</v>
      </c>
    </row>
    <row r="617" spans="1:6">
      <c r="A617" t="s">
        <v>783</v>
      </c>
      <c r="B617">
        <f t="shared" si="16"/>
        <v>11</v>
      </c>
      <c r="C617" s="127" t="s">
        <v>478</v>
      </c>
      <c r="D617" s="128" t="s">
        <v>480</v>
      </c>
      <c r="E617" s="129">
        <v>2.4735688443931394E-2</v>
      </c>
      <c r="F617" s="121">
        <v>1.2537708851376882E-2</v>
      </c>
    </row>
    <row r="618" spans="1:6">
      <c r="A618" t="s">
        <v>784</v>
      </c>
      <c r="B618">
        <f t="shared" si="16"/>
        <v>11</v>
      </c>
      <c r="C618" s="127" t="s">
        <v>479</v>
      </c>
      <c r="D618" s="128" t="s">
        <v>481</v>
      </c>
      <c r="E618" s="129"/>
      <c r="F618" s="121">
        <v>1.2537708851376882E-2</v>
      </c>
    </row>
    <row r="619" spans="1:6">
      <c r="A619" t="s">
        <v>948</v>
      </c>
      <c r="C619" s="144">
        <v>15</v>
      </c>
      <c r="D619" s="142" t="s">
        <v>949</v>
      </c>
      <c r="E619" s="142"/>
      <c r="F619" s="143">
        <f>F620</f>
        <v>1.0077211714344263E-2</v>
      </c>
    </row>
    <row r="620" spans="1:6">
      <c r="A620" t="s">
        <v>785</v>
      </c>
      <c r="B620">
        <f t="shared" si="16"/>
        <v>5</v>
      </c>
      <c r="C620" s="75" t="s">
        <v>246</v>
      </c>
      <c r="D620" s="22" t="s">
        <v>134</v>
      </c>
      <c r="E620" s="22">
        <v>9.9406826360536049E-3</v>
      </c>
      <c r="F620" s="22">
        <f>SUM(F621:F623)</f>
        <v>1.0077211714344263E-2</v>
      </c>
    </row>
    <row r="621" spans="1:6">
      <c r="A621" t="s">
        <v>787</v>
      </c>
      <c r="B621">
        <f t="shared" si="16"/>
        <v>11</v>
      </c>
      <c r="C621" s="104" t="s">
        <v>489</v>
      </c>
      <c r="D621" s="105" t="s">
        <v>493</v>
      </c>
      <c r="E621" s="121"/>
      <c r="F621" s="121">
        <v>3.5270241000204925E-3</v>
      </c>
    </row>
    <row r="622" spans="1:6">
      <c r="A622" t="s">
        <v>788</v>
      </c>
      <c r="B622">
        <f t="shared" si="16"/>
        <v>11</v>
      </c>
      <c r="C622" s="104" t="s">
        <v>490</v>
      </c>
      <c r="D622" s="105" t="s">
        <v>494</v>
      </c>
      <c r="E622" s="121"/>
      <c r="F622" s="121">
        <v>3.5270241000204925E-3</v>
      </c>
    </row>
    <row r="623" spans="1:6">
      <c r="A623" t="s">
        <v>789</v>
      </c>
      <c r="B623">
        <f t="shared" si="16"/>
        <v>11</v>
      </c>
      <c r="C623" s="104" t="s">
        <v>491</v>
      </c>
      <c r="D623" s="105" t="s">
        <v>495</v>
      </c>
      <c r="E623" s="121"/>
      <c r="F623" s="121">
        <v>3.0231635143032794E-3</v>
      </c>
    </row>
    <row r="624" spans="1:6" ht="42">
      <c r="A624" t="s">
        <v>950</v>
      </c>
      <c r="C624" s="144">
        <v>16</v>
      </c>
      <c r="D624" s="145" t="s">
        <v>951</v>
      </c>
      <c r="E624" s="142"/>
      <c r="F624" s="143">
        <f>F625+F629</f>
        <v>1.9712632401548844E-2</v>
      </c>
    </row>
    <row r="625" spans="1:6">
      <c r="A625" t="s">
        <v>790</v>
      </c>
      <c r="B625">
        <f t="shared" si="16"/>
        <v>5</v>
      </c>
      <c r="C625" s="75" t="s">
        <v>249</v>
      </c>
      <c r="D625" s="22" t="s">
        <v>139</v>
      </c>
      <c r="E625" s="22">
        <v>1.1710182459565149E-2</v>
      </c>
      <c r="F625" s="22">
        <f>SUM(F626:F628)</f>
        <v>1.1871014514702016E-2</v>
      </c>
    </row>
    <row r="626" spans="1:6">
      <c r="A626" t="s">
        <v>791</v>
      </c>
      <c r="B626">
        <f t="shared" si="16"/>
        <v>11</v>
      </c>
      <c r="C626" s="104" t="s">
        <v>496</v>
      </c>
      <c r="D626" s="105" t="s">
        <v>499</v>
      </c>
      <c r="E626" s="121">
        <v>1.1710182459565149E-2</v>
      </c>
      <c r="F626" s="121">
        <v>3.9570048382340057E-3</v>
      </c>
    </row>
    <row r="627" spans="1:6">
      <c r="A627" t="s">
        <v>792</v>
      </c>
      <c r="B627">
        <f t="shared" si="16"/>
        <v>11</v>
      </c>
      <c r="C627" s="104" t="s">
        <v>497</v>
      </c>
      <c r="D627" s="105" t="s">
        <v>500</v>
      </c>
      <c r="E627" s="121"/>
      <c r="F627" s="121">
        <v>3.9570048382340057E-3</v>
      </c>
    </row>
    <row r="628" spans="1:6">
      <c r="A628" t="s">
        <v>793</v>
      </c>
      <c r="B628">
        <f t="shared" si="16"/>
        <v>11</v>
      </c>
      <c r="C628" s="104" t="s">
        <v>498</v>
      </c>
      <c r="D628" s="105" t="s">
        <v>501</v>
      </c>
      <c r="E628" s="121"/>
      <c r="F628" s="121">
        <v>3.9570048382340057E-3</v>
      </c>
    </row>
    <row r="629" spans="1:6">
      <c r="A629" t="s">
        <v>794</v>
      </c>
      <c r="B629">
        <f t="shared" si="16"/>
        <v>5</v>
      </c>
      <c r="C629" t="s">
        <v>670</v>
      </c>
      <c r="D629" s="22" t="s">
        <v>141</v>
      </c>
      <c r="E629" s="22">
        <v>7.7353773023729686E-3</v>
      </c>
      <c r="F629" s="22">
        <f>SUM(F630:F633)</f>
        <v>7.8416178868468273E-3</v>
      </c>
    </row>
    <row r="630" spans="1:6">
      <c r="A630" t="s">
        <v>795</v>
      </c>
      <c r="B630">
        <f t="shared" si="16"/>
        <v>11</v>
      </c>
      <c r="C630" s="104">
        <v>31420</v>
      </c>
      <c r="D630" s="105" t="s">
        <v>505</v>
      </c>
      <c r="E630" s="121">
        <v>7.7353773023729686E-3</v>
      </c>
      <c r="F630" s="121">
        <v>1.9604044717117068E-3</v>
      </c>
    </row>
    <row r="631" spans="1:6">
      <c r="A631" t="s">
        <v>796</v>
      </c>
      <c r="B631">
        <f t="shared" si="16"/>
        <v>11</v>
      </c>
      <c r="C631" s="104" t="s">
        <v>502</v>
      </c>
      <c r="D631" s="105" t="s">
        <v>506</v>
      </c>
      <c r="E631" s="121"/>
      <c r="F631" s="121">
        <v>1.9604044717117068E-3</v>
      </c>
    </row>
    <row r="632" spans="1:6">
      <c r="A632" t="s">
        <v>797</v>
      </c>
      <c r="B632">
        <f t="shared" si="16"/>
        <v>11</v>
      </c>
      <c r="C632" s="104" t="s">
        <v>504</v>
      </c>
      <c r="D632" s="105" t="s">
        <v>507</v>
      </c>
      <c r="E632" s="121"/>
      <c r="F632" s="121">
        <v>1.9604044717117068E-3</v>
      </c>
    </row>
    <row r="633" spans="1:6">
      <c r="A633" t="s">
        <v>798</v>
      </c>
      <c r="B633">
        <f t="shared" si="16"/>
        <v>11</v>
      </c>
      <c r="C633" s="104" t="s">
        <v>503</v>
      </c>
      <c r="D633" s="105" t="s">
        <v>508</v>
      </c>
      <c r="E633" s="121"/>
      <c r="F633" s="121">
        <v>1.9604044717117068E-3</v>
      </c>
    </row>
    <row r="634" spans="1:6">
      <c r="A634" t="s">
        <v>952</v>
      </c>
      <c r="C634" s="144">
        <v>17</v>
      </c>
      <c r="D634" s="145" t="s">
        <v>953</v>
      </c>
      <c r="E634" s="142"/>
      <c r="F634" s="143">
        <f>F635</f>
        <v>2.5288330236080691E-2</v>
      </c>
    </row>
    <row r="635" spans="1:6">
      <c r="A635" t="s">
        <v>799</v>
      </c>
      <c r="B635">
        <v>5</v>
      </c>
      <c r="C635">
        <v>1702</v>
      </c>
      <c r="D635" s="22" t="s">
        <v>145</v>
      </c>
      <c r="E635" s="22">
        <v>2.494571637457698E-2</v>
      </c>
      <c r="F635" s="22">
        <f>SUM(F636:F639)</f>
        <v>2.5288330236080691E-2</v>
      </c>
    </row>
    <row r="636" spans="1:6">
      <c r="A636" t="s">
        <v>800</v>
      </c>
      <c r="B636">
        <f t="shared" si="16"/>
        <v>11</v>
      </c>
      <c r="C636" s="104" t="s">
        <v>509</v>
      </c>
      <c r="D636" s="105" t="s">
        <v>512</v>
      </c>
      <c r="E636" s="121">
        <v>1.404884945200306E-2</v>
      </c>
      <c r="F636" s="121">
        <v>1.4241801640192791E-2</v>
      </c>
    </row>
    <row r="637" spans="1:6">
      <c r="A637" t="s">
        <v>801</v>
      </c>
      <c r="B637">
        <f t="shared" si="16"/>
        <v>11</v>
      </c>
      <c r="C637" s="104" t="s">
        <v>513</v>
      </c>
      <c r="D637" s="105" t="s">
        <v>514</v>
      </c>
      <c r="E637" s="121">
        <v>1.089686692257392E-2</v>
      </c>
      <c r="F637" s="121">
        <v>5.523264297943949E-3</v>
      </c>
    </row>
    <row r="638" spans="1:6">
      <c r="A638" t="s">
        <v>802</v>
      </c>
      <c r="B638">
        <f t="shared" si="16"/>
        <v>11</v>
      </c>
      <c r="C638" s="104" t="s">
        <v>510</v>
      </c>
      <c r="D638" s="105" t="s">
        <v>511</v>
      </c>
      <c r="E638" s="121"/>
      <c r="F638" s="121">
        <v>2.2093057191775799E-3</v>
      </c>
    </row>
    <row r="639" spans="1:6">
      <c r="A639" t="s">
        <v>908</v>
      </c>
      <c r="B639">
        <f t="shared" si="16"/>
        <v>11</v>
      </c>
      <c r="C639" s="104">
        <v>32700</v>
      </c>
      <c r="D639" s="105" t="s">
        <v>516</v>
      </c>
      <c r="E639" s="121"/>
      <c r="F639" s="121">
        <v>3.3139585787663691E-3</v>
      </c>
    </row>
    <row r="640" spans="1:6">
      <c r="A640" t="s">
        <v>954</v>
      </c>
      <c r="C640" s="144">
        <v>18</v>
      </c>
      <c r="D640" s="145" t="s">
        <v>955</v>
      </c>
      <c r="E640" s="142"/>
      <c r="F640" s="143">
        <f>F641</f>
        <v>9.4820987499744849E-3</v>
      </c>
    </row>
    <row r="641" spans="1:6">
      <c r="A641" t="s">
        <v>803</v>
      </c>
      <c r="B641">
        <v>5</v>
      </c>
      <c r="C641" s="75">
        <v>1811</v>
      </c>
      <c r="D641" s="22" t="s">
        <v>148</v>
      </c>
      <c r="E641" s="22">
        <v>9.35363244011694E-3</v>
      </c>
      <c r="F641" s="22">
        <f>F642</f>
        <v>9.4820987499744849E-3</v>
      </c>
    </row>
    <row r="642" spans="1:6">
      <c r="A642" t="s">
        <v>804</v>
      </c>
      <c r="B642">
        <f t="shared" ref="B642:B708" si="17">LEN(A642)</f>
        <v>11</v>
      </c>
      <c r="C642" s="104">
        <v>32690</v>
      </c>
      <c r="D642" s="105" t="s">
        <v>516</v>
      </c>
      <c r="E642" s="121">
        <v>9.35363244011694E-3</v>
      </c>
      <c r="F642" s="121">
        <v>9.4820987499744849E-3</v>
      </c>
    </row>
    <row r="643" spans="1:6">
      <c r="A643" t="s">
        <v>956</v>
      </c>
      <c r="C643" s="144">
        <v>20</v>
      </c>
      <c r="D643" s="145" t="s">
        <v>957</v>
      </c>
      <c r="E643" s="142"/>
      <c r="F643" s="143">
        <f>F644+F646+F653+F655+F659</f>
        <v>8.4199791540698704E-2</v>
      </c>
    </row>
    <row r="644" spans="1:6">
      <c r="A644" t="s">
        <v>805</v>
      </c>
      <c r="B644">
        <f t="shared" si="17"/>
        <v>5</v>
      </c>
      <c r="C644" s="75" t="s">
        <v>655</v>
      </c>
      <c r="D644" s="22" t="s">
        <v>157</v>
      </c>
      <c r="E644" s="22">
        <v>6.545388831282163E-3</v>
      </c>
      <c r="F644" s="22">
        <f>F645</f>
        <v>6.6352856660274783E-3</v>
      </c>
    </row>
    <row r="645" spans="1:6">
      <c r="A645" t="s">
        <v>806</v>
      </c>
      <c r="B645">
        <f t="shared" si="17"/>
        <v>11</v>
      </c>
      <c r="C645" s="127" t="s">
        <v>517</v>
      </c>
      <c r="D645" s="128" t="s">
        <v>518</v>
      </c>
      <c r="E645" s="129">
        <v>6.545388831282163E-3</v>
      </c>
      <c r="F645" s="129">
        <v>6.6352856660274783E-3</v>
      </c>
    </row>
    <row r="646" spans="1:6">
      <c r="A646" t="s">
        <v>807</v>
      </c>
      <c r="B646">
        <v>5</v>
      </c>
      <c r="C646" s="75">
        <v>2021</v>
      </c>
      <c r="D646" s="22" t="s">
        <v>159</v>
      </c>
      <c r="E646" s="22">
        <v>3.1331779842237006E-2</v>
      </c>
      <c r="F646" s="22">
        <f>SUM(F647:F652)</f>
        <v>3.176210230395124E-2</v>
      </c>
    </row>
    <row r="647" spans="1:6">
      <c r="A647" t="s">
        <v>808</v>
      </c>
      <c r="B647">
        <f t="shared" si="17"/>
        <v>11</v>
      </c>
      <c r="C647" s="104" t="s">
        <v>525</v>
      </c>
      <c r="D647" s="105" t="s">
        <v>530</v>
      </c>
      <c r="E647" s="121">
        <v>3.1331779842237006E-2</v>
      </c>
      <c r="F647" s="121">
        <v>1.0587367434650413E-2</v>
      </c>
    </row>
    <row r="648" spans="1:6">
      <c r="A648" t="s">
        <v>809</v>
      </c>
      <c r="B648">
        <f t="shared" si="17"/>
        <v>11</v>
      </c>
      <c r="C648" s="104">
        <v>34644</v>
      </c>
      <c r="D648" s="105" t="s">
        <v>524</v>
      </c>
      <c r="E648" s="121"/>
      <c r="F648" s="121">
        <v>5.2936837173252066E-3</v>
      </c>
    </row>
    <row r="649" spans="1:6">
      <c r="A649" t="s">
        <v>810</v>
      </c>
      <c r="B649">
        <f t="shared" si="17"/>
        <v>11</v>
      </c>
      <c r="C649" s="104" t="s">
        <v>520</v>
      </c>
      <c r="D649" s="105" t="s">
        <v>522</v>
      </c>
      <c r="E649" s="121"/>
      <c r="F649" s="121">
        <v>2.6468418586626033E-3</v>
      </c>
    </row>
    <row r="650" spans="1:6">
      <c r="A650" t="s">
        <v>811</v>
      </c>
      <c r="B650">
        <f t="shared" si="17"/>
        <v>11</v>
      </c>
      <c r="C650" s="104" t="s">
        <v>519</v>
      </c>
      <c r="D650" s="105" t="s">
        <v>521</v>
      </c>
      <c r="E650" s="121"/>
      <c r="F650" s="121">
        <v>2.6468418586626033E-3</v>
      </c>
    </row>
    <row r="651" spans="1:6">
      <c r="A651" t="s">
        <v>812</v>
      </c>
      <c r="B651">
        <f t="shared" si="17"/>
        <v>11</v>
      </c>
      <c r="C651" s="104" t="s">
        <v>526</v>
      </c>
      <c r="D651" s="105" t="s">
        <v>529</v>
      </c>
      <c r="E651" s="121"/>
      <c r="F651" s="121">
        <v>5.2936837173252066E-3</v>
      </c>
    </row>
    <row r="652" spans="1:6">
      <c r="A652" t="s">
        <v>813</v>
      </c>
      <c r="B652">
        <f t="shared" si="17"/>
        <v>11</v>
      </c>
      <c r="C652" s="104" t="s">
        <v>527</v>
      </c>
      <c r="D652" s="105" t="s">
        <v>528</v>
      </c>
      <c r="E652" s="121"/>
      <c r="F652" s="121">
        <v>5.2936837173252066E-3</v>
      </c>
    </row>
    <row r="653" spans="1:6">
      <c r="A653" t="s">
        <v>814</v>
      </c>
      <c r="B653">
        <f t="shared" si="17"/>
        <v>5</v>
      </c>
      <c r="C653" s="75" t="s">
        <v>273</v>
      </c>
      <c r="D653" s="22" t="s">
        <v>166</v>
      </c>
      <c r="E653" s="22">
        <v>6.1693446319443738E-3</v>
      </c>
      <c r="F653" s="22">
        <f>F654</f>
        <v>6.2540767340639909E-3</v>
      </c>
    </row>
    <row r="654" spans="1:6">
      <c r="A654" t="s">
        <v>815</v>
      </c>
      <c r="B654">
        <f t="shared" si="17"/>
        <v>11</v>
      </c>
      <c r="C654" s="104" t="s">
        <v>531</v>
      </c>
      <c r="D654" s="105" t="s">
        <v>532</v>
      </c>
      <c r="E654" s="121">
        <v>6.1693446319443738E-3</v>
      </c>
      <c r="F654" s="121">
        <v>6.2540767340639909E-3</v>
      </c>
    </row>
    <row r="655" spans="1:6">
      <c r="A655" t="s">
        <v>816</v>
      </c>
      <c r="B655">
        <f t="shared" si="17"/>
        <v>5</v>
      </c>
      <c r="C655" s="75" t="s">
        <v>276</v>
      </c>
      <c r="D655" s="22" t="s">
        <v>170</v>
      </c>
      <c r="E655" s="22">
        <v>2.6844378501225379E-2</v>
      </c>
      <c r="F655" s="22">
        <f>SUM(F656:F658)</f>
        <v>2.7213069303280088E-2</v>
      </c>
    </row>
    <row r="656" spans="1:6">
      <c r="A656" t="s">
        <v>817</v>
      </c>
      <c r="B656">
        <f t="shared" si="17"/>
        <v>11</v>
      </c>
      <c r="C656" s="104" t="s">
        <v>533</v>
      </c>
      <c r="D656" s="105" t="s">
        <v>534</v>
      </c>
      <c r="E656" s="121">
        <v>2.6844378501225379E-2</v>
      </c>
      <c r="F656" s="121">
        <v>9.5245742561480308E-3</v>
      </c>
    </row>
    <row r="657" spans="1:6">
      <c r="A657" t="s">
        <v>818</v>
      </c>
      <c r="B657">
        <f t="shared" si="17"/>
        <v>11</v>
      </c>
      <c r="C657" s="104" t="s">
        <v>535</v>
      </c>
      <c r="D657" s="105" t="s">
        <v>536</v>
      </c>
      <c r="E657" s="121"/>
      <c r="F657" s="121">
        <v>9.5245742561480308E-3</v>
      </c>
    </row>
    <row r="658" spans="1:6">
      <c r="A658" t="s">
        <v>819</v>
      </c>
      <c r="B658">
        <f t="shared" si="17"/>
        <v>11</v>
      </c>
      <c r="C658" s="104" t="s">
        <v>537</v>
      </c>
      <c r="D658" s="105" t="s">
        <v>538</v>
      </c>
      <c r="E658" s="121"/>
      <c r="F658" s="121">
        <v>8.1639207909840264E-3</v>
      </c>
    </row>
    <row r="659" spans="1:6">
      <c r="A659" t="s">
        <v>820</v>
      </c>
      <c r="B659">
        <v>5</v>
      </c>
      <c r="C659" s="75" t="s">
        <v>692</v>
      </c>
      <c r="D659" s="22" t="s">
        <v>173</v>
      </c>
      <c r="E659" s="22">
        <v>1.2168135774971984E-2</v>
      </c>
      <c r="F659" s="22">
        <f>SUM(F660:F668)</f>
        <v>1.2335257533375898E-2</v>
      </c>
    </row>
    <row r="660" spans="1:6">
      <c r="A660" t="s">
        <v>821</v>
      </c>
      <c r="B660">
        <f t="shared" si="17"/>
        <v>11</v>
      </c>
      <c r="C660" s="104" t="s">
        <v>539</v>
      </c>
      <c r="D660" s="105" t="s">
        <v>546</v>
      </c>
      <c r="E660" s="121">
        <v>8.1563677436482223E-3</v>
      </c>
      <c r="F660" s="121">
        <v>1.3705841703750997E-3</v>
      </c>
    </row>
    <row r="661" spans="1:6">
      <c r="A661" t="s">
        <v>822</v>
      </c>
      <c r="B661">
        <f t="shared" si="17"/>
        <v>11</v>
      </c>
      <c r="C661" s="104" t="s">
        <v>540</v>
      </c>
      <c r="D661" s="105" t="s">
        <v>547</v>
      </c>
      <c r="E661" s="121"/>
      <c r="F661" s="121">
        <v>1.3705841703750997E-3</v>
      </c>
    </row>
    <row r="662" spans="1:6">
      <c r="A662" t="s">
        <v>824</v>
      </c>
      <c r="B662">
        <f t="shared" si="17"/>
        <v>11</v>
      </c>
      <c r="C662" s="104" t="s">
        <v>542</v>
      </c>
      <c r="D662" s="105" t="s">
        <v>544</v>
      </c>
      <c r="E662" s="121"/>
      <c r="F662" s="121">
        <v>1.3705841703750997E-3</v>
      </c>
    </row>
    <row r="663" spans="1:6">
      <c r="A663" t="s">
        <v>825</v>
      </c>
      <c r="B663">
        <f t="shared" si="17"/>
        <v>11</v>
      </c>
      <c r="C663" s="104" t="s">
        <v>543</v>
      </c>
      <c r="D663" s="105" t="s">
        <v>545</v>
      </c>
      <c r="E663" s="121"/>
      <c r="F663" s="121">
        <v>1.3705841703750997E-3</v>
      </c>
    </row>
    <row r="664" spans="1:6">
      <c r="A664" t="s">
        <v>826</v>
      </c>
      <c r="B664">
        <f t="shared" si="17"/>
        <v>11</v>
      </c>
      <c r="C664" s="104" t="s">
        <v>549</v>
      </c>
      <c r="D664" s="105" t="s">
        <v>553</v>
      </c>
      <c r="E664" s="121">
        <v>4.0117680313237611E-3</v>
      </c>
      <c r="F664" s="121">
        <v>1.3705841703750997E-3</v>
      </c>
    </row>
    <row r="665" spans="1:6">
      <c r="A665" t="s">
        <v>827</v>
      </c>
      <c r="B665">
        <f t="shared" si="17"/>
        <v>11</v>
      </c>
      <c r="C665" s="104" t="s">
        <v>550</v>
      </c>
      <c r="D665" s="105" t="s">
        <v>554</v>
      </c>
      <c r="E665" s="121"/>
      <c r="F665" s="121">
        <v>1.3705841703750997E-3</v>
      </c>
    </row>
    <row r="666" spans="1:6">
      <c r="A666" t="s">
        <v>828</v>
      </c>
      <c r="B666">
        <f t="shared" si="17"/>
        <v>11</v>
      </c>
      <c r="C666" s="104" t="s">
        <v>551</v>
      </c>
      <c r="D666" s="105" t="s">
        <v>555</v>
      </c>
      <c r="E666" s="121"/>
      <c r="F666" s="121">
        <v>1.3705841703750997E-3</v>
      </c>
    </row>
    <row r="667" spans="1:6">
      <c r="A667" t="s">
        <v>829</v>
      </c>
      <c r="B667">
        <f t="shared" si="17"/>
        <v>11</v>
      </c>
      <c r="C667" s="104" t="s">
        <v>552</v>
      </c>
      <c r="D667" s="105" t="s">
        <v>556</v>
      </c>
      <c r="E667" s="121"/>
      <c r="F667" s="121">
        <v>1.3705841703750997E-3</v>
      </c>
    </row>
    <row r="668" spans="1:6">
      <c r="A668" t="s">
        <v>830</v>
      </c>
      <c r="B668">
        <f t="shared" si="17"/>
        <v>11</v>
      </c>
      <c r="C668" s="104" t="s">
        <v>644</v>
      </c>
      <c r="D668" s="105" t="s">
        <v>646</v>
      </c>
      <c r="E668" s="121"/>
      <c r="F668" s="121">
        <v>1.3705841703750997E-3</v>
      </c>
    </row>
    <row r="669" spans="1:6" ht="26">
      <c r="A669" t="s">
        <v>958</v>
      </c>
      <c r="C669" s="144">
        <v>21</v>
      </c>
      <c r="D669" s="146" t="s">
        <v>959</v>
      </c>
      <c r="E669" s="142"/>
      <c r="F669" s="143">
        <f>F670</f>
        <v>2.1418793931301517E-2</v>
      </c>
    </row>
    <row r="670" spans="1:6">
      <c r="A670" t="s">
        <v>831</v>
      </c>
      <c r="B670">
        <f t="shared" si="17"/>
        <v>5</v>
      </c>
      <c r="C670" s="75" t="s">
        <v>284</v>
      </c>
      <c r="D670" s="22" t="s">
        <v>177</v>
      </c>
      <c r="E670" s="22">
        <v>2.1128605704991293E-2</v>
      </c>
      <c r="F670" s="22">
        <f>F671+F672</f>
        <v>2.1418793931301517E-2</v>
      </c>
    </row>
    <row r="671" spans="1:6">
      <c r="A671" t="s">
        <v>832</v>
      </c>
      <c r="B671">
        <f t="shared" si="17"/>
        <v>11</v>
      </c>
      <c r="C671" s="104" t="s">
        <v>557</v>
      </c>
      <c r="D671" s="105" t="s">
        <v>559</v>
      </c>
      <c r="E671" s="121">
        <v>2.1128605704991293E-2</v>
      </c>
      <c r="F671" s="121">
        <v>1.285127635878091E-2</v>
      </c>
    </row>
    <row r="672" spans="1:6">
      <c r="A672" t="s">
        <v>833</v>
      </c>
      <c r="B672">
        <f t="shared" si="17"/>
        <v>11</v>
      </c>
      <c r="C672" s="104" t="s">
        <v>558</v>
      </c>
      <c r="D672" s="105" t="s">
        <v>560</v>
      </c>
      <c r="E672" s="121"/>
      <c r="F672" s="121">
        <v>8.5675175725206075E-3</v>
      </c>
    </row>
    <row r="673" spans="1:6">
      <c r="A673" t="s">
        <v>960</v>
      </c>
      <c r="C673" s="144">
        <v>22</v>
      </c>
      <c r="D673" s="146" t="s">
        <v>961</v>
      </c>
      <c r="E673" s="142"/>
      <c r="F673" s="143">
        <f>F674</f>
        <v>6.1354259757413501E-2</v>
      </c>
    </row>
    <row r="674" spans="1:6">
      <c r="A674" t="s">
        <v>834</v>
      </c>
      <c r="B674">
        <f t="shared" si="17"/>
        <v>5</v>
      </c>
      <c r="C674" s="75" t="s">
        <v>290</v>
      </c>
      <c r="D674" s="22" t="s">
        <v>184</v>
      </c>
      <c r="E674" s="22">
        <v>6.0523013895826434E-2</v>
      </c>
      <c r="F674" s="22">
        <f>SUM(F675:F680)</f>
        <v>6.1354259757413501E-2</v>
      </c>
    </row>
    <row r="675" spans="1:6">
      <c r="A675" t="s">
        <v>835</v>
      </c>
      <c r="B675">
        <f t="shared" si="17"/>
        <v>11</v>
      </c>
      <c r="C675" s="104" t="s">
        <v>567</v>
      </c>
      <c r="D675" s="105" t="s">
        <v>574</v>
      </c>
      <c r="E675" s="121">
        <v>6.0523013895826434E-2</v>
      </c>
      <c r="F675" s="121">
        <v>1.0225709959568917E-2</v>
      </c>
    </row>
    <row r="676" spans="1:6">
      <c r="A676" t="s">
        <v>836</v>
      </c>
      <c r="B676">
        <f t="shared" si="17"/>
        <v>11</v>
      </c>
      <c r="C676" s="104" t="s">
        <v>568</v>
      </c>
      <c r="D676" s="105" t="s">
        <v>575</v>
      </c>
      <c r="E676" s="121"/>
      <c r="F676" s="121">
        <v>1.0225709959568917E-2</v>
      </c>
    </row>
    <row r="677" spans="1:6">
      <c r="A677" t="s">
        <v>837</v>
      </c>
      <c r="B677">
        <f t="shared" si="17"/>
        <v>11</v>
      </c>
      <c r="C677" s="104" t="s">
        <v>569</v>
      </c>
      <c r="D677" s="105" t="s">
        <v>576</v>
      </c>
      <c r="E677" s="121"/>
      <c r="F677" s="121">
        <v>1.0225709959568917E-2</v>
      </c>
    </row>
    <row r="678" spans="1:6">
      <c r="A678" t="s">
        <v>838</v>
      </c>
      <c r="B678">
        <f t="shared" si="17"/>
        <v>11</v>
      </c>
      <c r="C678" s="104" t="s">
        <v>570</v>
      </c>
      <c r="D678" s="105" t="s">
        <v>577</v>
      </c>
      <c r="E678" s="121"/>
      <c r="F678" s="121">
        <v>1.0225709959568917E-2</v>
      </c>
    </row>
    <row r="679" spans="1:6">
      <c r="A679" t="s">
        <v>839</v>
      </c>
      <c r="B679">
        <f t="shared" si="17"/>
        <v>11</v>
      </c>
      <c r="C679" s="104" t="s">
        <v>571</v>
      </c>
      <c r="D679" s="105" t="s">
        <v>578</v>
      </c>
      <c r="E679" s="121"/>
      <c r="F679" s="121">
        <v>1.0225709959568917E-2</v>
      </c>
    </row>
    <row r="680" spans="1:6">
      <c r="A680" t="s">
        <v>841</v>
      </c>
      <c r="B680">
        <f t="shared" si="17"/>
        <v>11</v>
      </c>
      <c r="C680" s="104" t="s">
        <v>573</v>
      </c>
      <c r="D680" s="105" t="s">
        <v>580</v>
      </c>
      <c r="E680" s="121"/>
      <c r="F680" s="121">
        <v>1.0225709959568917E-2</v>
      </c>
    </row>
    <row r="681" spans="1:6">
      <c r="A681" t="s">
        <v>962</v>
      </c>
      <c r="C681" s="144">
        <v>23</v>
      </c>
      <c r="D681" s="146" t="s">
        <v>963</v>
      </c>
      <c r="E681" s="142"/>
      <c r="F681" s="143">
        <f>F682+F684+F688+F690</f>
        <v>6.8947506698723154E-2</v>
      </c>
    </row>
    <row r="682" spans="1:6">
      <c r="A682" t="s">
        <v>842</v>
      </c>
      <c r="B682">
        <f t="shared" si="17"/>
        <v>5</v>
      </c>
      <c r="C682" s="75" t="s">
        <v>293</v>
      </c>
      <c r="D682" s="22" t="s">
        <v>187</v>
      </c>
      <c r="E682" s="22">
        <v>4.8120213349284553E-3</v>
      </c>
      <c r="F682" s="22">
        <f>F683</f>
        <v>4.8781114478136595E-3</v>
      </c>
    </row>
    <row r="683" spans="1:6">
      <c r="A683" t="s">
        <v>844</v>
      </c>
      <c r="B683">
        <f t="shared" si="17"/>
        <v>11</v>
      </c>
      <c r="C683" s="104" t="s">
        <v>582</v>
      </c>
      <c r="D683" s="105" t="s">
        <v>584</v>
      </c>
      <c r="E683" s="121">
        <v>4.8120213349284553E-3</v>
      </c>
      <c r="F683" s="121">
        <v>4.8781114478136595E-3</v>
      </c>
    </row>
    <row r="684" spans="1:6">
      <c r="A684" t="s">
        <v>845</v>
      </c>
      <c r="B684">
        <f t="shared" si="17"/>
        <v>5</v>
      </c>
      <c r="C684" s="136" t="s">
        <v>689</v>
      </c>
      <c r="D684" s="22" t="s">
        <v>189</v>
      </c>
      <c r="E684" s="22">
        <v>1.063509792232098E-2</v>
      </c>
      <c r="F684" s="22">
        <f>SUM(F685:F687)</f>
        <v>1.0781164361621555E-2</v>
      </c>
    </row>
    <row r="685" spans="1:6">
      <c r="A685" t="s">
        <v>846</v>
      </c>
      <c r="B685">
        <f t="shared" si="17"/>
        <v>11</v>
      </c>
      <c r="C685" s="104" t="s">
        <v>589</v>
      </c>
      <c r="D685" s="105" t="s">
        <v>590</v>
      </c>
      <c r="E685" s="121">
        <v>2.3568577950668621E-3</v>
      </c>
      <c r="F685" s="121">
        <v>2.3892277674524187E-3</v>
      </c>
    </row>
    <row r="686" spans="1:6">
      <c r="A686" t="s">
        <v>847</v>
      </c>
      <c r="B686">
        <f t="shared" si="17"/>
        <v>11</v>
      </c>
      <c r="C686" s="104" t="s">
        <v>585</v>
      </c>
      <c r="D686" s="105" t="s">
        <v>587</v>
      </c>
      <c r="E686" s="121">
        <v>8.2782401272541179E-3</v>
      </c>
      <c r="F686" s="121">
        <v>4.1959682970845683E-3</v>
      </c>
    </row>
    <row r="687" spans="1:6">
      <c r="A687" t="s">
        <v>848</v>
      </c>
      <c r="B687">
        <f t="shared" si="17"/>
        <v>11</v>
      </c>
      <c r="C687" s="104" t="s">
        <v>586</v>
      </c>
      <c r="D687" s="105" t="s">
        <v>588</v>
      </c>
      <c r="E687" s="121"/>
      <c r="F687" s="121">
        <v>4.1959682970845683E-3</v>
      </c>
    </row>
    <row r="688" spans="1:6">
      <c r="A688" t="s">
        <v>849</v>
      </c>
      <c r="B688">
        <f t="shared" si="17"/>
        <v>5</v>
      </c>
      <c r="C688" s="75" t="s">
        <v>301</v>
      </c>
      <c r="D688" s="22" t="s">
        <v>192</v>
      </c>
      <c r="E688" s="22">
        <v>4.3354474434690947E-2</v>
      </c>
      <c r="F688" s="22">
        <f>F689</f>
        <v>4.3949921110845391E-2</v>
      </c>
    </row>
    <row r="689" spans="1:6">
      <c r="A689" t="s">
        <v>850</v>
      </c>
      <c r="B689">
        <f t="shared" si="17"/>
        <v>11</v>
      </c>
      <c r="C689" s="104" t="s">
        <v>591</v>
      </c>
      <c r="D689" s="105" t="s">
        <v>592</v>
      </c>
      <c r="E689" s="121">
        <v>4.3354474434690947E-2</v>
      </c>
      <c r="F689" s="121">
        <v>4.3949921110845391E-2</v>
      </c>
    </row>
    <row r="690" spans="1:6">
      <c r="A690" t="s">
        <v>851</v>
      </c>
      <c r="B690">
        <f t="shared" si="17"/>
        <v>5</v>
      </c>
      <c r="C690" s="136" t="s">
        <v>304</v>
      </c>
      <c r="D690" s="22" t="s">
        <v>196</v>
      </c>
      <c r="E690" s="22">
        <v>9.2117915645770383E-3</v>
      </c>
      <c r="F690" s="22">
        <f>F691+F692</f>
        <v>9.3383097784425478E-3</v>
      </c>
    </row>
    <row r="691" spans="1:6">
      <c r="A691" t="s">
        <v>852</v>
      </c>
      <c r="B691">
        <f t="shared" si="17"/>
        <v>11</v>
      </c>
      <c r="C691" s="104" t="s">
        <v>593</v>
      </c>
      <c r="D691" s="105" t="s">
        <v>595</v>
      </c>
      <c r="E691" s="121">
        <v>9.2117915645770383E-3</v>
      </c>
      <c r="F691" s="121">
        <v>5.1360703781434015E-3</v>
      </c>
    </row>
    <row r="692" spans="1:6">
      <c r="A692" t="s">
        <v>853</v>
      </c>
      <c r="B692">
        <f t="shared" si="17"/>
        <v>11</v>
      </c>
      <c r="C692" s="104" t="s">
        <v>594</v>
      </c>
      <c r="D692" s="105" t="s">
        <v>596</v>
      </c>
      <c r="E692" s="121"/>
      <c r="F692" s="121">
        <v>4.2022394002991462E-3</v>
      </c>
    </row>
    <row r="693" spans="1:6">
      <c r="A693" t="s">
        <v>964</v>
      </c>
      <c r="C693" s="144">
        <v>24</v>
      </c>
      <c r="D693" s="146" t="s">
        <v>965</v>
      </c>
      <c r="E693" s="142"/>
      <c r="F693" s="143">
        <f>F694</f>
        <v>5.2187709331150536E-2</v>
      </c>
    </row>
    <row r="694" spans="1:6">
      <c r="A694" t="s">
        <v>854</v>
      </c>
      <c r="B694">
        <f t="shared" si="17"/>
        <v>5</v>
      </c>
      <c r="C694" s="136" t="s">
        <v>678</v>
      </c>
      <c r="D694" s="22" t="s">
        <v>203</v>
      </c>
      <c r="E694" s="22">
        <v>5.1480654636354282E-2</v>
      </c>
      <c r="F694" s="22">
        <f>SUM(F695:F701)</f>
        <v>5.2187709331150536E-2</v>
      </c>
    </row>
    <row r="695" spans="1:6">
      <c r="A695" t="s">
        <v>855</v>
      </c>
      <c r="B695">
        <f t="shared" si="17"/>
        <v>11</v>
      </c>
      <c r="C695" s="104" t="s">
        <v>601</v>
      </c>
      <c r="D695" s="105" t="s">
        <v>608</v>
      </c>
      <c r="E695" s="121">
        <v>5.1480654636354282E-2</v>
      </c>
      <c r="F695" s="121">
        <v>8.2009257520379419E-3</v>
      </c>
    </row>
    <row r="696" spans="1:6">
      <c r="A696" t="s">
        <v>856</v>
      </c>
      <c r="B696">
        <f t="shared" si="17"/>
        <v>11</v>
      </c>
      <c r="C696" s="104" t="s">
        <v>602</v>
      </c>
      <c r="D696" s="105" t="s">
        <v>609</v>
      </c>
      <c r="E696" s="121"/>
      <c r="F696" s="121">
        <v>8.2009257520379419E-3</v>
      </c>
    </row>
    <row r="697" spans="1:6">
      <c r="A697" t="s">
        <v>857</v>
      </c>
      <c r="B697">
        <f t="shared" si="17"/>
        <v>11</v>
      </c>
      <c r="C697" s="104" t="s">
        <v>603</v>
      </c>
      <c r="D697" s="105" t="s">
        <v>610</v>
      </c>
      <c r="E697" s="121"/>
      <c r="F697" s="121">
        <v>1.1183080570960829E-2</v>
      </c>
    </row>
    <row r="698" spans="1:6">
      <c r="A698" t="s">
        <v>858</v>
      </c>
      <c r="B698">
        <f t="shared" si="17"/>
        <v>11</v>
      </c>
      <c r="C698" s="104" t="s">
        <v>604</v>
      </c>
      <c r="D698" s="105" t="s">
        <v>611</v>
      </c>
      <c r="E698" s="121"/>
      <c r="F698" s="121">
        <v>3.7276935236536094E-3</v>
      </c>
    </row>
    <row r="699" spans="1:6">
      <c r="A699" t="s">
        <v>859</v>
      </c>
      <c r="B699">
        <f t="shared" si="17"/>
        <v>11</v>
      </c>
      <c r="C699" s="104" t="s">
        <v>605</v>
      </c>
      <c r="D699" s="105" t="s">
        <v>612</v>
      </c>
      <c r="E699" s="121"/>
      <c r="F699" s="121">
        <v>8.5736951044033012E-3</v>
      </c>
    </row>
    <row r="700" spans="1:6">
      <c r="A700" t="s">
        <v>860</v>
      </c>
      <c r="B700">
        <f t="shared" si="17"/>
        <v>11</v>
      </c>
      <c r="C700" s="104" t="s">
        <v>606</v>
      </c>
      <c r="D700" s="105" t="s">
        <v>613</v>
      </c>
      <c r="E700" s="121"/>
      <c r="F700" s="121">
        <v>8.5736951044033012E-3</v>
      </c>
    </row>
    <row r="701" spans="1:6">
      <c r="A701" t="s">
        <v>861</v>
      </c>
      <c r="B701">
        <f t="shared" si="17"/>
        <v>11</v>
      </c>
      <c r="C701" s="104" t="s">
        <v>607</v>
      </c>
      <c r="D701" s="105" t="s">
        <v>614</v>
      </c>
      <c r="E701" s="121"/>
      <c r="F701" s="121">
        <v>3.7276935236536094E-3</v>
      </c>
    </row>
    <row r="702" spans="1:6" ht="26">
      <c r="A702" t="s">
        <v>966</v>
      </c>
      <c r="C702" s="144">
        <v>25</v>
      </c>
      <c r="D702" s="146" t="s">
        <v>967</v>
      </c>
      <c r="E702" s="142"/>
      <c r="F702" s="143">
        <f>F703</f>
        <v>1.4374797565040171E-2</v>
      </c>
    </row>
    <row r="703" spans="1:6">
      <c r="A703" t="s">
        <v>862</v>
      </c>
      <c r="B703">
        <v>5</v>
      </c>
      <c r="C703" s="136" t="s">
        <v>690</v>
      </c>
      <c r="D703" s="22" t="s">
        <v>206</v>
      </c>
      <c r="E703" s="22">
        <v>1.4180043508282966E-2</v>
      </c>
      <c r="F703" s="22">
        <f>SUM(F704:F709)</f>
        <v>1.4374797565040171E-2</v>
      </c>
    </row>
    <row r="704" spans="1:6">
      <c r="A704" t="s">
        <v>863</v>
      </c>
      <c r="B704">
        <f t="shared" si="17"/>
        <v>11</v>
      </c>
      <c r="C704" s="104" t="s">
        <v>615</v>
      </c>
      <c r="D704" s="105" t="s">
        <v>620</v>
      </c>
      <c r="E704" s="121">
        <v>9.2114830797715552E-3</v>
      </c>
      <c r="F704" s="121">
        <v>2.3957995941733617E-3</v>
      </c>
    </row>
    <row r="705" spans="1:6">
      <c r="A705" t="s">
        <v>864</v>
      </c>
      <c r="B705">
        <f t="shared" si="17"/>
        <v>11</v>
      </c>
      <c r="C705" s="104" t="s">
        <v>616</v>
      </c>
      <c r="D705" s="105" t="s">
        <v>621</v>
      </c>
      <c r="E705" s="121"/>
      <c r="F705" s="121">
        <v>2.3957995941733617E-3</v>
      </c>
    </row>
    <row r="706" spans="1:6">
      <c r="A706" t="s">
        <v>865</v>
      </c>
      <c r="B706">
        <f t="shared" si="17"/>
        <v>11</v>
      </c>
      <c r="C706" s="104" t="s">
        <v>617</v>
      </c>
      <c r="D706" s="105" t="s">
        <v>622</v>
      </c>
      <c r="E706" s="121"/>
      <c r="F706" s="121">
        <v>2.3957995941733617E-3</v>
      </c>
    </row>
    <row r="707" spans="1:6">
      <c r="A707" t="s">
        <v>866</v>
      </c>
      <c r="B707">
        <f t="shared" si="17"/>
        <v>11</v>
      </c>
      <c r="C707" s="104" t="s">
        <v>618</v>
      </c>
      <c r="D707" s="105" t="s">
        <v>623</v>
      </c>
      <c r="E707" s="121"/>
      <c r="F707" s="121">
        <v>2.3957995941733617E-3</v>
      </c>
    </row>
    <row r="708" spans="1:6">
      <c r="A708" t="s">
        <v>867</v>
      </c>
      <c r="B708">
        <f t="shared" si="17"/>
        <v>11</v>
      </c>
      <c r="C708" s="104" t="s">
        <v>619</v>
      </c>
      <c r="D708" s="105" t="s">
        <v>624</v>
      </c>
      <c r="E708" s="121"/>
      <c r="F708" s="121">
        <v>2.3957995941733617E-3</v>
      </c>
    </row>
    <row r="709" spans="1:6">
      <c r="A709" t="s">
        <v>868</v>
      </c>
      <c r="B709">
        <f t="shared" ref="B709:B725" si="18">LEN(A709)</f>
        <v>11</v>
      </c>
      <c r="C709" s="104" t="s">
        <v>625</v>
      </c>
      <c r="D709" s="105" t="s">
        <v>626</v>
      </c>
      <c r="E709" s="121">
        <v>4.9685604285114116E-3</v>
      </c>
      <c r="F709" s="121">
        <v>2.3957995941733617E-3</v>
      </c>
    </row>
    <row r="710" spans="1:6">
      <c r="A710" t="s">
        <v>968</v>
      </c>
      <c r="C710" s="144">
        <v>28</v>
      </c>
      <c r="D710" s="146" t="s">
        <v>969</v>
      </c>
      <c r="E710" s="142"/>
      <c r="F710" s="143">
        <f>F711</f>
        <v>2.8181342697852375E-2</v>
      </c>
    </row>
    <row r="711" spans="1:6">
      <c r="A711" t="s">
        <v>869</v>
      </c>
      <c r="B711">
        <v>5</v>
      </c>
      <c r="C711" s="75" t="s">
        <v>691</v>
      </c>
      <c r="D711" s="22" t="s">
        <v>210</v>
      </c>
      <c r="E711" s="22">
        <v>2.7799533438247932E-2</v>
      </c>
      <c r="F711" s="22">
        <f>SUM(F712:F716)</f>
        <v>2.8181342697852375E-2</v>
      </c>
    </row>
    <row r="712" spans="1:6">
      <c r="A712" t="s">
        <v>870</v>
      </c>
      <c r="B712">
        <f t="shared" si="18"/>
        <v>11</v>
      </c>
      <c r="C712" s="127" t="s">
        <v>627</v>
      </c>
      <c r="D712" s="128" t="s">
        <v>628</v>
      </c>
      <c r="E712" s="129">
        <v>1.6419111117002692E-2</v>
      </c>
      <c r="F712" s="129">
        <v>1.6644617371374598E-2</v>
      </c>
    </row>
    <row r="713" spans="1:6">
      <c r="A713" t="s">
        <v>871</v>
      </c>
      <c r="B713">
        <f t="shared" si="18"/>
        <v>11</v>
      </c>
      <c r="C713" s="104" t="s">
        <v>629</v>
      </c>
      <c r="D713" s="105" t="s">
        <v>630</v>
      </c>
      <c r="E713" s="121">
        <v>5.495474590764526E-3</v>
      </c>
      <c r="F713" s="129">
        <v>5.5709515080061651E-3</v>
      </c>
    </row>
    <row r="714" spans="1:6">
      <c r="A714" t="s">
        <v>872</v>
      </c>
      <c r="B714">
        <f t="shared" si="18"/>
        <v>11</v>
      </c>
      <c r="C714" s="104" t="s">
        <v>631</v>
      </c>
      <c r="D714" s="105" t="s">
        <v>633</v>
      </c>
      <c r="E714" s="121">
        <v>3.209064274324182E-3</v>
      </c>
      <c r="F714" s="129">
        <v>1.626569385688662E-3</v>
      </c>
    </row>
    <row r="715" spans="1:6">
      <c r="A715" t="s">
        <v>873</v>
      </c>
      <c r="B715">
        <f t="shared" si="18"/>
        <v>11</v>
      </c>
      <c r="C715" s="104" t="s">
        <v>632</v>
      </c>
      <c r="D715" s="105" t="s">
        <v>634</v>
      </c>
      <c r="E715" s="121"/>
      <c r="F715" s="129">
        <v>1.626569385688662E-3</v>
      </c>
    </row>
    <row r="716" spans="1:6">
      <c r="A716" t="s">
        <v>874</v>
      </c>
      <c r="B716">
        <f t="shared" si="18"/>
        <v>11</v>
      </c>
      <c r="C716" s="104" t="s">
        <v>635</v>
      </c>
      <c r="D716" s="105" t="s">
        <v>636</v>
      </c>
      <c r="E716" s="121">
        <v>2.6758834561565322E-3</v>
      </c>
      <c r="F716" s="129">
        <v>2.7126350470942856E-3</v>
      </c>
    </row>
    <row r="717" spans="1:6">
      <c r="A717" t="s">
        <v>970</v>
      </c>
      <c r="C717" s="144">
        <v>31</v>
      </c>
      <c r="D717" s="146" t="s">
        <v>971</v>
      </c>
      <c r="E717" s="142"/>
      <c r="F717" s="143">
        <f>F718</f>
        <v>3.390739502074714E-2</v>
      </c>
    </row>
    <row r="718" spans="1:6">
      <c r="A718" t="s">
        <v>875</v>
      </c>
      <c r="B718">
        <f t="shared" si="18"/>
        <v>5</v>
      </c>
      <c r="C718" s="75" t="s">
        <v>327</v>
      </c>
      <c r="D718" s="22" t="s">
        <v>213</v>
      </c>
      <c r="E718" s="22">
        <v>3.3448007491671976E-2</v>
      </c>
      <c r="F718" s="22">
        <f>SUM(F719:F721)</f>
        <v>3.390739502074714E-2</v>
      </c>
    </row>
    <row r="719" spans="1:6">
      <c r="A719" t="s">
        <v>876</v>
      </c>
      <c r="B719">
        <f t="shared" si="18"/>
        <v>11</v>
      </c>
      <c r="C719" s="104" t="s">
        <v>637</v>
      </c>
      <c r="D719" s="105" t="s">
        <v>640</v>
      </c>
      <c r="E719" s="121">
        <v>3.3448007491671976E-2</v>
      </c>
      <c r="F719" s="121">
        <v>1.1302465006915714E-2</v>
      </c>
    </row>
    <row r="720" spans="1:6">
      <c r="A720" t="s">
        <v>877</v>
      </c>
      <c r="B720">
        <f t="shared" si="18"/>
        <v>11</v>
      </c>
      <c r="C720" s="104" t="s">
        <v>638</v>
      </c>
      <c r="D720" s="105" t="s">
        <v>641</v>
      </c>
      <c r="E720" s="121"/>
      <c r="F720" s="121">
        <v>1.1302465006915714E-2</v>
      </c>
    </row>
    <row r="721" spans="1:7">
      <c r="A721" t="s">
        <v>878</v>
      </c>
      <c r="B721">
        <f t="shared" si="18"/>
        <v>11</v>
      </c>
      <c r="C721" s="104" t="s">
        <v>639</v>
      </c>
      <c r="D721" s="105" t="s">
        <v>642</v>
      </c>
      <c r="E721" s="121"/>
      <c r="F721" s="121">
        <v>1.1302465006915714E-2</v>
      </c>
    </row>
    <row r="722" spans="1:7">
      <c r="A722" t="s">
        <v>972</v>
      </c>
      <c r="C722" s="144">
        <v>32</v>
      </c>
      <c r="D722" s="146" t="s">
        <v>973</v>
      </c>
      <c r="E722" s="142"/>
      <c r="F722" s="143">
        <f>F723</f>
        <v>8.0247059260694902E-3</v>
      </c>
    </row>
    <row r="723" spans="1:7">
      <c r="A723" t="s">
        <v>881</v>
      </c>
      <c r="B723">
        <v>5</v>
      </c>
      <c r="C723" s="75" t="s">
        <v>882</v>
      </c>
      <c r="D723" s="22" t="s">
        <v>217</v>
      </c>
      <c r="E723" s="22">
        <v>7.9159848100805955E-3</v>
      </c>
      <c r="F723" s="22">
        <f>SUM(F724:F725)</f>
        <v>8.0247059260694902E-3</v>
      </c>
    </row>
    <row r="724" spans="1:7">
      <c r="A724" t="s">
        <v>879</v>
      </c>
      <c r="B724">
        <f t="shared" si="18"/>
        <v>11</v>
      </c>
      <c r="C724" s="104" t="s">
        <v>643</v>
      </c>
      <c r="D724" s="105" t="s">
        <v>645</v>
      </c>
      <c r="E724" s="121">
        <v>6.6449775893350832E-3</v>
      </c>
      <c r="F724" s="121">
        <v>6.7362422135816714E-3</v>
      </c>
    </row>
    <row r="725" spans="1:7">
      <c r="A725" t="s">
        <v>880</v>
      </c>
      <c r="B725">
        <f t="shared" si="18"/>
        <v>11</v>
      </c>
      <c r="C725" s="104" t="s">
        <v>647</v>
      </c>
      <c r="D725" s="105" t="s">
        <v>648</v>
      </c>
      <c r="E725" s="121">
        <v>1.2710072207455126E-3</v>
      </c>
      <c r="F725" s="121">
        <v>1.2884637124878191E-3</v>
      </c>
    </row>
    <row r="727" spans="1:7">
      <c r="E727">
        <f>SUBTOTAL(9,E517:E726)</f>
        <v>1.9266430982438882</v>
      </c>
      <c r="F727">
        <f>SUBTOTAL(9,F516:F726)</f>
        <v>3.000000000000004</v>
      </c>
      <c r="G727">
        <v>0.98645170091084622</v>
      </c>
    </row>
    <row r="729" spans="1:7">
      <c r="E729">
        <v>1.142789957007863E-2</v>
      </c>
    </row>
    <row r="730" spans="1:7">
      <c r="E730">
        <f>E729+E727</f>
        <v>1.938070997813967</v>
      </c>
    </row>
  </sheetData>
  <autoFilter ref="A515:E725" xr:uid="{FF2C8619-7A2F-498A-AB20-C553560CAD28}"/>
  <sortState xmlns:xlrd2="http://schemas.microsoft.com/office/spreadsheetml/2017/richdata2" ref="B310:C436">
    <sortCondition ref="C310:C436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36E5-579C-4123-99D8-9855C175CF6C}">
  <sheetPr filterMode="1"/>
  <dimension ref="A1:E212"/>
  <sheetViews>
    <sheetView tabSelected="1" topLeftCell="A187" workbookViewId="0">
      <selection sqref="A1:D212"/>
    </sheetView>
  </sheetViews>
  <sheetFormatPr defaultRowHeight="14.5"/>
  <cols>
    <col min="1" max="1" width="19.54296875" customWidth="1"/>
    <col min="2" max="2" width="8.7265625" style="155"/>
    <col min="3" max="3" width="24" customWidth="1"/>
    <col min="4" max="4" width="91.08984375" customWidth="1"/>
    <col min="5" max="5" width="15.6328125" customWidth="1"/>
  </cols>
  <sheetData>
    <row r="1" spans="1:5">
      <c r="A1" t="s">
        <v>884</v>
      </c>
      <c r="B1" s="155" t="s">
        <v>883</v>
      </c>
      <c r="C1" t="s">
        <v>975</v>
      </c>
      <c r="D1" t="s">
        <v>976</v>
      </c>
      <c r="E1" t="s">
        <v>977</v>
      </c>
    </row>
    <row r="2" spans="1:5" hidden="1">
      <c r="A2" t="s">
        <v>19</v>
      </c>
      <c r="B2" s="155" t="s">
        <v>974</v>
      </c>
      <c r="C2" s="148" t="s">
        <v>19</v>
      </c>
      <c r="D2" s="15" t="s">
        <v>22</v>
      </c>
      <c r="E2" s="147">
        <f>E3+E75+E81+E94+E106+E111+E121+E127+E130+E156+E160+E168+E180+E189+E197+E204+E209</f>
        <v>1</v>
      </c>
    </row>
    <row r="3" spans="1:5" s="150" customFormat="1" hidden="1">
      <c r="A3" s="150" t="s">
        <v>940</v>
      </c>
      <c r="B3" s="156">
        <v>2</v>
      </c>
      <c r="C3" s="151">
        <v>10</v>
      </c>
      <c r="D3" s="145" t="s">
        <v>941</v>
      </c>
      <c r="E3" s="152">
        <v>0.41720056891829183</v>
      </c>
    </row>
    <row r="4" spans="1:5" hidden="1">
      <c r="A4" t="s">
        <v>694</v>
      </c>
      <c r="B4" s="155">
        <v>3</v>
      </c>
      <c r="C4" s="75">
        <v>1010</v>
      </c>
      <c r="D4" s="22" t="s">
        <v>21</v>
      </c>
      <c r="E4" s="22">
        <f>E5</f>
        <v>2.249018117813514E-2</v>
      </c>
    </row>
    <row r="5" spans="1:5">
      <c r="A5" t="s">
        <v>693</v>
      </c>
      <c r="B5" s="155">
        <v>4</v>
      </c>
      <c r="C5" s="104" t="s">
        <v>30</v>
      </c>
      <c r="D5" s="105" t="s">
        <v>656</v>
      </c>
      <c r="E5" s="121">
        <v>2.249018117813514E-2</v>
      </c>
    </row>
    <row r="6" spans="1:5" hidden="1">
      <c r="A6" t="s">
        <v>694</v>
      </c>
      <c r="B6" s="155">
        <v>3</v>
      </c>
      <c r="C6" s="75" t="s">
        <v>649</v>
      </c>
      <c r="D6" s="22" t="s">
        <v>26</v>
      </c>
      <c r="E6" s="22">
        <f>E7+E8</f>
        <v>6.5073386795603712E-3</v>
      </c>
    </row>
    <row r="7" spans="1:5">
      <c r="A7" t="s">
        <v>695</v>
      </c>
      <c r="B7" s="155">
        <v>4</v>
      </c>
      <c r="C7" s="104" t="s">
        <v>40</v>
      </c>
      <c r="D7" s="105" t="s">
        <v>41</v>
      </c>
      <c r="E7" s="121">
        <v>5.733945855595367E-3</v>
      </c>
    </row>
    <row r="8" spans="1:5">
      <c r="A8" t="s">
        <v>696</v>
      </c>
      <c r="B8" s="155">
        <v>4</v>
      </c>
      <c r="C8" s="104" t="s">
        <v>658</v>
      </c>
      <c r="D8" s="105" t="s">
        <v>657</v>
      </c>
      <c r="E8" s="121">
        <v>7.7339282396500378E-4</v>
      </c>
    </row>
    <row r="9" spans="1:5" hidden="1">
      <c r="A9" t="s">
        <v>694</v>
      </c>
      <c r="B9" s="155">
        <v>3</v>
      </c>
      <c r="C9" s="75" t="s">
        <v>649</v>
      </c>
      <c r="D9" s="22" t="s">
        <v>29</v>
      </c>
      <c r="E9" s="22">
        <f>E10+E11</f>
        <v>3.5805908621016867E-2</v>
      </c>
    </row>
    <row r="10" spans="1:5">
      <c r="A10" t="s">
        <v>697</v>
      </c>
      <c r="B10" s="155">
        <v>4</v>
      </c>
      <c r="C10" s="104" t="s">
        <v>52</v>
      </c>
      <c r="D10" s="105" t="s">
        <v>53</v>
      </c>
      <c r="E10" s="121">
        <v>2.148354517261012E-2</v>
      </c>
    </row>
    <row r="11" spans="1:5">
      <c r="A11" t="s">
        <v>939</v>
      </c>
      <c r="B11" s="155">
        <v>4</v>
      </c>
      <c r="C11" s="104">
        <v>21160</v>
      </c>
      <c r="D11" s="105" t="s">
        <v>938</v>
      </c>
      <c r="E11" s="121">
        <v>1.4322363448406747E-2</v>
      </c>
    </row>
    <row r="12" spans="1:5" hidden="1">
      <c r="A12" t="s">
        <v>694</v>
      </c>
      <c r="B12" s="155">
        <v>3</v>
      </c>
      <c r="C12" s="75" t="s">
        <v>649</v>
      </c>
      <c r="D12" s="22" t="s">
        <v>34</v>
      </c>
      <c r="E12" s="22">
        <f>E13</f>
        <v>1.1751897427462148E-2</v>
      </c>
    </row>
    <row r="13" spans="1:5">
      <c r="A13" t="s">
        <v>698</v>
      </c>
      <c r="B13" s="155">
        <v>4</v>
      </c>
      <c r="C13" s="104" t="s">
        <v>59</v>
      </c>
      <c r="D13" s="105" t="s">
        <v>60</v>
      </c>
      <c r="E13" s="121">
        <v>1.1751897427462148E-2</v>
      </c>
    </row>
    <row r="14" spans="1:5" hidden="1">
      <c r="A14" t="s">
        <v>699</v>
      </c>
      <c r="B14" s="155">
        <v>3</v>
      </c>
      <c r="C14" s="75" t="s">
        <v>79</v>
      </c>
      <c r="D14" s="22" t="s">
        <v>43</v>
      </c>
      <c r="E14" s="22">
        <f>SUM(E15:E28)</f>
        <v>1.6510050967726776E-2</v>
      </c>
    </row>
    <row r="15" spans="1:5">
      <c r="A15" t="s">
        <v>700</v>
      </c>
      <c r="B15" s="155">
        <v>4</v>
      </c>
      <c r="C15" s="104" t="s">
        <v>346</v>
      </c>
      <c r="D15" s="105" t="s">
        <v>349</v>
      </c>
      <c r="E15" s="121">
        <v>2.0992405491876117E-3</v>
      </c>
    </row>
    <row r="16" spans="1:5">
      <c r="A16" t="s">
        <v>701</v>
      </c>
      <c r="B16" s="155">
        <v>4</v>
      </c>
      <c r="C16" s="104" t="s">
        <v>347</v>
      </c>
      <c r="D16" s="105" t="s">
        <v>350</v>
      </c>
      <c r="E16" s="121">
        <v>2.0992405491876117E-3</v>
      </c>
    </row>
    <row r="17" spans="1:5">
      <c r="A17" t="s">
        <v>702</v>
      </c>
      <c r="B17" s="155">
        <v>4</v>
      </c>
      <c r="C17" s="104" t="s">
        <v>348</v>
      </c>
      <c r="D17" s="105" t="s">
        <v>351</v>
      </c>
      <c r="E17" s="121">
        <v>2.0992405491876117E-3</v>
      </c>
    </row>
    <row r="18" spans="1:5">
      <c r="A18" t="s">
        <v>703</v>
      </c>
      <c r="B18" s="155">
        <v>4</v>
      </c>
      <c r="C18" s="104">
        <v>21311</v>
      </c>
      <c r="D18" s="105" t="s">
        <v>88</v>
      </c>
      <c r="E18" s="121">
        <v>1.5066209623349203E-3</v>
      </c>
    </row>
    <row r="19" spans="1:5">
      <c r="A19" t="s">
        <v>704</v>
      </c>
      <c r="B19" s="155">
        <v>4</v>
      </c>
      <c r="C19" s="104">
        <v>21395</v>
      </c>
      <c r="D19" s="105" t="s">
        <v>89</v>
      </c>
      <c r="E19" s="121">
        <v>1.5066209623349203E-3</v>
      </c>
    </row>
    <row r="20" spans="1:5">
      <c r="A20" t="s">
        <v>705</v>
      </c>
      <c r="B20" s="155">
        <v>4</v>
      </c>
      <c r="C20" s="104">
        <v>21399</v>
      </c>
      <c r="D20" s="105" t="s">
        <v>90</v>
      </c>
      <c r="E20" s="121">
        <v>1.5066209623349203E-3</v>
      </c>
    </row>
    <row r="21" spans="1:5">
      <c r="A21" t="s">
        <v>706</v>
      </c>
      <c r="B21" s="155">
        <v>4</v>
      </c>
      <c r="C21" s="104" t="s">
        <v>334</v>
      </c>
      <c r="D21" s="105" t="s">
        <v>335</v>
      </c>
      <c r="E21" s="121">
        <v>5.8597004907606038E-4</v>
      </c>
    </row>
    <row r="22" spans="1:5">
      <c r="A22" t="s">
        <v>707</v>
      </c>
      <c r="B22" s="155">
        <v>4</v>
      </c>
      <c r="C22" s="104" t="s">
        <v>338</v>
      </c>
      <c r="D22" s="105" t="s">
        <v>339</v>
      </c>
      <c r="E22" s="121">
        <v>5.8597004907606038E-4</v>
      </c>
    </row>
    <row r="23" spans="1:5">
      <c r="A23" t="s">
        <v>708</v>
      </c>
      <c r="B23" s="155">
        <v>4</v>
      </c>
      <c r="C23" s="104" t="s">
        <v>336</v>
      </c>
      <c r="D23" s="105" t="s">
        <v>337</v>
      </c>
      <c r="E23" s="121">
        <v>5.8597004907606038E-4</v>
      </c>
    </row>
    <row r="24" spans="1:5">
      <c r="A24" t="s">
        <v>709</v>
      </c>
      <c r="B24" s="155">
        <v>4</v>
      </c>
      <c r="C24" s="104" t="s">
        <v>340</v>
      </c>
      <c r="D24" s="105" t="s">
        <v>341</v>
      </c>
      <c r="E24" s="121">
        <v>5.8597004907606038E-4</v>
      </c>
    </row>
    <row r="25" spans="1:5">
      <c r="A25" t="s">
        <v>710</v>
      </c>
      <c r="B25" s="155">
        <v>4</v>
      </c>
      <c r="C25" s="104" t="s">
        <v>342</v>
      </c>
      <c r="D25" s="105" t="s">
        <v>343</v>
      </c>
      <c r="E25" s="121">
        <v>5.8597004907606038E-4</v>
      </c>
    </row>
    <row r="26" spans="1:5">
      <c r="A26" t="s">
        <v>711</v>
      </c>
      <c r="B26" s="155">
        <v>4</v>
      </c>
      <c r="C26" s="104" t="s">
        <v>344</v>
      </c>
      <c r="D26" s="105" t="s">
        <v>345</v>
      </c>
      <c r="E26" s="121">
        <v>5.8597004907606038E-4</v>
      </c>
    </row>
    <row r="27" spans="1:5">
      <c r="A27" t="s">
        <v>916</v>
      </c>
      <c r="B27" s="155">
        <v>4</v>
      </c>
      <c r="C27" s="104" t="s">
        <v>915</v>
      </c>
      <c r="D27" s="105" t="s">
        <v>353</v>
      </c>
      <c r="E27" s="121">
        <v>1.0883230693514065E-3</v>
      </c>
    </row>
    <row r="28" spans="1:5">
      <c r="A28" t="s">
        <v>712</v>
      </c>
      <c r="B28" s="155">
        <v>4</v>
      </c>
      <c r="C28" s="104" t="s">
        <v>354</v>
      </c>
      <c r="D28" s="105" t="s">
        <v>355</v>
      </c>
      <c r="E28" s="121">
        <v>1.0883230693514065E-3</v>
      </c>
    </row>
    <row r="29" spans="1:5" hidden="1">
      <c r="A29" t="s">
        <v>713</v>
      </c>
      <c r="B29" s="155">
        <v>3</v>
      </c>
      <c r="C29" s="75" t="s">
        <v>101</v>
      </c>
      <c r="D29" s="22" t="s">
        <v>48</v>
      </c>
      <c r="E29" s="22">
        <f>SUM(E30:E33)</f>
        <v>5.7674403134640846E-2</v>
      </c>
    </row>
    <row r="30" spans="1:5">
      <c r="A30" t="s">
        <v>714</v>
      </c>
      <c r="B30" s="155">
        <v>4</v>
      </c>
      <c r="C30" s="104" t="s">
        <v>356</v>
      </c>
      <c r="D30" s="105" t="s">
        <v>360</v>
      </c>
      <c r="E30" s="121">
        <v>1.4418600783660212E-2</v>
      </c>
    </row>
    <row r="31" spans="1:5">
      <c r="A31" t="s">
        <v>715</v>
      </c>
      <c r="B31" s="155">
        <v>4</v>
      </c>
      <c r="C31" s="104" t="s">
        <v>357</v>
      </c>
      <c r="D31" s="105" t="s">
        <v>361</v>
      </c>
      <c r="E31" s="121">
        <v>1.4418600783660212E-2</v>
      </c>
    </row>
    <row r="32" spans="1:5">
      <c r="A32" t="s">
        <v>716</v>
      </c>
      <c r="B32" s="155">
        <v>4</v>
      </c>
      <c r="C32" s="104" t="s">
        <v>358</v>
      </c>
      <c r="D32" s="105" t="s">
        <v>362</v>
      </c>
      <c r="E32" s="121">
        <v>1.4418600783660212E-2</v>
      </c>
    </row>
    <row r="33" spans="1:5">
      <c r="A33" t="s">
        <v>717</v>
      </c>
      <c r="B33" s="155">
        <v>4</v>
      </c>
      <c r="C33" s="104" t="s">
        <v>359</v>
      </c>
      <c r="D33" s="105" t="s">
        <v>363</v>
      </c>
      <c r="E33" s="121">
        <v>1.4418600783660212E-2</v>
      </c>
    </row>
    <row r="34" spans="1:5" hidden="1">
      <c r="A34" t="s">
        <v>718</v>
      </c>
      <c r="B34" s="155">
        <v>3</v>
      </c>
      <c r="C34" s="75" t="s">
        <v>108</v>
      </c>
      <c r="D34" s="22" t="s">
        <v>51</v>
      </c>
      <c r="E34" s="22">
        <f>SUM(E35:E40)</f>
        <v>1.9659914850135591E-2</v>
      </c>
    </row>
    <row r="35" spans="1:5">
      <c r="A35" t="s">
        <v>720</v>
      </c>
      <c r="B35" s="155">
        <v>4</v>
      </c>
      <c r="C35" s="104" t="s">
        <v>369</v>
      </c>
      <c r="D35" s="105" t="s">
        <v>373</v>
      </c>
      <c r="E35" s="121">
        <v>3.2766524750225986E-3</v>
      </c>
    </row>
    <row r="36" spans="1:5">
      <c r="A36" t="s">
        <v>721</v>
      </c>
      <c r="B36" s="155">
        <v>4</v>
      </c>
      <c r="C36" s="104" t="s">
        <v>385</v>
      </c>
      <c r="D36" s="105" t="s">
        <v>386</v>
      </c>
      <c r="E36" s="121">
        <v>3.2766524750225986E-3</v>
      </c>
    </row>
    <row r="37" spans="1:5">
      <c r="A37" t="s">
        <v>722</v>
      </c>
      <c r="B37" s="155">
        <v>4</v>
      </c>
      <c r="C37" s="104" t="s">
        <v>370</v>
      </c>
      <c r="D37" s="105" t="s">
        <v>374</v>
      </c>
      <c r="E37" s="121">
        <v>3.2766524750225986E-3</v>
      </c>
    </row>
    <row r="38" spans="1:5">
      <c r="A38" t="s">
        <v>723</v>
      </c>
      <c r="B38" s="155">
        <v>4</v>
      </c>
      <c r="C38" s="104" t="s">
        <v>371</v>
      </c>
      <c r="D38" s="105" t="s">
        <v>375</v>
      </c>
      <c r="E38" s="121">
        <v>3.2766524750225986E-3</v>
      </c>
    </row>
    <row r="39" spans="1:5">
      <c r="A39" t="s">
        <v>724</v>
      </c>
      <c r="B39" s="155">
        <v>4</v>
      </c>
      <c r="C39" s="104" t="s">
        <v>364</v>
      </c>
      <c r="D39" s="105" t="s">
        <v>366</v>
      </c>
      <c r="E39" s="121">
        <v>3.2766524750225986E-3</v>
      </c>
    </row>
    <row r="40" spans="1:5">
      <c r="A40" t="s">
        <v>725</v>
      </c>
      <c r="B40" s="155">
        <v>4</v>
      </c>
      <c r="C40" s="104" t="s">
        <v>365</v>
      </c>
      <c r="D40" s="105" t="s">
        <v>367</v>
      </c>
      <c r="E40" s="121">
        <v>3.2766524750225986E-3</v>
      </c>
    </row>
    <row r="41" spans="1:5" hidden="1">
      <c r="A41" t="s">
        <v>726</v>
      </c>
      <c r="B41" s="155">
        <v>3</v>
      </c>
      <c r="C41" s="75" t="s">
        <v>650</v>
      </c>
      <c r="D41" s="22" t="s">
        <v>55</v>
      </c>
      <c r="E41" s="22">
        <f>E42</f>
        <v>9.5533525192419855E-3</v>
      </c>
    </row>
    <row r="42" spans="1:5">
      <c r="A42" t="s">
        <v>727</v>
      </c>
      <c r="B42" s="155">
        <v>4</v>
      </c>
      <c r="C42" s="104" t="s">
        <v>376</v>
      </c>
      <c r="D42" s="105" t="s">
        <v>379</v>
      </c>
      <c r="E42" s="121">
        <v>9.5533525192419855E-3</v>
      </c>
    </row>
    <row r="43" spans="1:5" hidden="1">
      <c r="A43" t="s">
        <v>726</v>
      </c>
      <c r="B43" s="155">
        <v>3</v>
      </c>
      <c r="C43" s="75" t="s">
        <v>650</v>
      </c>
      <c r="D43" s="22" t="s">
        <v>58</v>
      </c>
      <c r="E43" s="22">
        <f>E44+E45</f>
        <v>7.5104750470264504E-3</v>
      </c>
    </row>
    <row r="44" spans="1:5">
      <c r="A44" t="s">
        <v>728</v>
      </c>
      <c r="B44" s="155">
        <v>4</v>
      </c>
      <c r="C44" s="104" t="s">
        <v>383</v>
      </c>
      <c r="D44" s="105" t="s">
        <v>384</v>
      </c>
      <c r="E44" s="121">
        <v>6.0083800376211603E-3</v>
      </c>
    </row>
    <row r="45" spans="1:5">
      <c r="A45" t="s">
        <v>729</v>
      </c>
      <c r="B45" s="155">
        <v>4</v>
      </c>
      <c r="C45" s="104" t="s">
        <v>685</v>
      </c>
      <c r="D45" s="105" t="s">
        <v>382</v>
      </c>
      <c r="E45" s="121">
        <v>1.5020950094052901E-3</v>
      </c>
    </row>
    <row r="46" spans="1:5" hidden="1">
      <c r="A46" t="s">
        <v>726</v>
      </c>
      <c r="B46" s="155">
        <v>3</v>
      </c>
      <c r="C46" s="75" t="s">
        <v>650</v>
      </c>
      <c r="D46" s="22" t="s">
        <v>64</v>
      </c>
      <c r="E46" s="22">
        <f>E47+E48</f>
        <v>8.8215367860881126E-3</v>
      </c>
    </row>
    <row r="47" spans="1:5">
      <c r="A47" t="s">
        <v>730</v>
      </c>
      <c r="B47" s="155">
        <v>4</v>
      </c>
      <c r="C47" s="104" t="s">
        <v>377</v>
      </c>
      <c r="D47" s="105" t="s">
        <v>380</v>
      </c>
      <c r="E47" s="121">
        <v>4.4107683930440563E-3</v>
      </c>
    </row>
    <row r="48" spans="1:5">
      <c r="A48" t="s">
        <v>729</v>
      </c>
      <c r="B48" s="155">
        <v>4</v>
      </c>
      <c r="C48" s="104" t="s">
        <v>684</v>
      </c>
      <c r="D48" s="105" t="s">
        <v>381</v>
      </c>
      <c r="E48" s="121">
        <v>4.4107683930440563E-3</v>
      </c>
    </row>
    <row r="49" spans="1:5" hidden="1">
      <c r="A49" t="s">
        <v>733</v>
      </c>
      <c r="B49" s="155">
        <v>3</v>
      </c>
      <c r="C49" s="75" t="s">
        <v>651</v>
      </c>
      <c r="D49" s="22" t="s">
        <v>73</v>
      </c>
      <c r="E49" s="22">
        <f>SUM(E50:E52)</f>
        <v>5.8695646244056876E-2</v>
      </c>
    </row>
    <row r="50" spans="1:5">
      <c r="A50" t="s">
        <v>894</v>
      </c>
      <c r="B50" s="155">
        <v>4</v>
      </c>
      <c r="C50" s="104" t="s">
        <v>682</v>
      </c>
      <c r="D50" s="105" t="s">
        <v>404</v>
      </c>
      <c r="E50" s="121">
        <v>4.7088206281350853E-2</v>
      </c>
    </row>
    <row r="51" spans="1:5">
      <c r="A51" t="s">
        <v>734</v>
      </c>
      <c r="B51" s="155">
        <v>4</v>
      </c>
      <c r="C51" s="104" t="s">
        <v>405</v>
      </c>
      <c r="D51" s="105" t="s">
        <v>407</v>
      </c>
      <c r="E51" s="121">
        <v>5.8037199813530133E-3</v>
      </c>
    </row>
    <row r="52" spans="1:5">
      <c r="A52" t="s">
        <v>735</v>
      </c>
      <c r="B52" s="155">
        <v>4</v>
      </c>
      <c r="C52" s="104" t="s">
        <v>406</v>
      </c>
      <c r="D52" s="105" t="s">
        <v>408</v>
      </c>
      <c r="E52" s="121">
        <v>5.8037199813530133E-3</v>
      </c>
    </row>
    <row r="53" spans="1:5" hidden="1">
      <c r="A53" t="s">
        <v>733</v>
      </c>
      <c r="B53" s="155">
        <v>3</v>
      </c>
      <c r="C53" s="75" t="s">
        <v>651</v>
      </c>
      <c r="D53" s="22" t="s">
        <v>78</v>
      </c>
      <c r="E53" s="22">
        <f>E54</f>
        <v>5.5199028623794631E-2</v>
      </c>
    </row>
    <row r="54" spans="1:5">
      <c r="A54" t="s">
        <v>895</v>
      </c>
      <c r="B54" s="155">
        <v>4</v>
      </c>
      <c r="C54" s="104" t="s">
        <v>683</v>
      </c>
      <c r="D54" s="105" t="s">
        <v>404</v>
      </c>
      <c r="E54" s="121">
        <v>5.5199028623794631E-2</v>
      </c>
    </row>
    <row r="55" spans="1:5" hidden="1">
      <c r="A55" t="s">
        <v>736</v>
      </c>
      <c r="B55" s="155">
        <v>3</v>
      </c>
      <c r="C55" s="75" t="s">
        <v>171</v>
      </c>
      <c r="D55" s="22" t="s">
        <v>83</v>
      </c>
      <c r="E55" s="22">
        <f>E56+E57</f>
        <v>3.9506309984605505E-2</v>
      </c>
    </row>
    <row r="56" spans="1:5">
      <c r="A56" t="s">
        <v>737</v>
      </c>
      <c r="B56" s="155">
        <v>4</v>
      </c>
      <c r="C56" s="104" t="s">
        <v>421</v>
      </c>
      <c r="D56" s="105" t="s">
        <v>423</v>
      </c>
      <c r="E56" s="121">
        <v>1.9753154992302752E-2</v>
      </c>
    </row>
    <row r="57" spans="1:5">
      <c r="A57" t="s">
        <v>738</v>
      </c>
      <c r="B57" s="155">
        <v>4</v>
      </c>
      <c r="C57" s="104" t="s">
        <v>422</v>
      </c>
      <c r="D57" s="105" t="s">
        <v>424</v>
      </c>
      <c r="E57" s="121">
        <v>1.9753154992302752E-2</v>
      </c>
    </row>
    <row r="58" spans="1:5" hidden="1">
      <c r="A58" t="s">
        <v>739</v>
      </c>
      <c r="B58" s="155">
        <v>3</v>
      </c>
      <c r="C58" s="75" t="s">
        <v>178</v>
      </c>
      <c r="D58" s="22" t="s">
        <v>87</v>
      </c>
      <c r="E58" s="22">
        <f>SUM(E59:E61)</f>
        <v>6.5211849649000004E-3</v>
      </c>
    </row>
    <row r="59" spans="1:5">
      <c r="A59" t="s">
        <v>740</v>
      </c>
      <c r="B59" s="155">
        <v>4</v>
      </c>
      <c r="C59" s="104" t="s">
        <v>425</v>
      </c>
      <c r="D59" s="105" t="s">
        <v>428</v>
      </c>
      <c r="E59" s="121">
        <v>2.1737283216333335E-3</v>
      </c>
    </row>
    <row r="60" spans="1:5">
      <c r="A60" t="s">
        <v>741</v>
      </c>
      <c r="B60" s="155">
        <v>4</v>
      </c>
      <c r="C60" s="104" t="s">
        <v>426</v>
      </c>
      <c r="D60" s="105" t="s">
        <v>429</v>
      </c>
      <c r="E60" s="121">
        <v>2.1737283216333335E-3</v>
      </c>
    </row>
    <row r="61" spans="1:5">
      <c r="A61" t="s">
        <v>742</v>
      </c>
      <c r="B61" s="155">
        <v>4</v>
      </c>
      <c r="C61" s="104" t="s">
        <v>427</v>
      </c>
      <c r="D61" s="105" t="s">
        <v>430</v>
      </c>
      <c r="E61" s="121">
        <v>2.1737283216333335E-3</v>
      </c>
    </row>
    <row r="62" spans="1:5" hidden="1">
      <c r="A62" t="s">
        <v>743</v>
      </c>
      <c r="B62" s="155">
        <v>3</v>
      </c>
      <c r="C62" s="75" t="s">
        <v>185</v>
      </c>
      <c r="D62" s="22" t="s">
        <v>94</v>
      </c>
      <c r="E62" s="22">
        <f>E63</f>
        <v>4.6279761451362483E-3</v>
      </c>
    </row>
    <row r="63" spans="1:5">
      <c r="A63" t="s">
        <v>744</v>
      </c>
      <c r="B63" s="155">
        <v>4</v>
      </c>
      <c r="C63" s="104" t="s">
        <v>431</v>
      </c>
      <c r="D63" s="105" t="s">
        <v>432</v>
      </c>
      <c r="E63" s="121">
        <v>4.6279761451362483E-3</v>
      </c>
    </row>
    <row r="64" spans="1:5" hidden="1">
      <c r="A64" t="s">
        <v>745</v>
      </c>
      <c r="B64" s="155">
        <v>3</v>
      </c>
      <c r="C64" s="75" t="s">
        <v>663</v>
      </c>
      <c r="D64" s="22" t="s">
        <v>96</v>
      </c>
      <c r="E64" s="22">
        <f>SUM(E65:E71)</f>
        <v>2.9645012862897713E-2</v>
      </c>
    </row>
    <row r="65" spans="1:5">
      <c r="A65" t="s">
        <v>746</v>
      </c>
      <c r="B65" s="155">
        <v>4</v>
      </c>
      <c r="C65" s="104" t="s">
        <v>387</v>
      </c>
      <c r="D65" s="105" t="s">
        <v>394</v>
      </c>
      <c r="E65" s="121">
        <v>7.4112532157244284E-3</v>
      </c>
    </row>
    <row r="66" spans="1:5">
      <c r="A66" t="s">
        <v>747</v>
      </c>
      <c r="B66" s="155">
        <v>4</v>
      </c>
      <c r="C66" s="104" t="s">
        <v>388</v>
      </c>
      <c r="D66" s="105" t="s">
        <v>395</v>
      </c>
      <c r="E66" s="121">
        <v>2.9645012862897714E-3</v>
      </c>
    </row>
    <row r="67" spans="1:5">
      <c r="A67" t="s">
        <v>748</v>
      </c>
      <c r="B67" s="155">
        <v>4</v>
      </c>
      <c r="C67" s="104" t="s">
        <v>389</v>
      </c>
      <c r="D67" s="105" t="s">
        <v>396</v>
      </c>
      <c r="E67" s="121">
        <v>2.9645012862897714E-3</v>
      </c>
    </row>
    <row r="68" spans="1:5">
      <c r="A68" t="s">
        <v>750</v>
      </c>
      <c r="B68" s="155">
        <v>4</v>
      </c>
      <c r="C68" s="104" t="s">
        <v>391</v>
      </c>
      <c r="D68" s="105" t="s">
        <v>398</v>
      </c>
      <c r="E68" s="121">
        <v>4.4467519294346574E-3</v>
      </c>
    </row>
    <row r="69" spans="1:5">
      <c r="A69" t="s">
        <v>751</v>
      </c>
      <c r="B69" s="155">
        <v>4</v>
      </c>
      <c r="C69" s="104" t="s">
        <v>392</v>
      </c>
      <c r="D69" s="105" t="s">
        <v>399</v>
      </c>
      <c r="E69" s="121">
        <v>5.9290025725795429E-3</v>
      </c>
    </row>
    <row r="70" spans="1:5">
      <c r="A70" t="s">
        <v>752</v>
      </c>
      <c r="B70" s="155">
        <v>4</v>
      </c>
      <c r="C70" s="104" t="s">
        <v>393</v>
      </c>
      <c r="D70" s="105" t="s">
        <v>400</v>
      </c>
      <c r="E70" s="121">
        <v>2.9645012862897714E-3</v>
      </c>
    </row>
    <row r="71" spans="1:5">
      <c r="A71" t="s">
        <v>753</v>
      </c>
      <c r="B71" s="155">
        <v>4</v>
      </c>
      <c r="C71" s="104" t="s">
        <v>433</v>
      </c>
      <c r="D71" s="105" t="s">
        <v>434</v>
      </c>
      <c r="E71" s="121">
        <v>2.9645012862897714E-3</v>
      </c>
    </row>
    <row r="72" spans="1:5" hidden="1">
      <c r="A72" t="s">
        <v>754</v>
      </c>
      <c r="B72" s="155">
        <v>3</v>
      </c>
      <c r="C72" s="75" t="s">
        <v>197</v>
      </c>
      <c r="D72" s="22" t="s">
        <v>100</v>
      </c>
      <c r="E72" s="22">
        <f>E73+E74</f>
        <v>2.67203508818665E-2</v>
      </c>
    </row>
    <row r="73" spans="1:5">
      <c r="A73" t="s">
        <v>755</v>
      </c>
      <c r="B73" s="155">
        <v>4</v>
      </c>
      <c r="C73" s="104" t="s">
        <v>435</v>
      </c>
      <c r="D73" s="105" t="s">
        <v>437</v>
      </c>
      <c r="E73" s="121">
        <v>1.4696192985026576E-2</v>
      </c>
    </row>
    <row r="74" spans="1:5">
      <c r="A74" t="s">
        <v>756</v>
      </c>
      <c r="B74" s="155">
        <v>4</v>
      </c>
      <c r="C74" s="104" t="s">
        <v>436</v>
      </c>
      <c r="D74" s="105" t="s">
        <v>438</v>
      </c>
      <c r="E74" s="121">
        <v>1.2024157896839926E-2</v>
      </c>
    </row>
    <row r="75" spans="1:5" s="150" customFormat="1" hidden="1">
      <c r="A75" s="150" t="s">
        <v>942</v>
      </c>
      <c r="B75" s="156">
        <v>2</v>
      </c>
      <c r="C75" s="153" t="s">
        <v>688</v>
      </c>
      <c r="D75" s="145" t="s">
        <v>943</v>
      </c>
      <c r="E75" s="152">
        <f>E76+E78</f>
        <v>4.3049392101501355E-2</v>
      </c>
    </row>
    <row r="76" spans="1:5" hidden="1">
      <c r="A76" t="s">
        <v>757</v>
      </c>
      <c r="B76" s="155">
        <v>3</v>
      </c>
      <c r="C76" s="75" t="s">
        <v>218</v>
      </c>
      <c r="D76" s="22" t="s">
        <v>112</v>
      </c>
      <c r="E76" s="22">
        <f>E77</f>
        <v>6.7777780540725233E-3</v>
      </c>
    </row>
    <row r="77" spans="1:5">
      <c r="A77" t="s">
        <v>758</v>
      </c>
      <c r="B77" s="155">
        <v>4</v>
      </c>
      <c r="C77" s="104" t="s">
        <v>443</v>
      </c>
      <c r="D77" s="105" t="s">
        <v>444</v>
      </c>
      <c r="E77" s="121">
        <v>6.7777780540725233E-3</v>
      </c>
    </row>
    <row r="78" spans="1:5" hidden="1">
      <c r="A78" t="s">
        <v>759</v>
      </c>
      <c r="B78" s="155">
        <v>3</v>
      </c>
      <c r="C78" s="75" t="s">
        <v>221</v>
      </c>
      <c r="D78" s="22" t="s">
        <v>114</v>
      </c>
      <c r="E78" s="22">
        <f>E79+E80</f>
        <v>3.6271614047428832E-2</v>
      </c>
    </row>
    <row r="79" spans="1:5">
      <c r="A79" t="s">
        <v>921</v>
      </c>
      <c r="B79" s="155">
        <v>4</v>
      </c>
      <c r="C79" s="104" t="s">
        <v>917</v>
      </c>
      <c r="D79" s="105" t="s">
        <v>920</v>
      </c>
      <c r="E79" s="121">
        <v>1.6322226321342975E-2</v>
      </c>
    </row>
    <row r="80" spans="1:5">
      <c r="A80" t="s">
        <v>922</v>
      </c>
      <c r="B80" s="155">
        <v>4</v>
      </c>
      <c r="C80" s="104" t="s">
        <v>918</v>
      </c>
      <c r="D80" s="105" t="s">
        <v>919</v>
      </c>
      <c r="E80" s="121">
        <v>1.9949387726085861E-2</v>
      </c>
    </row>
    <row r="81" spans="1:5" s="150" customFormat="1" hidden="1">
      <c r="A81" s="150" t="s">
        <v>944</v>
      </c>
      <c r="B81" s="156">
        <v>2</v>
      </c>
      <c r="C81" s="153">
        <v>13</v>
      </c>
      <c r="D81" s="145" t="s">
        <v>945</v>
      </c>
      <c r="E81" s="152">
        <f>E82+E89</f>
        <v>2.7560886271523199E-2</v>
      </c>
    </row>
    <row r="82" spans="1:5" hidden="1">
      <c r="A82" t="s">
        <v>761</v>
      </c>
      <c r="B82" s="155">
        <v>3</v>
      </c>
      <c r="C82" s="75" t="s">
        <v>654</v>
      </c>
      <c r="D82" s="22" t="s">
        <v>121</v>
      </c>
      <c r="E82" s="22">
        <f>SUM(E83:E88)</f>
        <v>9.8246790214317464E-3</v>
      </c>
    </row>
    <row r="83" spans="1:5">
      <c r="A83" t="s">
        <v>762</v>
      </c>
      <c r="B83" s="155">
        <v>4</v>
      </c>
      <c r="C83" s="104" t="s">
        <v>445</v>
      </c>
      <c r="D83" s="105" t="s">
        <v>448</v>
      </c>
      <c r="E83" s="121">
        <v>1.6374465035719577E-3</v>
      </c>
    </row>
    <row r="84" spans="1:5">
      <c r="A84" t="s">
        <v>763</v>
      </c>
      <c r="B84" s="155">
        <v>4</v>
      </c>
      <c r="C84" s="104" t="s">
        <v>447</v>
      </c>
      <c r="D84" s="105" t="s">
        <v>446</v>
      </c>
      <c r="E84" s="121">
        <v>1.6374465035719577E-3</v>
      </c>
    </row>
    <row r="85" spans="1:5">
      <c r="A85" t="s">
        <v>764</v>
      </c>
      <c r="B85" s="155">
        <v>4</v>
      </c>
      <c r="C85" s="104" t="s">
        <v>449</v>
      </c>
      <c r="D85" s="105" t="s">
        <v>453</v>
      </c>
      <c r="E85" s="121">
        <v>1.6374465035719577E-3</v>
      </c>
    </row>
    <row r="86" spans="1:5">
      <c r="A86" t="s">
        <v>765</v>
      </c>
      <c r="B86" s="155">
        <v>4</v>
      </c>
      <c r="C86" s="104" t="s">
        <v>450</v>
      </c>
      <c r="D86" s="105" t="s">
        <v>454</v>
      </c>
      <c r="E86" s="121">
        <v>1.6374465035719577E-3</v>
      </c>
    </row>
    <row r="87" spans="1:5">
      <c r="A87" t="s">
        <v>766</v>
      </c>
      <c r="B87" s="155">
        <v>4</v>
      </c>
      <c r="C87" s="104" t="s">
        <v>451</v>
      </c>
      <c r="D87" s="105" t="s">
        <v>455</v>
      </c>
      <c r="E87" s="121">
        <v>1.6374465035719577E-3</v>
      </c>
    </row>
    <row r="88" spans="1:5">
      <c r="A88" t="s">
        <v>767</v>
      </c>
      <c r="B88" s="155">
        <v>4</v>
      </c>
      <c r="C88" s="104" t="s">
        <v>452</v>
      </c>
      <c r="D88" s="105" t="s">
        <v>456</v>
      </c>
      <c r="E88" s="121">
        <v>1.6374465035719577E-3</v>
      </c>
    </row>
    <row r="89" spans="1:5" hidden="1">
      <c r="A89" t="s">
        <v>768</v>
      </c>
      <c r="B89" s="155">
        <v>3</v>
      </c>
      <c r="C89" s="75" t="s">
        <v>653</v>
      </c>
      <c r="D89" s="22" t="s">
        <v>125</v>
      </c>
      <c r="E89" s="22">
        <f>SUM(E90:E93)</f>
        <v>1.7736207250091451E-2</v>
      </c>
    </row>
    <row r="90" spans="1:5">
      <c r="A90" t="s">
        <v>769</v>
      </c>
      <c r="B90" s="155">
        <v>4</v>
      </c>
      <c r="C90" s="104">
        <v>27120</v>
      </c>
      <c r="D90" s="105" t="s">
        <v>457</v>
      </c>
      <c r="E90" s="121">
        <v>5.3208621750274361E-3</v>
      </c>
    </row>
    <row r="91" spans="1:5">
      <c r="A91" t="s">
        <v>771</v>
      </c>
      <c r="B91" s="155">
        <v>4</v>
      </c>
      <c r="C91" s="104">
        <v>27180</v>
      </c>
      <c r="D91" s="105" t="s">
        <v>459</v>
      </c>
      <c r="E91" s="121">
        <v>4.4340518125228637E-3</v>
      </c>
    </row>
    <row r="92" spans="1:5">
      <c r="A92" t="s">
        <v>772</v>
      </c>
      <c r="B92" s="155">
        <v>4</v>
      </c>
      <c r="C92" s="104">
        <v>27190</v>
      </c>
      <c r="D92" s="105" t="s">
        <v>460</v>
      </c>
      <c r="E92" s="121">
        <v>4.4340518125228637E-3</v>
      </c>
    </row>
    <row r="93" spans="1:5">
      <c r="A93" t="s">
        <v>773</v>
      </c>
      <c r="B93" s="155">
        <v>4</v>
      </c>
      <c r="C93" s="104">
        <v>27911</v>
      </c>
      <c r="D93" s="105" t="s">
        <v>461</v>
      </c>
      <c r="E93" s="121">
        <v>3.5472414500182913E-3</v>
      </c>
    </row>
    <row r="94" spans="1:5" s="150" customFormat="1" hidden="1">
      <c r="A94" s="150" t="s">
        <v>946</v>
      </c>
      <c r="B94" s="156">
        <v>2</v>
      </c>
      <c r="C94" s="153">
        <v>14</v>
      </c>
      <c r="D94" s="145" t="s">
        <v>947</v>
      </c>
      <c r="E94" s="152">
        <f>E95</f>
        <v>7.5032577137738726E-2</v>
      </c>
    </row>
    <row r="95" spans="1:5" hidden="1">
      <c r="A95" t="s">
        <v>774</v>
      </c>
      <c r="B95" s="155">
        <v>3</v>
      </c>
      <c r="C95" s="75" t="s">
        <v>652</v>
      </c>
      <c r="D95" s="22" t="s">
        <v>130</v>
      </c>
      <c r="E95" s="22">
        <f>SUM(E96:E105)</f>
        <v>7.5032577137738726E-2</v>
      </c>
    </row>
    <row r="96" spans="1:5">
      <c r="A96" t="s">
        <v>775</v>
      </c>
      <c r="B96" s="155">
        <v>4</v>
      </c>
      <c r="C96" s="104" t="s">
        <v>462</v>
      </c>
      <c r="D96" s="105" t="s">
        <v>470</v>
      </c>
      <c r="E96" s="121">
        <v>6.2446449293731198E-3</v>
      </c>
    </row>
    <row r="97" spans="1:5">
      <c r="A97" t="s">
        <v>776</v>
      </c>
      <c r="B97" s="155">
        <v>4</v>
      </c>
      <c r="C97" s="104" t="s">
        <v>463</v>
      </c>
      <c r="D97" s="105" t="s">
        <v>471</v>
      </c>
      <c r="E97" s="121">
        <v>6.2446449293731198E-3</v>
      </c>
    </row>
    <row r="98" spans="1:5">
      <c r="A98" t="s">
        <v>777</v>
      </c>
      <c r="B98" s="155">
        <v>4</v>
      </c>
      <c r="C98" s="104" t="s">
        <v>464</v>
      </c>
      <c r="D98" s="105" t="s">
        <v>472</v>
      </c>
      <c r="E98" s="121">
        <v>6.2446449293731198E-3</v>
      </c>
    </row>
    <row r="99" spans="1:5">
      <c r="A99" t="s">
        <v>778</v>
      </c>
      <c r="B99" s="155">
        <v>4</v>
      </c>
      <c r="C99" s="104" t="s">
        <v>465</v>
      </c>
      <c r="D99" s="105" t="s">
        <v>473</v>
      </c>
      <c r="E99" s="121">
        <v>6.2446449293731198E-3</v>
      </c>
    </row>
    <row r="100" spans="1:5">
      <c r="A100" t="s">
        <v>779</v>
      </c>
      <c r="B100" s="155">
        <v>4</v>
      </c>
      <c r="C100" s="104" t="s">
        <v>466</v>
      </c>
      <c r="D100" s="105" t="s">
        <v>474</v>
      </c>
      <c r="E100" s="121">
        <v>6.2446449293731198E-3</v>
      </c>
    </row>
    <row r="101" spans="1:5">
      <c r="A101" t="s">
        <v>780</v>
      </c>
      <c r="B101" s="155">
        <v>4</v>
      </c>
      <c r="C101" s="104" t="s">
        <v>467</v>
      </c>
      <c r="D101" s="105" t="s">
        <v>475</v>
      </c>
      <c r="E101" s="121">
        <v>6.2446449293731198E-3</v>
      </c>
    </row>
    <row r="102" spans="1:5">
      <c r="A102" t="s">
        <v>781</v>
      </c>
      <c r="B102" s="155">
        <v>4</v>
      </c>
      <c r="C102" s="104" t="s">
        <v>468</v>
      </c>
      <c r="D102" s="105" t="s">
        <v>476</v>
      </c>
      <c r="E102" s="121">
        <v>6.2446449293731198E-3</v>
      </c>
    </row>
    <row r="103" spans="1:5">
      <c r="A103" t="s">
        <v>782</v>
      </c>
      <c r="B103" s="155">
        <v>4</v>
      </c>
      <c r="C103" s="104" t="s">
        <v>469</v>
      </c>
      <c r="D103" s="105" t="s">
        <v>477</v>
      </c>
      <c r="E103" s="121">
        <v>6.2446449293731198E-3</v>
      </c>
    </row>
    <row r="104" spans="1:5">
      <c r="A104" t="s">
        <v>783</v>
      </c>
      <c r="B104" s="155">
        <v>4</v>
      </c>
      <c r="C104" s="127" t="s">
        <v>478</v>
      </c>
      <c r="D104" s="128" t="s">
        <v>480</v>
      </c>
      <c r="E104" s="121">
        <v>1.2537708851376882E-2</v>
      </c>
    </row>
    <row r="105" spans="1:5">
      <c r="A105" t="s">
        <v>784</v>
      </c>
      <c r="B105" s="155">
        <v>4</v>
      </c>
      <c r="C105" s="127" t="s">
        <v>479</v>
      </c>
      <c r="D105" s="128" t="s">
        <v>481</v>
      </c>
      <c r="E105" s="121">
        <v>1.2537708851376882E-2</v>
      </c>
    </row>
    <row r="106" spans="1:5" s="150" customFormat="1" hidden="1">
      <c r="A106" s="150" t="s">
        <v>948</v>
      </c>
      <c r="B106" s="156">
        <v>2</v>
      </c>
      <c r="C106" s="153">
        <v>15</v>
      </c>
      <c r="D106" s="145" t="s">
        <v>949</v>
      </c>
      <c r="E106" s="152">
        <f>E107</f>
        <v>1.0077211714344263E-2</v>
      </c>
    </row>
    <row r="107" spans="1:5" hidden="1">
      <c r="A107" t="s">
        <v>785</v>
      </c>
      <c r="B107" s="155">
        <v>3</v>
      </c>
      <c r="C107" s="75" t="s">
        <v>246</v>
      </c>
      <c r="D107" s="22" t="s">
        <v>134</v>
      </c>
      <c r="E107" s="22">
        <f>SUM(E108:E110)</f>
        <v>1.0077211714344263E-2</v>
      </c>
    </row>
    <row r="108" spans="1:5">
      <c r="A108" t="s">
        <v>787</v>
      </c>
      <c r="B108" s="155">
        <v>4</v>
      </c>
      <c r="C108" s="104" t="s">
        <v>489</v>
      </c>
      <c r="D108" s="105" t="s">
        <v>493</v>
      </c>
      <c r="E108" s="121">
        <v>3.5270241000204925E-3</v>
      </c>
    </row>
    <row r="109" spans="1:5">
      <c r="A109" t="s">
        <v>788</v>
      </c>
      <c r="B109" s="155">
        <v>4</v>
      </c>
      <c r="C109" s="104" t="s">
        <v>490</v>
      </c>
      <c r="D109" s="105" t="s">
        <v>494</v>
      </c>
      <c r="E109" s="121">
        <v>3.5270241000204925E-3</v>
      </c>
    </row>
    <row r="110" spans="1:5">
      <c r="A110" t="s">
        <v>789</v>
      </c>
      <c r="B110" s="155">
        <v>4</v>
      </c>
      <c r="C110" s="104" t="s">
        <v>491</v>
      </c>
      <c r="D110" s="105" t="s">
        <v>495</v>
      </c>
      <c r="E110" s="121">
        <v>3.0231635143032794E-3</v>
      </c>
    </row>
    <row r="111" spans="1:5" s="150" customFormat="1" hidden="1">
      <c r="A111" s="150" t="s">
        <v>950</v>
      </c>
      <c r="B111" s="156">
        <v>2</v>
      </c>
      <c r="C111" s="153">
        <v>16</v>
      </c>
      <c r="D111" s="142" t="s">
        <v>951</v>
      </c>
      <c r="E111" s="152">
        <f>E112+E116</f>
        <v>1.9712632401548844E-2</v>
      </c>
    </row>
    <row r="112" spans="1:5" hidden="1">
      <c r="A112" t="s">
        <v>790</v>
      </c>
      <c r="B112" s="155">
        <v>3</v>
      </c>
      <c r="C112" s="75" t="s">
        <v>249</v>
      </c>
      <c r="D112" s="22" t="s">
        <v>139</v>
      </c>
      <c r="E112" s="22">
        <f>SUM(E113:E115)</f>
        <v>1.1871014514702016E-2</v>
      </c>
    </row>
    <row r="113" spans="1:5">
      <c r="A113" t="s">
        <v>791</v>
      </c>
      <c r="B113" s="155">
        <v>4</v>
      </c>
      <c r="C113" s="104" t="s">
        <v>496</v>
      </c>
      <c r="D113" s="105" t="s">
        <v>499</v>
      </c>
      <c r="E113" s="121">
        <v>3.9570048382340057E-3</v>
      </c>
    </row>
    <row r="114" spans="1:5">
      <c r="A114" t="s">
        <v>792</v>
      </c>
      <c r="B114" s="155">
        <v>4</v>
      </c>
      <c r="C114" s="104" t="s">
        <v>497</v>
      </c>
      <c r="D114" s="105" t="s">
        <v>500</v>
      </c>
      <c r="E114" s="121">
        <v>3.9570048382340057E-3</v>
      </c>
    </row>
    <row r="115" spans="1:5">
      <c r="A115" t="s">
        <v>793</v>
      </c>
      <c r="B115" s="155">
        <v>4</v>
      </c>
      <c r="C115" s="104" t="s">
        <v>498</v>
      </c>
      <c r="D115" s="105" t="s">
        <v>501</v>
      </c>
      <c r="E115" s="121">
        <v>3.9570048382340057E-3</v>
      </c>
    </row>
    <row r="116" spans="1:5" hidden="1">
      <c r="A116" t="s">
        <v>794</v>
      </c>
      <c r="B116" s="155">
        <v>3</v>
      </c>
      <c r="C116" t="s">
        <v>670</v>
      </c>
      <c r="D116" s="22" t="s">
        <v>141</v>
      </c>
      <c r="E116" s="22">
        <f>SUM(E117:E120)</f>
        <v>7.8416178868468273E-3</v>
      </c>
    </row>
    <row r="117" spans="1:5">
      <c r="A117" t="s">
        <v>795</v>
      </c>
      <c r="B117" s="155">
        <v>4</v>
      </c>
      <c r="C117" s="104">
        <v>31420</v>
      </c>
      <c r="D117" s="105" t="s">
        <v>505</v>
      </c>
      <c r="E117" s="121">
        <v>1.9604044717117068E-3</v>
      </c>
    </row>
    <row r="118" spans="1:5">
      <c r="A118" t="s">
        <v>796</v>
      </c>
      <c r="B118" s="155">
        <v>4</v>
      </c>
      <c r="C118" s="104" t="s">
        <v>502</v>
      </c>
      <c r="D118" s="105" t="s">
        <v>506</v>
      </c>
      <c r="E118" s="121">
        <v>1.9604044717117068E-3</v>
      </c>
    </row>
    <row r="119" spans="1:5">
      <c r="A119" t="s">
        <v>797</v>
      </c>
      <c r="B119" s="155">
        <v>4</v>
      </c>
      <c r="C119" s="104" t="s">
        <v>504</v>
      </c>
      <c r="D119" s="105" t="s">
        <v>507</v>
      </c>
      <c r="E119" s="121">
        <v>1.9604044717117068E-3</v>
      </c>
    </row>
    <row r="120" spans="1:5">
      <c r="A120" t="s">
        <v>798</v>
      </c>
      <c r="B120" s="155">
        <v>4</v>
      </c>
      <c r="C120" s="104" t="s">
        <v>503</v>
      </c>
      <c r="D120" s="105" t="s">
        <v>508</v>
      </c>
      <c r="E120" s="121">
        <v>1.9604044717117068E-3</v>
      </c>
    </row>
    <row r="121" spans="1:5" s="150" customFormat="1" hidden="1">
      <c r="A121" s="150" t="s">
        <v>952</v>
      </c>
      <c r="B121" s="156">
        <v>2</v>
      </c>
      <c r="C121" s="153">
        <v>17</v>
      </c>
      <c r="D121" s="145" t="s">
        <v>953</v>
      </c>
      <c r="E121" s="152">
        <f>E122</f>
        <v>2.5288330236080691E-2</v>
      </c>
    </row>
    <row r="122" spans="1:5" hidden="1">
      <c r="A122" t="s">
        <v>799</v>
      </c>
      <c r="B122" s="155">
        <v>3</v>
      </c>
      <c r="C122">
        <v>1702</v>
      </c>
      <c r="D122" s="22" t="s">
        <v>145</v>
      </c>
      <c r="E122" s="22">
        <f>SUM(E123:E126)</f>
        <v>2.5288330236080691E-2</v>
      </c>
    </row>
    <row r="123" spans="1:5">
      <c r="A123" t="s">
        <v>800</v>
      </c>
      <c r="B123" s="155">
        <v>4</v>
      </c>
      <c r="C123" s="104" t="s">
        <v>509</v>
      </c>
      <c r="D123" s="105" t="s">
        <v>512</v>
      </c>
      <c r="E123" s="121">
        <v>1.4241801640192791E-2</v>
      </c>
    </row>
    <row r="124" spans="1:5">
      <c r="A124" t="s">
        <v>801</v>
      </c>
      <c r="B124" s="155">
        <v>4</v>
      </c>
      <c r="C124" s="104" t="s">
        <v>513</v>
      </c>
      <c r="D124" s="105" t="s">
        <v>514</v>
      </c>
      <c r="E124" s="121">
        <v>5.523264297943949E-3</v>
      </c>
    </row>
    <row r="125" spans="1:5">
      <c r="A125" t="s">
        <v>802</v>
      </c>
      <c r="B125" s="155">
        <v>4</v>
      </c>
      <c r="C125" s="104" t="s">
        <v>510</v>
      </c>
      <c r="D125" s="105" t="s">
        <v>511</v>
      </c>
      <c r="E125" s="121">
        <v>2.2093057191775799E-3</v>
      </c>
    </row>
    <row r="126" spans="1:5">
      <c r="A126" t="s">
        <v>908</v>
      </c>
      <c r="B126" s="155">
        <v>4</v>
      </c>
      <c r="C126" s="104">
        <v>32700</v>
      </c>
      <c r="D126" s="105" t="s">
        <v>516</v>
      </c>
      <c r="E126" s="121">
        <v>3.3139585787663691E-3</v>
      </c>
    </row>
    <row r="127" spans="1:5" s="150" customFormat="1" hidden="1">
      <c r="A127" s="150" t="s">
        <v>954</v>
      </c>
      <c r="B127" s="156">
        <v>2</v>
      </c>
      <c r="C127" s="153">
        <v>18</v>
      </c>
      <c r="D127" s="145" t="s">
        <v>955</v>
      </c>
      <c r="E127" s="152">
        <f>E128</f>
        <v>9.4820987499744849E-3</v>
      </c>
    </row>
    <row r="128" spans="1:5" hidden="1">
      <c r="A128" t="s">
        <v>803</v>
      </c>
      <c r="B128" s="155">
        <v>3</v>
      </c>
      <c r="C128" s="75">
        <v>1811</v>
      </c>
      <c r="D128" s="22" t="s">
        <v>148</v>
      </c>
      <c r="E128" s="22">
        <f>E129</f>
        <v>9.4820987499744849E-3</v>
      </c>
    </row>
    <row r="129" spans="1:5">
      <c r="A129" t="s">
        <v>804</v>
      </c>
      <c r="B129" s="155">
        <v>4</v>
      </c>
      <c r="C129" s="104">
        <v>32690</v>
      </c>
      <c r="D129" s="105" t="s">
        <v>516</v>
      </c>
      <c r="E129" s="121">
        <v>9.4820987499744849E-3</v>
      </c>
    </row>
    <row r="130" spans="1:5" s="150" customFormat="1" hidden="1">
      <c r="A130" s="150" t="s">
        <v>956</v>
      </c>
      <c r="B130" s="156">
        <v>2</v>
      </c>
      <c r="C130" s="153">
        <v>20</v>
      </c>
      <c r="D130" s="145" t="s">
        <v>957</v>
      </c>
      <c r="E130" s="152">
        <f>E131+E133+E140+E142+E146</f>
        <v>8.4199791540698704E-2</v>
      </c>
    </row>
    <row r="131" spans="1:5" hidden="1">
      <c r="A131" t="s">
        <v>805</v>
      </c>
      <c r="B131" s="155">
        <v>3</v>
      </c>
      <c r="C131" s="75" t="s">
        <v>655</v>
      </c>
      <c r="D131" s="22" t="s">
        <v>157</v>
      </c>
      <c r="E131" s="22">
        <f>E132</f>
        <v>6.6352856660274783E-3</v>
      </c>
    </row>
    <row r="132" spans="1:5">
      <c r="A132" t="s">
        <v>806</v>
      </c>
      <c r="B132" s="155">
        <v>4</v>
      </c>
      <c r="C132" s="127" t="s">
        <v>517</v>
      </c>
      <c r="D132" s="128" t="s">
        <v>518</v>
      </c>
      <c r="E132" s="129">
        <v>6.6352856660274783E-3</v>
      </c>
    </row>
    <row r="133" spans="1:5" hidden="1">
      <c r="A133" t="s">
        <v>807</v>
      </c>
      <c r="B133" s="155">
        <v>3</v>
      </c>
      <c r="C133" s="75">
        <v>2021</v>
      </c>
      <c r="D133" s="22" t="s">
        <v>159</v>
      </c>
      <c r="E133" s="22">
        <f>SUM(E134:E139)</f>
        <v>3.176210230395124E-2</v>
      </c>
    </row>
    <row r="134" spans="1:5">
      <c r="A134" t="s">
        <v>808</v>
      </c>
      <c r="B134" s="155">
        <v>4</v>
      </c>
      <c r="C134" s="104" t="s">
        <v>525</v>
      </c>
      <c r="D134" s="105" t="s">
        <v>530</v>
      </c>
      <c r="E134" s="121">
        <v>1.0587367434650413E-2</v>
      </c>
    </row>
    <row r="135" spans="1:5">
      <c r="A135" t="s">
        <v>809</v>
      </c>
      <c r="B135" s="155">
        <v>4</v>
      </c>
      <c r="C135" s="104">
        <v>34644</v>
      </c>
      <c r="D135" s="105" t="s">
        <v>524</v>
      </c>
      <c r="E135" s="121">
        <v>5.2936837173252066E-3</v>
      </c>
    </row>
    <row r="136" spans="1:5">
      <c r="A136" t="s">
        <v>810</v>
      </c>
      <c r="B136" s="155">
        <v>4</v>
      </c>
      <c r="C136" s="104" t="s">
        <v>520</v>
      </c>
      <c r="D136" s="105" t="s">
        <v>522</v>
      </c>
      <c r="E136" s="121">
        <v>2.6468418586626033E-3</v>
      </c>
    </row>
    <row r="137" spans="1:5">
      <c r="A137" t="s">
        <v>811</v>
      </c>
      <c r="B137" s="155">
        <v>4</v>
      </c>
      <c r="C137" s="104" t="s">
        <v>519</v>
      </c>
      <c r="D137" s="105" t="s">
        <v>521</v>
      </c>
      <c r="E137" s="121">
        <v>2.6468418586626033E-3</v>
      </c>
    </row>
    <row r="138" spans="1:5">
      <c r="A138" t="s">
        <v>812</v>
      </c>
      <c r="B138" s="155">
        <v>4</v>
      </c>
      <c r="C138" s="104" t="s">
        <v>526</v>
      </c>
      <c r="D138" s="105" t="s">
        <v>529</v>
      </c>
      <c r="E138" s="121">
        <v>5.2936837173252066E-3</v>
      </c>
    </row>
    <row r="139" spans="1:5">
      <c r="A139" t="s">
        <v>813</v>
      </c>
      <c r="B139" s="155">
        <v>4</v>
      </c>
      <c r="C139" s="104" t="s">
        <v>527</v>
      </c>
      <c r="D139" s="105" t="s">
        <v>528</v>
      </c>
      <c r="E139" s="121">
        <v>5.2936837173252066E-3</v>
      </c>
    </row>
    <row r="140" spans="1:5" hidden="1">
      <c r="A140" t="s">
        <v>814</v>
      </c>
      <c r="B140" s="155">
        <v>3</v>
      </c>
      <c r="C140" s="75" t="s">
        <v>273</v>
      </c>
      <c r="D140" s="22" t="s">
        <v>166</v>
      </c>
      <c r="E140" s="22">
        <f>E141</f>
        <v>6.2540767340639909E-3</v>
      </c>
    </row>
    <row r="141" spans="1:5">
      <c r="A141" t="s">
        <v>815</v>
      </c>
      <c r="B141" s="155">
        <v>4</v>
      </c>
      <c r="C141" s="104" t="s">
        <v>531</v>
      </c>
      <c r="D141" s="105" t="s">
        <v>532</v>
      </c>
      <c r="E141" s="121">
        <v>6.2540767340639909E-3</v>
      </c>
    </row>
    <row r="142" spans="1:5" hidden="1">
      <c r="A142" t="s">
        <v>816</v>
      </c>
      <c r="B142" s="155">
        <v>3</v>
      </c>
      <c r="C142" s="75" t="s">
        <v>276</v>
      </c>
      <c r="D142" s="22" t="s">
        <v>170</v>
      </c>
      <c r="E142" s="22">
        <f>SUM(E143:E145)</f>
        <v>2.7213069303280088E-2</v>
      </c>
    </row>
    <row r="143" spans="1:5">
      <c r="A143" t="s">
        <v>817</v>
      </c>
      <c r="B143" s="155">
        <v>4</v>
      </c>
      <c r="C143" s="104" t="s">
        <v>533</v>
      </c>
      <c r="D143" s="105" t="s">
        <v>534</v>
      </c>
      <c r="E143" s="121">
        <v>9.5245742561480308E-3</v>
      </c>
    </row>
    <row r="144" spans="1:5">
      <c r="A144" t="s">
        <v>818</v>
      </c>
      <c r="B144" s="155">
        <v>4</v>
      </c>
      <c r="C144" s="104" t="s">
        <v>535</v>
      </c>
      <c r="D144" s="105" t="s">
        <v>536</v>
      </c>
      <c r="E144" s="121">
        <v>9.5245742561480308E-3</v>
      </c>
    </row>
    <row r="145" spans="1:5">
      <c r="A145" t="s">
        <v>819</v>
      </c>
      <c r="B145" s="155">
        <v>4</v>
      </c>
      <c r="C145" s="104" t="s">
        <v>537</v>
      </c>
      <c r="D145" s="105" t="s">
        <v>538</v>
      </c>
      <c r="E145" s="121">
        <v>8.1639207909840264E-3</v>
      </c>
    </row>
    <row r="146" spans="1:5" hidden="1">
      <c r="A146" t="s">
        <v>820</v>
      </c>
      <c r="B146" s="155">
        <v>3</v>
      </c>
      <c r="C146" s="75" t="s">
        <v>692</v>
      </c>
      <c r="D146" s="22" t="s">
        <v>173</v>
      </c>
      <c r="E146" s="22">
        <f>SUM(E147:E155)</f>
        <v>1.2335257533375898E-2</v>
      </c>
    </row>
    <row r="147" spans="1:5">
      <c r="A147" t="s">
        <v>821</v>
      </c>
      <c r="B147" s="155">
        <v>4</v>
      </c>
      <c r="C147" s="104" t="s">
        <v>539</v>
      </c>
      <c r="D147" s="105" t="s">
        <v>546</v>
      </c>
      <c r="E147" s="121">
        <v>1.3705841703750997E-3</v>
      </c>
    </row>
    <row r="148" spans="1:5">
      <c r="A148" t="s">
        <v>822</v>
      </c>
      <c r="B148" s="155">
        <v>4</v>
      </c>
      <c r="C148" s="104" t="s">
        <v>540</v>
      </c>
      <c r="D148" s="105" t="s">
        <v>547</v>
      </c>
      <c r="E148" s="121">
        <v>1.3705841703750997E-3</v>
      </c>
    </row>
    <row r="149" spans="1:5">
      <c r="A149" t="s">
        <v>824</v>
      </c>
      <c r="B149" s="155">
        <v>4</v>
      </c>
      <c r="C149" s="104" t="s">
        <v>542</v>
      </c>
      <c r="D149" s="105" t="s">
        <v>544</v>
      </c>
      <c r="E149" s="121">
        <v>1.3705841703750997E-3</v>
      </c>
    </row>
    <row r="150" spans="1:5">
      <c r="A150" t="s">
        <v>825</v>
      </c>
      <c r="B150" s="155">
        <v>4</v>
      </c>
      <c r="C150" s="104" t="s">
        <v>543</v>
      </c>
      <c r="D150" s="105" t="s">
        <v>545</v>
      </c>
      <c r="E150" s="121">
        <v>1.3705841703750997E-3</v>
      </c>
    </row>
    <row r="151" spans="1:5">
      <c r="A151" t="s">
        <v>826</v>
      </c>
      <c r="B151" s="155">
        <v>4</v>
      </c>
      <c r="C151" s="104" t="s">
        <v>549</v>
      </c>
      <c r="D151" s="105" t="s">
        <v>553</v>
      </c>
      <c r="E151" s="121">
        <v>1.3705841703750997E-3</v>
      </c>
    </row>
    <row r="152" spans="1:5">
      <c r="A152" t="s">
        <v>827</v>
      </c>
      <c r="B152" s="155">
        <v>4</v>
      </c>
      <c r="C152" s="104" t="s">
        <v>550</v>
      </c>
      <c r="D152" s="105" t="s">
        <v>554</v>
      </c>
      <c r="E152" s="121">
        <v>1.3705841703750997E-3</v>
      </c>
    </row>
    <row r="153" spans="1:5">
      <c r="A153" t="s">
        <v>828</v>
      </c>
      <c r="B153" s="155">
        <v>4</v>
      </c>
      <c r="C153" s="104" t="s">
        <v>551</v>
      </c>
      <c r="D153" s="105" t="s">
        <v>555</v>
      </c>
      <c r="E153" s="121">
        <v>1.3705841703750997E-3</v>
      </c>
    </row>
    <row r="154" spans="1:5">
      <c r="A154" t="s">
        <v>829</v>
      </c>
      <c r="B154" s="155">
        <v>4</v>
      </c>
      <c r="C154" s="104" t="s">
        <v>552</v>
      </c>
      <c r="D154" s="105" t="s">
        <v>556</v>
      </c>
      <c r="E154" s="121">
        <v>1.3705841703750997E-3</v>
      </c>
    </row>
    <row r="155" spans="1:5">
      <c r="A155" t="s">
        <v>830</v>
      </c>
      <c r="B155" s="155">
        <v>4</v>
      </c>
      <c r="C155" s="104" t="s">
        <v>644</v>
      </c>
      <c r="D155" s="105" t="s">
        <v>646</v>
      </c>
      <c r="E155" s="121">
        <v>1.3705841703750997E-3</v>
      </c>
    </row>
    <row r="156" spans="1:5" s="150" customFormat="1" hidden="1">
      <c r="A156" s="150" t="s">
        <v>958</v>
      </c>
      <c r="B156" s="156">
        <v>2</v>
      </c>
      <c r="C156" s="153">
        <v>21</v>
      </c>
      <c r="D156" s="154" t="s">
        <v>959</v>
      </c>
      <c r="E156" s="152">
        <f>E157</f>
        <v>2.1418793931301517E-2</v>
      </c>
    </row>
    <row r="157" spans="1:5" hidden="1">
      <c r="A157" t="s">
        <v>831</v>
      </c>
      <c r="B157" s="155">
        <v>3</v>
      </c>
      <c r="C157" s="75" t="s">
        <v>284</v>
      </c>
      <c r="D157" s="22" t="s">
        <v>177</v>
      </c>
      <c r="E157" s="22">
        <f>E158+E159</f>
        <v>2.1418793931301517E-2</v>
      </c>
    </row>
    <row r="158" spans="1:5">
      <c r="A158" t="s">
        <v>832</v>
      </c>
      <c r="B158" s="155">
        <v>4</v>
      </c>
      <c r="C158" s="104" t="s">
        <v>557</v>
      </c>
      <c r="D158" s="105" t="s">
        <v>559</v>
      </c>
      <c r="E158" s="121">
        <v>1.285127635878091E-2</v>
      </c>
    </row>
    <row r="159" spans="1:5">
      <c r="A159" t="s">
        <v>833</v>
      </c>
      <c r="B159" s="155">
        <v>4</v>
      </c>
      <c r="C159" s="104" t="s">
        <v>558</v>
      </c>
      <c r="D159" s="105" t="s">
        <v>560</v>
      </c>
      <c r="E159" s="121">
        <v>8.5675175725206075E-3</v>
      </c>
    </row>
    <row r="160" spans="1:5" s="150" customFormat="1" hidden="1">
      <c r="A160" s="150" t="s">
        <v>960</v>
      </c>
      <c r="B160" s="156">
        <v>2</v>
      </c>
      <c r="C160" s="153">
        <v>22</v>
      </c>
      <c r="D160" s="146" t="s">
        <v>961</v>
      </c>
      <c r="E160" s="152">
        <f>E161</f>
        <v>6.1354259757413501E-2</v>
      </c>
    </row>
    <row r="161" spans="1:5" hidden="1">
      <c r="A161" t="s">
        <v>834</v>
      </c>
      <c r="B161" s="155">
        <v>3</v>
      </c>
      <c r="C161" s="75" t="s">
        <v>290</v>
      </c>
      <c r="D161" s="22" t="s">
        <v>184</v>
      </c>
      <c r="E161" s="22">
        <f>SUM(E162:E167)</f>
        <v>6.1354259757413501E-2</v>
      </c>
    </row>
    <row r="162" spans="1:5">
      <c r="A162" t="s">
        <v>835</v>
      </c>
      <c r="B162" s="155">
        <v>4</v>
      </c>
      <c r="C162" s="104" t="s">
        <v>567</v>
      </c>
      <c r="D162" s="105" t="s">
        <v>574</v>
      </c>
      <c r="E162" s="121">
        <v>1.0225709959568917E-2</v>
      </c>
    </row>
    <row r="163" spans="1:5">
      <c r="A163" t="s">
        <v>836</v>
      </c>
      <c r="B163" s="155">
        <v>4</v>
      </c>
      <c r="C163" s="104" t="s">
        <v>568</v>
      </c>
      <c r="D163" s="105" t="s">
        <v>575</v>
      </c>
      <c r="E163" s="121">
        <v>1.0225709959568917E-2</v>
      </c>
    </row>
    <row r="164" spans="1:5">
      <c r="A164" t="s">
        <v>837</v>
      </c>
      <c r="B164" s="155">
        <v>4</v>
      </c>
      <c r="C164" s="104" t="s">
        <v>569</v>
      </c>
      <c r="D164" s="105" t="s">
        <v>576</v>
      </c>
      <c r="E164" s="121">
        <v>1.0225709959568917E-2</v>
      </c>
    </row>
    <row r="165" spans="1:5">
      <c r="A165" t="s">
        <v>838</v>
      </c>
      <c r="B165" s="155">
        <v>4</v>
      </c>
      <c r="C165" s="104" t="s">
        <v>570</v>
      </c>
      <c r="D165" s="105" t="s">
        <v>577</v>
      </c>
      <c r="E165" s="121">
        <v>1.0225709959568917E-2</v>
      </c>
    </row>
    <row r="166" spans="1:5">
      <c r="A166" t="s">
        <v>839</v>
      </c>
      <c r="B166" s="155">
        <v>4</v>
      </c>
      <c r="C166" s="104" t="s">
        <v>571</v>
      </c>
      <c r="D166" s="105" t="s">
        <v>578</v>
      </c>
      <c r="E166" s="121">
        <v>1.0225709959568917E-2</v>
      </c>
    </row>
    <row r="167" spans="1:5">
      <c r="A167" t="s">
        <v>841</v>
      </c>
      <c r="B167" s="155">
        <v>4</v>
      </c>
      <c r="C167" s="104" t="s">
        <v>573</v>
      </c>
      <c r="D167" s="105" t="s">
        <v>580</v>
      </c>
      <c r="E167" s="121">
        <v>1.0225709959568917E-2</v>
      </c>
    </row>
    <row r="168" spans="1:5" s="150" customFormat="1" hidden="1">
      <c r="A168" s="150" t="s">
        <v>962</v>
      </c>
      <c r="B168" s="156">
        <v>2</v>
      </c>
      <c r="C168" s="153">
        <v>23</v>
      </c>
      <c r="D168" s="146" t="s">
        <v>963</v>
      </c>
      <c r="E168" s="152">
        <f>E169+E171+E175+E177</f>
        <v>6.8947506698723154E-2</v>
      </c>
    </row>
    <row r="169" spans="1:5" hidden="1">
      <c r="A169" t="s">
        <v>842</v>
      </c>
      <c r="B169" s="155">
        <v>3</v>
      </c>
      <c r="C169" s="75" t="s">
        <v>293</v>
      </c>
      <c r="D169" s="22" t="s">
        <v>187</v>
      </c>
      <c r="E169" s="22">
        <f>E170</f>
        <v>4.8781114478136595E-3</v>
      </c>
    </row>
    <row r="170" spans="1:5">
      <c r="A170" t="s">
        <v>844</v>
      </c>
      <c r="B170" s="155">
        <v>4</v>
      </c>
      <c r="C170" s="104" t="s">
        <v>582</v>
      </c>
      <c r="D170" s="105" t="s">
        <v>584</v>
      </c>
      <c r="E170" s="121">
        <v>4.8781114478136595E-3</v>
      </c>
    </row>
    <row r="171" spans="1:5" hidden="1">
      <c r="A171" t="s">
        <v>845</v>
      </c>
      <c r="B171" s="155">
        <v>3</v>
      </c>
      <c r="C171" s="136" t="s">
        <v>689</v>
      </c>
      <c r="D171" s="22" t="s">
        <v>189</v>
      </c>
      <c r="E171" s="22">
        <f>SUM(E172:E174)</f>
        <v>1.0781164361621555E-2</v>
      </c>
    </row>
    <row r="172" spans="1:5">
      <c r="A172" t="s">
        <v>846</v>
      </c>
      <c r="B172" s="155">
        <v>4</v>
      </c>
      <c r="C172" s="104" t="s">
        <v>589</v>
      </c>
      <c r="D172" s="105" t="s">
        <v>590</v>
      </c>
      <c r="E172" s="121">
        <v>2.3892277674524187E-3</v>
      </c>
    </row>
    <row r="173" spans="1:5">
      <c r="A173" t="s">
        <v>847</v>
      </c>
      <c r="B173" s="155">
        <v>4</v>
      </c>
      <c r="C173" s="104" t="s">
        <v>585</v>
      </c>
      <c r="D173" s="105" t="s">
        <v>587</v>
      </c>
      <c r="E173" s="121">
        <v>4.1959682970845683E-3</v>
      </c>
    </row>
    <row r="174" spans="1:5">
      <c r="A174" t="s">
        <v>848</v>
      </c>
      <c r="B174" s="155">
        <v>4</v>
      </c>
      <c r="C174" s="104" t="s">
        <v>586</v>
      </c>
      <c r="D174" s="105" t="s">
        <v>588</v>
      </c>
      <c r="E174" s="121">
        <v>4.1959682970845683E-3</v>
      </c>
    </row>
    <row r="175" spans="1:5" hidden="1">
      <c r="A175" t="s">
        <v>849</v>
      </c>
      <c r="B175" s="155">
        <v>3</v>
      </c>
      <c r="C175" s="75" t="s">
        <v>301</v>
      </c>
      <c r="D175" s="22" t="s">
        <v>192</v>
      </c>
      <c r="E175" s="22">
        <f>E176</f>
        <v>4.3949921110845391E-2</v>
      </c>
    </row>
    <row r="176" spans="1:5">
      <c r="A176" t="s">
        <v>850</v>
      </c>
      <c r="B176" s="155">
        <v>4</v>
      </c>
      <c r="C176" s="104" t="s">
        <v>591</v>
      </c>
      <c r="D176" s="105" t="s">
        <v>592</v>
      </c>
      <c r="E176" s="121">
        <v>4.3949921110845391E-2</v>
      </c>
    </row>
    <row r="177" spans="1:5" hidden="1">
      <c r="A177" t="s">
        <v>851</v>
      </c>
      <c r="B177" s="155">
        <v>3</v>
      </c>
      <c r="C177" s="136" t="s">
        <v>304</v>
      </c>
      <c r="D177" s="22" t="s">
        <v>196</v>
      </c>
      <c r="E177" s="22">
        <f>E178+E179</f>
        <v>9.3383097784425478E-3</v>
      </c>
    </row>
    <row r="178" spans="1:5">
      <c r="A178" t="s">
        <v>852</v>
      </c>
      <c r="B178" s="155">
        <v>4</v>
      </c>
      <c r="C178" s="104" t="s">
        <v>593</v>
      </c>
      <c r="D178" s="105" t="s">
        <v>595</v>
      </c>
      <c r="E178" s="121">
        <v>5.1360703781434015E-3</v>
      </c>
    </row>
    <row r="179" spans="1:5">
      <c r="A179" t="s">
        <v>853</v>
      </c>
      <c r="B179" s="155">
        <v>4</v>
      </c>
      <c r="C179" s="104" t="s">
        <v>594</v>
      </c>
      <c r="D179" s="105" t="s">
        <v>596</v>
      </c>
      <c r="E179" s="121">
        <v>4.2022394002991462E-3</v>
      </c>
    </row>
    <row r="180" spans="1:5" hidden="1">
      <c r="A180" t="s">
        <v>964</v>
      </c>
      <c r="B180" s="155">
        <v>2</v>
      </c>
      <c r="C180" s="144">
        <v>24</v>
      </c>
      <c r="D180" s="154" t="s">
        <v>965</v>
      </c>
      <c r="E180" s="143">
        <f>E181</f>
        <v>5.2187709331150536E-2</v>
      </c>
    </row>
    <row r="181" spans="1:5" hidden="1">
      <c r="A181" t="s">
        <v>854</v>
      </c>
      <c r="B181" s="155">
        <v>3</v>
      </c>
      <c r="C181" s="136" t="s">
        <v>678</v>
      </c>
      <c r="D181" s="22" t="s">
        <v>203</v>
      </c>
      <c r="E181" s="22">
        <f>SUM(E182:E188)</f>
        <v>5.2187709331150536E-2</v>
      </c>
    </row>
    <row r="182" spans="1:5">
      <c r="A182" t="s">
        <v>855</v>
      </c>
      <c r="B182" s="155">
        <v>4</v>
      </c>
      <c r="C182" s="104" t="s">
        <v>601</v>
      </c>
      <c r="D182" s="105" t="s">
        <v>608</v>
      </c>
      <c r="E182" s="121">
        <v>8.2009257520379419E-3</v>
      </c>
    </row>
    <row r="183" spans="1:5">
      <c r="A183" t="s">
        <v>856</v>
      </c>
      <c r="B183" s="155">
        <v>4</v>
      </c>
      <c r="C183" s="104" t="s">
        <v>602</v>
      </c>
      <c r="D183" s="105" t="s">
        <v>609</v>
      </c>
      <c r="E183" s="121">
        <v>8.2009257520379419E-3</v>
      </c>
    </row>
    <row r="184" spans="1:5">
      <c r="A184" t="s">
        <v>857</v>
      </c>
      <c r="B184" s="155">
        <v>4</v>
      </c>
      <c r="C184" s="104" t="s">
        <v>603</v>
      </c>
      <c r="D184" s="105" t="s">
        <v>610</v>
      </c>
      <c r="E184" s="121">
        <v>1.1183080570960829E-2</v>
      </c>
    </row>
    <row r="185" spans="1:5">
      <c r="A185" t="s">
        <v>858</v>
      </c>
      <c r="B185" s="155">
        <v>4</v>
      </c>
      <c r="C185" s="104" t="s">
        <v>604</v>
      </c>
      <c r="D185" s="105" t="s">
        <v>611</v>
      </c>
      <c r="E185" s="121">
        <v>3.7276935236536094E-3</v>
      </c>
    </row>
    <row r="186" spans="1:5">
      <c r="A186" t="s">
        <v>859</v>
      </c>
      <c r="B186" s="155">
        <v>4</v>
      </c>
      <c r="C186" s="104" t="s">
        <v>605</v>
      </c>
      <c r="D186" s="105" t="s">
        <v>612</v>
      </c>
      <c r="E186" s="121">
        <v>8.5736951044033012E-3</v>
      </c>
    </row>
    <row r="187" spans="1:5">
      <c r="A187" t="s">
        <v>860</v>
      </c>
      <c r="B187" s="155">
        <v>4</v>
      </c>
      <c r="C187" s="104" t="s">
        <v>606</v>
      </c>
      <c r="D187" s="105" t="s">
        <v>613</v>
      </c>
      <c r="E187" s="121">
        <v>8.5736951044033012E-3</v>
      </c>
    </row>
    <row r="188" spans="1:5">
      <c r="A188" t="s">
        <v>861</v>
      </c>
      <c r="B188" s="155">
        <v>4</v>
      </c>
      <c r="C188" s="104" t="s">
        <v>607</v>
      </c>
      <c r="D188" s="105" t="s">
        <v>614</v>
      </c>
      <c r="E188" s="121">
        <v>3.7276935236536094E-3</v>
      </c>
    </row>
    <row r="189" spans="1:5" hidden="1">
      <c r="A189" t="s">
        <v>966</v>
      </c>
      <c r="B189" s="155">
        <v>2</v>
      </c>
      <c r="C189" s="144">
        <v>25</v>
      </c>
      <c r="D189" s="154" t="s">
        <v>967</v>
      </c>
      <c r="E189" s="143">
        <f>E190</f>
        <v>1.4374797565040171E-2</v>
      </c>
    </row>
    <row r="190" spans="1:5" hidden="1">
      <c r="A190" t="s">
        <v>862</v>
      </c>
      <c r="B190" s="155">
        <v>3</v>
      </c>
      <c r="C190" s="136" t="s">
        <v>690</v>
      </c>
      <c r="D190" s="22" t="s">
        <v>206</v>
      </c>
      <c r="E190" s="22">
        <f>SUM(E191:E196)</f>
        <v>1.4374797565040171E-2</v>
      </c>
    </row>
    <row r="191" spans="1:5">
      <c r="A191" t="s">
        <v>863</v>
      </c>
      <c r="B191" s="155">
        <v>4</v>
      </c>
      <c r="C191" s="104" t="s">
        <v>615</v>
      </c>
      <c r="D191" s="105" t="s">
        <v>620</v>
      </c>
      <c r="E191" s="121">
        <v>2.3957995941733617E-3</v>
      </c>
    </row>
    <row r="192" spans="1:5">
      <c r="A192" t="s">
        <v>864</v>
      </c>
      <c r="B192" s="155">
        <v>4</v>
      </c>
      <c r="C192" s="104" t="s">
        <v>616</v>
      </c>
      <c r="D192" s="105" t="s">
        <v>621</v>
      </c>
      <c r="E192" s="121">
        <v>2.3957995941733617E-3</v>
      </c>
    </row>
    <row r="193" spans="1:5">
      <c r="A193" t="s">
        <v>865</v>
      </c>
      <c r="B193" s="155">
        <v>4</v>
      </c>
      <c r="C193" s="104" t="s">
        <v>617</v>
      </c>
      <c r="D193" s="105" t="s">
        <v>622</v>
      </c>
      <c r="E193" s="121">
        <v>2.3957995941733617E-3</v>
      </c>
    </row>
    <row r="194" spans="1:5">
      <c r="A194" t="s">
        <v>866</v>
      </c>
      <c r="B194" s="155">
        <v>4</v>
      </c>
      <c r="C194" s="104" t="s">
        <v>618</v>
      </c>
      <c r="D194" s="105" t="s">
        <v>623</v>
      </c>
      <c r="E194" s="121">
        <v>2.3957995941733617E-3</v>
      </c>
    </row>
    <row r="195" spans="1:5">
      <c r="A195" t="s">
        <v>867</v>
      </c>
      <c r="B195" s="155">
        <v>4</v>
      </c>
      <c r="C195" s="104" t="s">
        <v>619</v>
      </c>
      <c r="D195" s="105" t="s">
        <v>624</v>
      </c>
      <c r="E195" s="121">
        <v>2.3957995941733617E-3</v>
      </c>
    </row>
    <row r="196" spans="1:5">
      <c r="A196" t="s">
        <v>868</v>
      </c>
      <c r="B196" s="155">
        <v>4</v>
      </c>
      <c r="C196" s="104" t="s">
        <v>625</v>
      </c>
      <c r="D196" s="105" t="s">
        <v>626</v>
      </c>
      <c r="E196" s="121">
        <v>2.3957995941733617E-3</v>
      </c>
    </row>
    <row r="197" spans="1:5" hidden="1">
      <c r="A197" t="s">
        <v>968</v>
      </c>
      <c r="B197" s="155">
        <v>2</v>
      </c>
      <c r="C197" s="144">
        <v>28</v>
      </c>
      <c r="D197" s="154" t="s">
        <v>969</v>
      </c>
      <c r="E197" s="143">
        <f>E198</f>
        <v>2.8181342697852375E-2</v>
      </c>
    </row>
    <row r="198" spans="1:5" hidden="1">
      <c r="A198" t="s">
        <v>869</v>
      </c>
      <c r="B198" s="155">
        <v>3</v>
      </c>
      <c r="C198" s="75" t="s">
        <v>691</v>
      </c>
      <c r="D198" s="22" t="s">
        <v>210</v>
      </c>
      <c r="E198" s="22">
        <f>SUM(E199:E203)</f>
        <v>2.8181342697852375E-2</v>
      </c>
    </row>
    <row r="199" spans="1:5">
      <c r="A199" t="s">
        <v>870</v>
      </c>
      <c r="B199" s="155">
        <v>4</v>
      </c>
      <c r="C199" s="127" t="s">
        <v>627</v>
      </c>
      <c r="D199" s="128" t="s">
        <v>628</v>
      </c>
      <c r="E199" s="129">
        <v>1.6644617371374598E-2</v>
      </c>
    </row>
    <row r="200" spans="1:5">
      <c r="A200" t="s">
        <v>871</v>
      </c>
      <c r="B200" s="155">
        <v>4</v>
      </c>
      <c r="C200" s="104" t="s">
        <v>629</v>
      </c>
      <c r="D200" s="105" t="s">
        <v>630</v>
      </c>
      <c r="E200" s="129">
        <v>5.5709515080061651E-3</v>
      </c>
    </row>
    <row r="201" spans="1:5">
      <c r="A201" t="s">
        <v>872</v>
      </c>
      <c r="B201" s="155">
        <v>4</v>
      </c>
      <c r="C201" s="104" t="s">
        <v>631</v>
      </c>
      <c r="D201" s="105" t="s">
        <v>633</v>
      </c>
      <c r="E201" s="129">
        <v>1.626569385688662E-3</v>
      </c>
    </row>
    <row r="202" spans="1:5">
      <c r="A202" t="s">
        <v>873</v>
      </c>
      <c r="B202" s="155">
        <v>4</v>
      </c>
      <c r="C202" s="104" t="s">
        <v>632</v>
      </c>
      <c r="D202" s="105" t="s">
        <v>634</v>
      </c>
      <c r="E202" s="129">
        <v>1.626569385688662E-3</v>
      </c>
    </row>
    <row r="203" spans="1:5">
      <c r="A203" t="s">
        <v>874</v>
      </c>
      <c r="B203" s="155">
        <v>4</v>
      </c>
      <c r="C203" s="104" t="s">
        <v>635</v>
      </c>
      <c r="D203" s="105" t="s">
        <v>636</v>
      </c>
      <c r="E203" s="129">
        <v>2.7126350470942856E-3</v>
      </c>
    </row>
    <row r="204" spans="1:5" hidden="1">
      <c r="A204" t="s">
        <v>970</v>
      </c>
      <c r="B204" s="155">
        <v>2</v>
      </c>
      <c r="C204" s="144">
        <v>31</v>
      </c>
      <c r="D204" s="154" t="s">
        <v>971</v>
      </c>
      <c r="E204" s="143">
        <f>E205</f>
        <v>3.390739502074714E-2</v>
      </c>
    </row>
    <row r="205" spans="1:5" hidden="1">
      <c r="A205" t="s">
        <v>875</v>
      </c>
      <c r="B205" s="155">
        <v>3</v>
      </c>
      <c r="C205" s="75" t="s">
        <v>327</v>
      </c>
      <c r="D205" s="22" t="s">
        <v>213</v>
      </c>
      <c r="E205" s="22">
        <f>SUM(E206:E208)</f>
        <v>3.390739502074714E-2</v>
      </c>
    </row>
    <row r="206" spans="1:5">
      <c r="A206" t="s">
        <v>876</v>
      </c>
      <c r="B206" s="155">
        <v>4</v>
      </c>
      <c r="C206" s="104" t="s">
        <v>637</v>
      </c>
      <c r="D206" s="105" t="s">
        <v>640</v>
      </c>
      <c r="E206" s="121">
        <v>1.1302465006915714E-2</v>
      </c>
    </row>
    <row r="207" spans="1:5">
      <c r="A207" t="s">
        <v>877</v>
      </c>
      <c r="B207" s="155">
        <v>4</v>
      </c>
      <c r="C207" s="104" t="s">
        <v>638</v>
      </c>
      <c r="D207" s="105" t="s">
        <v>641</v>
      </c>
      <c r="E207" s="121">
        <v>1.1302465006915714E-2</v>
      </c>
    </row>
    <row r="208" spans="1:5">
      <c r="A208" t="s">
        <v>878</v>
      </c>
      <c r="B208" s="155">
        <v>4</v>
      </c>
      <c r="C208" s="104" t="s">
        <v>639</v>
      </c>
      <c r="D208" s="105" t="s">
        <v>642</v>
      </c>
      <c r="E208" s="121">
        <v>1.1302465006915714E-2</v>
      </c>
    </row>
    <row r="209" spans="1:5" hidden="1">
      <c r="A209" t="s">
        <v>972</v>
      </c>
      <c r="B209" s="155">
        <v>2</v>
      </c>
      <c r="C209" s="144">
        <v>32</v>
      </c>
      <c r="D209" s="154" t="s">
        <v>973</v>
      </c>
      <c r="E209" s="143">
        <f>E210</f>
        <v>8.0247059260694902E-3</v>
      </c>
    </row>
    <row r="210" spans="1:5" hidden="1">
      <c r="A210" t="s">
        <v>881</v>
      </c>
      <c r="B210" s="155">
        <v>3</v>
      </c>
      <c r="C210" s="75" t="s">
        <v>882</v>
      </c>
      <c r="D210" s="22" t="s">
        <v>217</v>
      </c>
      <c r="E210" s="22">
        <f>SUM(E211:E212)</f>
        <v>8.0247059260694902E-3</v>
      </c>
    </row>
    <row r="211" spans="1:5">
      <c r="A211" t="s">
        <v>879</v>
      </c>
      <c r="B211" s="155">
        <v>4</v>
      </c>
      <c r="C211" s="104" t="s">
        <v>643</v>
      </c>
      <c r="D211" s="105" t="s">
        <v>645</v>
      </c>
      <c r="E211" s="121">
        <v>6.7362422135816714E-3</v>
      </c>
    </row>
    <row r="212" spans="1:5">
      <c r="A212" t="s">
        <v>880</v>
      </c>
      <c r="B212" s="155">
        <v>4</v>
      </c>
      <c r="C212" s="104" t="s">
        <v>647</v>
      </c>
      <c r="D212" s="105" t="s">
        <v>648</v>
      </c>
      <c r="E212" s="121">
        <v>1.2884637124878191E-3</v>
      </c>
    </row>
  </sheetData>
  <autoFilter ref="A1:E212" xr:uid="{688F36E5-579C-4123-99D8-9855C175CF6C}">
    <filterColumn colId="2">
      <colorFilter dxfId="0"/>
    </filterColumn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55EF-ECA6-4D6F-A145-FE74B9E9D3E2}">
  <sheetPr filterMode="1"/>
  <dimension ref="A1:G165"/>
  <sheetViews>
    <sheetView workbookViewId="0">
      <selection activeCell="A16" sqref="A16"/>
    </sheetView>
  </sheetViews>
  <sheetFormatPr defaultRowHeight="14.5"/>
  <sheetData>
    <row r="1" spans="1:7">
      <c r="A1" s="132" t="s">
        <v>885</v>
      </c>
    </row>
    <row r="2" spans="1:7">
      <c r="A2" t="s">
        <v>649</v>
      </c>
      <c r="F2" s="104" t="s">
        <v>30</v>
      </c>
      <c r="G2" t="b">
        <f>F2=F1</f>
        <v>0</v>
      </c>
    </row>
    <row r="3" spans="1:7" hidden="1">
      <c r="A3" t="s">
        <v>649</v>
      </c>
      <c r="F3" s="104" t="s">
        <v>40</v>
      </c>
    </row>
    <row r="4" spans="1:7" hidden="1">
      <c r="A4" t="s">
        <v>649</v>
      </c>
      <c r="F4" s="104" t="s">
        <v>658</v>
      </c>
    </row>
    <row r="5" spans="1:7">
      <c r="A5" t="s">
        <v>79</v>
      </c>
      <c r="F5" s="104" t="s">
        <v>52</v>
      </c>
      <c r="G5" t="b">
        <f t="shared" ref="G5:G8" si="0">F5=F4</f>
        <v>0</v>
      </c>
    </row>
    <row r="6" spans="1:7">
      <c r="A6" t="s">
        <v>101</v>
      </c>
      <c r="F6" s="104" t="s">
        <v>59</v>
      </c>
      <c r="G6" t="b">
        <f t="shared" si="0"/>
        <v>0</v>
      </c>
    </row>
    <row r="7" spans="1:7">
      <c r="A7" t="s">
        <v>108</v>
      </c>
      <c r="F7" s="104" t="s">
        <v>346</v>
      </c>
      <c r="G7" t="b">
        <f t="shared" si="0"/>
        <v>0</v>
      </c>
    </row>
    <row r="8" spans="1:7">
      <c r="A8" t="s">
        <v>650</v>
      </c>
      <c r="F8" s="104" t="s">
        <v>347</v>
      </c>
      <c r="G8" t="b">
        <f t="shared" si="0"/>
        <v>0</v>
      </c>
    </row>
    <row r="9" spans="1:7" hidden="1">
      <c r="A9" t="s">
        <v>650</v>
      </c>
      <c r="F9" s="104" t="s">
        <v>348</v>
      </c>
    </row>
    <row r="10" spans="1:7" hidden="1">
      <c r="A10" t="s">
        <v>650</v>
      </c>
      <c r="F10" s="104">
        <v>21311</v>
      </c>
    </row>
    <row r="11" spans="1:7">
      <c r="A11" t="s">
        <v>146</v>
      </c>
      <c r="F11" s="104">
        <v>21395</v>
      </c>
      <c r="G11" t="b">
        <f t="shared" ref="G11:G12" si="1">F11=F10</f>
        <v>0</v>
      </c>
    </row>
    <row r="12" spans="1:7">
      <c r="A12" t="s">
        <v>651</v>
      </c>
      <c r="F12" s="104">
        <v>21399</v>
      </c>
      <c r="G12" t="b">
        <f t="shared" si="1"/>
        <v>0</v>
      </c>
    </row>
    <row r="13" spans="1:7" hidden="1">
      <c r="A13" t="s">
        <v>651</v>
      </c>
      <c r="F13" s="104" t="s">
        <v>334</v>
      </c>
    </row>
    <row r="14" spans="1:7">
      <c r="A14" t="s">
        <v>171</v>
      </c>
      <c r="F14" s="104" t="s">
        <v>338</v>
      </c>
      <c r="G14" t="b">
        <f t="shared" ref="G14:G77" si="2">F14=F13</f>
        <v>0</v>
      </c>
    </row>
    <row r="15" spans="1:7">
      <c r="A15" t="s">
        <v>178</v>
      </c>
      <c r="F15" s="104" t="s">
        <v>336</v>
      </c>
      <c r="G15" t="b">
        <f t="shared" si="2"/>
        <v>0</v>
      </c>
    </row>
    <row r="16" spans="1:7">
      <c r="A16" t="s">
        <v>185</v>
      </c>
      <c r="F16" s="104" t="s">
        <v>340</v>
      </c>
      <c r="G16" t="b">
        <f t="shared" si="2"/>
        <v>0</v>
      </c>
    </row>
    <row r="17" spans="1:7">
      <c r="A17" t="s">
        <v>663</v>
      </c>
      <c r="F17" s="104" t="s">
        <v>342</v>
      </c>
      <c r="G17" t="b">
        <f t="shared" si="2"/>
        <v>0</v>
      </c>
    </row>
    <row r="18" spans="1:7">
      <c r="A18" t="s">
        <v>197</v>
      </c>
      <c r="F18" s="104" t="s">
        <v>344</v>
      </c>
      <c r="G18" t="b">
        <f t="shared" si="2"/>
        <v>0</v>
      </c>
    </row>
    <row r="19" spans="1:7">
      <c r="A19" t="s">
        <v>218</v>
      </c>
      <c r="F19" s="104" t="s">
        <v>352</v>
      </c>
      <c r="G19" t="b">
        <f t="shared" si="2"/>
        <v>0</v>
      </c>
    </row>
    <row r="20" spans="1:7">
      <c r="A20" t="s">
        <v>221</v>
      </c>
      <c r="F20" s="104" t="s">
        <v>354</v>
      </c>
      <c r="G20" t="b">
        <f t="shared" si="2"/>
        <v>0</v>
      </c>
    </row>
    <row r="21" spans="1:7">
      <c r="A21" t="s">
        <v>654</v>
      </c>
      <c r="F21" s="104" t="s">
        <v>356</v>
      </c>
      <c r="G21" t="b">
        <f t="shared" si="2"/>
        <v>0</v>
      </c>
    </row>
    <row r="22" spans="1:7">
      <c r="A22" t="s">
        <v>653</v>
      </c>
      <c r="F22" s="104" t="s">
        <v>357</v>
      </c>
      <c r="G22" t="b">
        <f t="shared" si="2"/>
        <v>0</v>
      </c>
    </row>
    <row r="23" spans="1:7">
      <c r="A23" t="s">
        <v>652</v>
      </c>
      <c r="F23" s="104" t="s">
        <v>358</v>
      </c>
      <c r="G23" t="b">
        <f t="shared" si="2"/>
        <v>0</v>
      </c>
    </row>
    <row r="24" spans="1:7">
      <c r="A24" t="s">
        <v>246</v>
      </c>
      <c r="F24" s="104" t="s">
        <v>359</v>
      </c>
      <c r="G24" t="b">
        <f t="shared" si="2"/>
        <v>0</v>
      </c>
    </row>
    <row r="25" spans="1:7">
      <c r="A25" t="s">
        <v>249</v>
      </c>
      <c r="F25" s="104" t="s">
        <v>368</v>
      </c>
      <c r="G25" t="b">
        <f t="shared" si="2"/>
        <v>0</v>
      </c>
    </row>
    <row r="26" spans="1:7">
      <c r="A26" t="s">
        <v>670</v>
      </c>
      <c r="F26" s="104" t="s">
        <v>369</v>
      </c>
      <c r="G26" t="b">
        <f t="shared" si="2"/>
        <v>0</v>
      </c>
    </row>
    <row r="27" spans="1:7">
      <c r="A27">
        <v>1702</v>
      </c>
      <c r="F27" s="104" t="s">
        <v>385</v>
      </c>
      <c r="G27" t="b">
        <f t="shared" si="2"/>
        <v>0</v>
      </c>
    </row>
    <row r="28" spans="1:7">
      <c r="A28">
        <v>1811</v>
      </c>
      <c r="F28" s="104" t="s">
        <v>370</v>
      </c>
      <c r="G28" t="b">
        <f t="shared" si="2"/>
        <v>0</v>
      </c>
    </row>
    <row r="29" spans="1:7">
      <c r="A29" t="s">
        <v>655</v>
      </c>
      <c r="F29" s="104" t="s">
        <v>371</v>
      </c>
      <c r="G29" t="b">
        <f t="shared" si="2"/>
        <v>0</v>
      </c>
    </row>
    <row r="30" spans="1:7">
      <c r="A30">
        <v>2021</v>
      </c>
      <c r="F30" s="104" t="s">
        <v>364</v>
      </c>
      <c r="G30" t="b">
        <f t="shared" si="2"/>
        <v>0</v>
      </c>
    </row>
    <row r="31" spans="1:7">
      <c r="A31" t="s">
        <v>273</v>
      </c>
      <c r="F31" s="104" t="s">
        <v>365</v>
      </c>
      <c r="G31" t="b">
        <f t="shared" si="2"/>
        <v>0</v>
      </c>
    </row>
    <row r="32" spans="1:7">
      <c r="A32" t="s">
        <v>276</v>
      </c>
      <c r="F32" s="74" t="s">
        <v>376</v>
      </c>
      <c r="G32" t="b">
        <f t="shared" si="2"/>
        <v>0</v>
      </c>
    </row>
    <row r="33" spans="1:7">
      <c r="A33" t="s">
        <v>284</v>
      </c>
      <c r="F33" s="104" t="s">
        <v>383</v>
      </c>
      <c r="G33" t="b">
        <f t="shared" si="2"/>
        <v>0</v>
      </c>
    </row>
    <row r="34" spans="1:7">
      <c r="A34" t="s">
        <v>290</v>
      </c>
      <c r="F34" s="104" t="s">
        <v>685</v>
      </c>
      <c r="G34" t="b">
        <f t="shared" si="2"/>
        <v>0</v>
      </c>
    </row>
    <row r="35" spans="1:7">
      <c r="A35" t="s">
        <v>293</v>
      </c>
      <c r="F35" s="104" t="s">
        <v>377</v>
      </c>
      <c r="G35" t="b">
        <f t="shared" si="2"/>
        <v>0</v>
      </c>
    </row>
    <row r="36" spans="1:7">
      <c r="A36" t="s">
        <v>689</v>
      </c>
      <c r="F36" s="104" t="s">
        <v>684</v>
      </c>
      <c r="G36" t="b">
        <f t="shared" si="2"/>
        <v>0</v>
      </c>
    </row>
    <row r="37" spans="1:7">
      <c r="A37" t="s">
        <v>301</v>
      </c>
      <c r="F37" s="104" t="s">
        <v>387</v>
      </c>
      <c r="G37" t="b">
        <f t="shared" si="2"/>
        <v>0</v>
      </c>
    </row>
    <row r="38" spans="1:7">
      <c r="A38" t="s">
        <v>304</v>
      </c>
      <c r="F38" s="104" t="s">
        <v>388</v>
      </c>
      <c r="G38" t="b">
        <f t="shared" si="2"/>
        <v>0</v>
      </c>
    </row>
    <row r="39" spans="1:7">
      <c r="A39" t="s">
        <v>678</v>
      </c>
      <c r="F39" s="104" t="s">
        <v>389</v>
      </c>
      <c r="G39" t="b">
        <f t="shared" si="2"/>
        <v>0</v>
      </c>
    </row>
    <row r="40" spans="1:7">
      <c r="A40">
        <v>2511</v>
      </c>
      <c r="F40" s="104" t="s">
        <v>390</v>
      </c>
      <c r="G40" t="b">
        <f t="shared" si="2"/>
        <v>0</v>
      </c>
    </row>
    <row r="41" spans="1:7">
      <c r="A41">
        <v>2819</v>
      </c>
      <c r="F41" s="104" t="s">
        <v>391</v>
      </c>
      <c r="G41" t="b">
        <f t="shared" si="2"/>
        <v>0</v>
      </c>
    </row>
    <row r="42" spans="1:7">
      <c r="A42" t="s">
        <v>327</v>
      </c>
      <c r="F42" s="104" t="s">
        <v>392</v>
      </c>
      <c r="G42" t="b">
        <f t="shared" si="2"/>
        <v>0</v>
      </c>
    </row>
    <row r="43" spans="1:7">
      <c r="A43">
        <v>3212</v>
      </c>
      <c r="F43" s="104" t="s">
        <v>393</v>
      </c>
      <c r="G43" t="b">
        <f t="shared" si="2"/>
        <v>0</v>
      </c>
    </row>
    <row r="44" spans="1:7">
      <c r="A44">
        <v>2512</v>
      </c>
      <c r="F44" s="104" t="s">
        <v>402</v>
      </c>
      <c r="G44" t="b">
        <f t="shared" si="2"/>
        <v>0</v>
      </c>
    </row>
    <row r="45" spans="1:7">
      <c r="A45">
        <v>2599</v>
      </c>
      <c r="F45" s="104" t="s">
        <v>682</v>
      </c>
      <c r="G45" t="b">
        <f t="shared" si="2"/>
        <v>0</v>
      </c>
    </row>
    <row r="46" spans="1:7">
      <c r="A46">
        <v>3211</v>
      </c>
      <c r="F46" s="104" t="s">
        <v>405</v>
      </c>
      <c r="G46" t="b">
        <f t="shared" si="2"/>
        <v>0</v>
      </c>
    </row>
    <row r="47" spans="1:7">
      <c r="A47">
        <v>2821</v>
      </c>
      <c r="F47" s="104" t="s">
        <v>406</v>
      </c>
      <c r="G47" t="b">
        <f t="shared" si="2"/>
        <v>0</v>
      </c>
    </row>
    <row r="48" spans="1:7">
      <c r="A48">
        <v>2930</v>
      </c>
      <c r="F48" s="104" t="s">
        <v>683</v>
      </c>
      <c r="G48" t="b">
        <f t="shared" si="2"/>
        <v>0</v>
      </c>
    </row>
    <row r="49" spans="6:7">
      <c r="F49" s="104" t="s">
        <v>421</v>
      </c>
      <c r="G49" t="b">
        <f t="shared" si="2"/>
        <v>0</v>
      </c>
    </row>
    <row r="50" spans="6:7">
      <c r="F50" s="104" t="s">
        <v>422</v>
      </c>
      <c r="G50" t="b">
        <f t="shared" si="2"/>
        <v>0</v>
      </c>
    </row>
    <row r="51" spans="6:7">
      <c r="F51" s="104" t="s">
        <v>425</v>
      </c>
      <c r="G51" t="b">
        <f t="shared" si="2"/>
        <v>0</v>
      </c>
    </row>
    <row r="52" spans="6:7">
      <c r="F52" s="104" t="s">
        <v>426</v>
      </c>
      <c r="G52" t="b">
        <f t="shared" si="2"/>
        <v>0</v>
      </c>
    </row>
    <row r="53" spans="6:7">
      <c r="F53" s="104" t="s">
        <v>427</v>
      </c>
      <c r="G53" t="b">
        <f t="shared" si="2"/>
        <v>0</v>
      </c>
    </row>
    <row r="54" spans="6:7">
      <c r="F54" s="104" t="s">
        <v>431</v>
      </c>
      <c r="G54" t="b">
        <f t="shared" si="2"/>
        <v>0</v>
      </c>
    </row>
    <row r="55" spans="6:7">
      <c r="F55" s="104" t="s">
        <v>387</v>
      </c>
      <c r="G55" t="b">
        <f t="shared" si="2"/>
        <v>0</v>
      </c>
    </row>
    <row r="56" spans="6:7">
      <c r="F56" s="104" t="s">
        <v>388</v>
      </c>
      <c r="G56" t="b">
        <f t="shared" si="2"/>
        <v>0</v>
      </c>
    </row>
    <row r="57" spans="6:7">
      <c r="F57" s="104" t="s">
        <v>389</v>
      </c>
      <c r="G57" t="b">
        <f t="shared" si="2"/>
        <v>0</v>
      </c>
    </row>
    <row r="58" spans="6:7">
      <c r="F58" s="104" t="s">
        <v>390</v>
      </c>
      <c r="G58" t="b">
        <f t="shared" si="2"/>
        <v>0</v>
      </c>
    </row>
    <row r="59" spans="6:7">
      <c r="F59" s="104" t="s">
        <v>391</v>
      </c>
      <c r="G59" t="b">
        <f t="shared" si="2"/>
        <v>0</v>
      </c>
    </row>
    <row r="60" spans="6:7">
      <c r="F60" s="104" t="s">
        <v>392</v>
      </c>
      <c r="G60" t="b">
        <f t="shared" si="2"/>
        <v>0</v>
      </c>
    </row>
    <row r="61" spans="6:7">
      <c r="F61" s="104" t="s">
        <v>393</v>
      </c>
      <c r="G61" t="b">
        <f t="shared" si="2"/>
        <v>0</v>
      </c>
    </row>
    <row r="62" spans="6:7">
      <c r="F62" s="104" t="s">
        <v>433</v>
      </c>
      <c r="G62" t="b">
        <f t="shared" si="2"/>
        <v>0</v>
      </c>
    </row>
    <row r="63" spans="6:7">
      <c r="F63" s="104" t="s">
        <v>435</v>
      </c>
      <c r="G63" t="b">
        <f t="shared" si="2"/>
        <v>0</v>
      </c>
    </row>
    <row r="64" spans="6:7">
      <c r="F64" s="104" t="s">
        <v>436</v>
      </c>
      <c r="G64" t="b">
        <f t="shared" si="2"/>
        <v>0</v>
      </c>
    </row>
    <row r="65" spans="6:7">
      <c r="F65" s="74" t="s">
        <v>443</v>
      </c>
      <c r="G65" t="b">
        <f t="shared" si="2"/>
        <v>0</v>
      </c>
    </row>
    <row r="66" spans="6:7">
      <c r="F66" s="104" t="s">
        <v>352</v>
      </c>
      <c r="G66" t="b">
        <f t="shared" si="2"/>
        <v>0</v>
      </c>
    </row>
    <row r="67" spans="6:7">
      <c r="F67" s="104" t="s">
        <v>445</v>
      </c>
      <c r="G67" t="b">
        <f t="shared" si="2"/>
        <v>0</v>
      </c>
    </row>
    <row r="68" spans="6:7">
      <c r="F68" s="104" t="s">
        <v>447</v>
      </c>
      <c r="G68" t="b">
        <f t="shared" si="2"/>
        <v>0</v>
      </c>
    </row>
    <row r="69" spans="6:7">
      <c r="F69" s="104" t="s">
        <v>449</v>
      </c>
      <c r="G69" t="b">
        <f t="shared" si="2"/>
        <v>0</v>
      </c>
    </row>
    <row r="70" spans="6:7">
      <c r="F70" s="104" t="s">
        <v>450</v>
      </c>
      <c r="G70" t="b">
        <f t="shared" si="2"/>
        <v>0</v>
      </c>
    </row>
    <row r="71" spans="6:7">
      <c r="F71" s="104" t="s">
        <v>451</v>
      </c>
      <c r="G71" t="b">
        <f t="shared" si="2"/>
        <v>0</v>
      </c>
    </row>
    <row r="72" spans="6:7">
      <c r="F72" s="104" t="s">
        <v>452</v>
      </c>
      <c r="G72" t="b">
        <f t="shared" si="2"/>
        <v>0</v>
      </c>
    </row>
    <row r="73" spans="6:7">
      <c r="F73" s="104">
        <v>27120</v>
      </c>
      <c r="G73" t="b">
        <f t="shared" si="2"/>
        <v>0</v>
      </c>
    </row>
    <row r="74" spans="6:7">
      <c r="F74" s="104">
        <v>27130</v>
      </c>
      <c r="G74" t="b">
        <f t="shared" si="2"/>
        <v>0</v>
      </c>
    </row>
    <row r="75" spans="6:7">
      <c r="F75" s="104">
        <v>27180</v>
      </c>
      <c r="G75" t="b">
        <f t="shared" si="2"/>
        <v>0</v>
      </c>
    </row>
    <row r="76" spans="6:7">
      <c r="F76" s="104">
        <v>27190</v>
      </c>
      <c r="G76" t="b">
        <f t="shared" si="2"/>
        <v>0</v>
      </c>
    </row>
    <row r="77" spans="6:7">
      <c r="F77" s="104">
        <v>27911</v>
      </c>
      <c r="G77" t="b">
        <f t="shared" si="2"/>
        <v>0</v>
      </c>
    </row>
    <row r="78" spans="6:7">
      <c r="F78" s="104" t="s">
        <v>462</v>
      </c>
      <c r="G78" t="b">
        <f t="shared" ref="G78:G141" si="3">F78=F77</f>
        <v>0</v>
      </c>
    </row>
    <row r="79" spans="6:7">
      <c r="F79" s="104" t="s">
        <v>463</v>
      </c>
      <c r="G79" t="b">
        <f t="shared" si="3"/>
        <v>0</v>
      </c>
    </row>
    <row r="80" spans="6:7">
      <c r="F80" s="104" t="s">
        <v>464</v>
      </c>
      <c r="G80" t="b">
        <f t="shared" si="3"/>
        <v>0</v>
      </c>
    </row>
    <row r="81" spans="6:7">
      <c r="F81" s="104" t="s">
        <v>465</v>
      </c>
      <c r="G81" t="b">
        <f t="shared" si="3"/>
        <v>0</v>
      </c>
    </row>
    <row r="82" spans="6:7">
      <c r="F82" s="104" t="s">
        <v>466</v>
      </c>
      <c r="G82" t="b">
        <f t="shared" si="3"/>
        <v>0</v>
      </c>
    </row>
    <row r="83" spans="6:7">
      <c r="F83" s="104" t="s">
        <v>467</v>
      </c>
      <c r="G83" t="b">
        <f t="shared" si="3"/>
        <v>0</v>
      </c>
    </row>
    <row r="84" spans="6:7">
      <c r="F84" s="104" t="s">
        <v>468</v>
      </c>
      <c r="G84" t="b">
        <f t="shared" si="3"/>
        <v>0</v>
      </c>
    </row>
    <row r="85" spans="6:7">
      <c r="F85" s="104" t="s">
        <v>469</v>
      </c>
      <c r="G85" t="b">
        <f t="shared" si="3"/>
        <v>0</v>
      </c>
    </row>
    <row r="86" spans="6:7">
      <c r="F86" s="127" t="s">
        <v>478</v>
      </c>
      <c r="G86" t="b">
        <f t="shared" si="3"/>
        <v>0</v>
      </c>
    </row>
    <row r="87" spans="6:7">
      <c r="F87" s="127" t="s">
        <v>479</v>
      </c>
      <c r="G87" t="b">
        <f t="shared" si="3"/>
        <v>0</v>
      </c>
    </row>
    <row r="88" spans="6:7">
      <c r="F88" s="104" t="s">
        <v>488</v>
      </c>
      <c r="G88" t="b">
        <f t="shared" si="3"/>
        <v>0</v>
      </c>
    </row>
    <row r="89" spans="6:7">
      <c r="F89" s="104" t="s">
        <v>489</v>
      </c>
      <c r="G89" t="b">
        <f t="shared" si="3"/>
        <v>0</v>
      </c>
    </row>
    <row r="90" spans="6:7">
      <c r="F90" s="104" t="s">
        <v>490</v>
      </c>
      <c r="G90" t="b">
        <f t="shared" si="3"/>
        <v>0</v>
      </c>
    </row>
    <row r="91" spans="6:7">
      <c r="F91" s="104" t="s">
        <v>491</v>
      </c>
      <c r="G91" t="b">
        <f t="shared" si="3"/>
        <v>0</v>
      </c>
    </row>
    <row r="92" spans="6:7">
      <c r="F92" s="104" t="s">
        <v>496</v>
      </c>
      <c r="G92" t="b">
        <f t="shared" si="3"/>
        <v>0</v>
      </c>
    </row>
    <row r="93" spans="6:7">
      <c r="F93" s="104" t="s">
        <v>497</v>
      </c>
      <c r="G93" t="b">
        <f t="shared" si="3"/>
        <v>0</v>
      </c>
    </row>
    <row r="94" spans="6:7">
      <c r="F94" s="104" t="s">
        <v>498</v>
      </c>
      <c r="G94" t="b">
        <f t="shared" si="3"/>
        <v>0</v>
      </c>
    </row>
    <row r="95" spans="6:7">
      <c r="F95" s="104">
        <v>31420</v>
      </c>
      <c r="G95" t="b">
        <f t="shared" si="3"/>
        <v>0</v>
      </c>
    </row>
    <row r="96" spans="6:7">
      <c r="F96" s="104" t="s">
        <v>502</v>
      </c>
      <c r="G96" t="b">
        <f t="shared" si="3"/>
        <v>0</v>
      </c>
    </row>
    <row r="97" spans="6:7">
      <c r="F97" s="104" t="s">
        <v>504</v>
      </c>
      <c r="G97" t="b">
        <f t="shared" si="3"/>
        <v>0</v>
      </c>
    </row>
    <row r="98" spans="6:7">
      <c r="F98" s="104" t="s">
        <v>503</v>
      </c>
      <c r="G98" t="b">
        <f t="shared" si="3"/>
        <v>0</v>
      </c>
    </row>
    <row r="99" spans="6:7">
      <c r="F99" s="104" t="s">
        <v>509</v>
      </c>
      <c r="G99" t="b">
        <f t="shared" si="3"/>
        <v>0</v>
      </c>
    </row>
    <row r="100" spans="6:7">
      <c r="F100" s="104" t="s">
        <v>513</v>
      </c>
      <c r="G100" t="b">
        <f t="shared" si="3"/>
        <v>0</v>
      </c>
    </row>
    <row r="101" spans="6:7">
      <c r="F101" s="104" t="s">
        <v>510</v>
      </c>
      <c r="G101" t="b">
        <f t="shared" si="3"/>
        <v>0</v>
      </c>
    </row>
    <row r="102" spans="6:7">
      <c r="F102" s="104">
        <v>32690</v>
      </c>
      <c r="G102" t="b">
        <f t="shared" si="3"/>
        <v>0</v>
      </c>
    </row>
    <row r="103" spans="6:7">
      <c r="F103" s="104">
        <v>32690</v>
      </c>
      <c r="G103" t="b">
        <f t="shared" si="3"/>
        <v>1</v>
      </c>
    </row>
    <row r="104" spans="6:7">
      <c r="F104" s="127" t="s">
        <v>517</v>
      </c>
      <c r="G104" t="b">
        <f t="shared" si="3"/>
        <v>0</v>
      </c>
    </row>
    <row r="105" spans="6:7">
      <c r="F105" s="104" t="s">
        <v>525</v>
      </c>
      <c r="G105" t="b">
        <f t="shared" si="3"/>
        <v>0</v>
      </c>
    </row>
    <row r="106" spans="6:7">
      <c r="F106" s="104">
        <v>34644</v>
      </c>
      <c r="G106" t="b">
        <f t="shared" si="3"/>
        <v>0</v>
      </c>
    </row>
    <row r="107" spans="6:7">
      <c r="F107" s="104" t="s">
        <v>520</v>
      </c>
      <c r="G107" t="b">
        <f t="shared" si="3"/>
        <v>0</v>
      </c>
    </row>
    <row r="108" spans="6:7">
      <c r="F108" s="104" t="s">
        <v>519</v>
      </c>
      <c r="G108" t="b">
        <f t="shared" si="3"/>
        <v>0</v>
      </c>
    </row>
    <row r="109" spans="6:7">
      <c r="F109" s="104" t="s">
        <v>526</v>
      </c>
      <c r="G109" t="b">
        <f t="shared" si="3"/>
        <v>0</v>
      </c>
    </row>
    <row r="110" spans="6:7">
      <c r="F110" s="104" t="s">
        <v>527</v>
      </c>
      <c r="G110" t="b">
        <f t="shared" si="3"/>
        <v>0</v>
      </c>
    </row>
    <row r="111" spans="6:7">
      <c r="F111" s="104" t="s">
        <v>531</v>
      </c>
      <c r="G111" t="b">
        <f t="shared" si="3"/>
        <v>0</v>
      </c>
    </row>
    <row r="112" spans="6:7">
      <c r="F112" s="104" t="s">
        <v>533</v>
      </c>
      <c r="G112" t="b">
        <f t="shared" si="3"/>
        <v>0</v>
      </c>
    </row>
    <row r="113" spans="6:7">
      <c r="F113" s="104" t="s">
        <v>535</v>
      </c>
      <c r="G113" t="b">
        <f t="shared" si="3"/>
        <v>0</v>
      </c>
    </row>
    <row r="114" spans="6:7">
      <c r="F114" s="104" t="s">
        <v>537</v>
      </c>
      <c r="G114" t="b">
        <f t="shared" si="3"/>
        <v>0</v>
      </c>
    </row>
    <row r="115" spans="6:7">
      <c r="F115" s="75" t="s">
        <v>692</v>
      </c>
      <c r="G115" t="b">
        <f t="shared" si="3"/>
        <v>0</v>
      </c>
    </row>
    <row r="116" spans="6:7">
      <c r="F116" s="104" t="s">
        <v>539</v>
      </c>
      <c r="G116" t="b">
        <f t="shared" si="3"/>
        <v>0</v>
      </c>
    </row>
    <row r="117" spans="6:7">
      <c r="F117" s="104" t="s">
        <v>540</v>
      </c>
      <c r="G117" t="b">
        <f t="shared" si="3"/>
        <v>0</v>
      </c>
    </row>
    <row r="118" spans="6:7">
      <c r="F118" s="104" t="s">
        <v>541</v>
      </c>
      <c r="G118" t="b">
        <f t="shared" si="3"/>
        <v>0</v>
      </c>
    </row>
    <row r="119" spans="6:7">
      <c r="F119" s="104" t="s">
        <v>542</v>
      </c>
      <c r="G119" t="b">
        <f t="shared" si="3"/>
        <v>0</v>
      </c>
    </row>
    <row r="120" spans="6:7">
      <c r="F120" s="104" t="s">
        <v>543</v>
      </c>
      <c r="G120" t="b">
        <f t="shared" si="3"/>
        <v>0</v>
      </c>
    </row>
    <row r="121" spans="6:7">
      <c r="F121" s="104" t="s">
        <v>549</v>
      </c>
      <c r="G121" t="b">
        <f t="shared" si="3"/>
        <v>0</v>
      </c>
    </row>
    <row r="122" spans="6:7">
      <c r="F122" s="104" t="s">
        <v>550</v>
      </c>
      <c r="G122" t="b">
        <f t="shared" si="3"/>
        <v>0</v>
      </c>
    </row>
    <row r="123" spans="6:7">
      <c r="F123" s="104" t="s">
        <v>551</v>
      </c>
      <c r="G123" t="b">
        <f t="shared" si="3"/>
        <v>0</v>
      </c>
    </row>
    <row r="124" spans="6:7">
      <c r="F124" s="104" t="s">
        <v>552</v>
      </c>
      <c r="G124" t="b">
        <f t="shared" si="3"/>
        <v>0</v>
      </c>
    </row>
    <row r="125" spans="6:7">
      <c r="F125" s="104" t="s">
        <v>644</v>
      </c>
      <c r="G125" t="b">
        <f t="shared" si="3"/>
        <v>0</v>
      </c>
    </row>
    <row r="126" spans="6:7">
      <c r="F126" s="104" t="s">
        <v>557</v>
      </c>
      <c r="G126" t="b">
        <f t="shared" si="3"/>
        <v>0</v>
      </c>
    </row>
    <row r="127" spans="6:7">
      <c r="F127" s="104" t="s">
        <v>558</v>
      </c>
      <c r="G127" t="b">
        <f t="shared" si="3"/>
        <v>0</v>
      </c>
    </row>
    <row r="128" spans="6:7">
      <c r="F128" s="104" t="s">
        <v>567</v>
      </c>
      <c r="G128" t="b">
        <f t="shared" si="3"/>
        <v>0</v>
      </c>
    </row>
    <row r="129" spans="6:7">
      <c r="F129" s="104" t="s">
        <v>568</v>
      </c>
      <c r="G129" t="b">
        <f t="shared" si="3"/>
        <v>0</v>
      </c>
    </row>
    <row r="130" spans="6:7">
      <c r="F130" s="104" t="s">
        <v>569</v>
      </c>
      <c r="G130" t="b">
        <f t="shared" si="3"/>
        <v>0</v>
      </c>
    </row>
    <row r="131" spans="6:7">
      <c r="F131" s="104" t="s">
        <v>570</v>
      </c>
      <c r="G131" t="b">
        <f t="shared" si="3"/>
        <v>0</v>
      </c>
    </row>
    <row r="132" spans="6:7">
      <c r="F132" s="104" t="s">
        <v>571</v>
      </c>
      <c r="G132" t="b">
        <f t="shared" si="3"/>
        <v>0</v>
      </c>
    </row>
    <row r="133" spans="6:7">
      <c r="F133" s="104" t="s">
        <v>572</v>
      </c>
      <c r="G133" t="b">
        <f t="shared" si="3"/>
        <v>0</v>
      </c>
    </row>
    <row r="134" spans="6:7">
      <c r="F134" s="104" t="s">
        <v>573</v>
      </c>
      <c r="G134" t="b">
        <f t="shared" si="3"/>
        <v>0</v>
      </c>
    </row>
    <row r="135" spans="6:7">
      <c r="F135" s="104" t="s">
        <v>581</v>
      </c>
      <c r="G135" t="b">
        <f t="shared" si="3"/>
        <v>0</v>
      </c>
    </row>
    <row r="136" spans="6:7">
      <c r="F136" s="104" t="s">
        <v>582</v>
      </c>
      <c r="G136" t="b">
        <f t="shared" si="3"/>
        <v>0</v>
      </c>
    </row>
    <row r="137" spans="6:7">
      <c r="F137" s="104" t="s">
        <v>589</v>
      </c>
      <c r="G137" t="b">
        <f t="shared" si="3"/>
        <v>0</v>
      </c>
    </row>
    <row r="138" spans="6:7">
      <c r="F138" s="104" t="s">
        <v>585</v>
      </c>
      <c r="G138" t="b">
        <f t="shared" si="3"/>
        <v>0</v>
      </c>
    </row>
    <row r="139" spans="6:7">
      <c r="F139" s="104" t="s">
        <v>586</v>
      </c>
      <c r="G139" t="b">
        <f t="shared" si="3"/>
        <v>0</v>
      </c>
    </row>
    <row r="140" spans="6:7">
      <c r="F140" s="104" t="s">
        <v>591</v>
      </c>
      <c r="G140" t="b">
        <f t="shared" si="3"/>
        <v>0</v>
      </c>
    </row>
    <row r="141" spans="6:7">
      <c r="F141" s="104" t="s">
        <v>593</v>
      </c>
      <c r="G141" t="b">
        <f t="shared" si="3"/>
        <v>0</v>
      </c>
    </row>
    <row r="142" spans="6:7">
      <c r="F142" s="104" t="s">
        <v>594</v>
      </c>
      <c r="G142" t="b">
        <f t="shared" ref="G142:G164" si="4">F142=F141</f>
        <v>0</v>
      </c>
    </row>
    <row r="143" spans="6:7">
      <c r="F143" s="104" t="s">
        <v>601</v>
      </c>
      <c r="G143" t="b">
        <f t="shared" si="4"/>
        <v>0</v>
      </c>
    </row>
    <row r="144" spans="6:7">
      <c r="F144" s="104" t="s">
        <v>602</v>
      </c>
      <c r="G144" t="b">
        <f t="shared" si="4"/>
        <v>0</v>
      </c>
    </row>
    <row r="145" spans="6:7">
      <c r="F145" s="104" t="s">
        <v>603</v>
      </c>
      <c r="G145" t="b">
        <f t="shared" si="4"/>
        <v>0</v>
      </c>
    </row>
    <row r="146" spans="6:7">
      <c r="F146" s="104" t="s">
        <v>604</v>
      </c>
      <c r="G146" t="b">
        <f t="shared" si="4"/>
        <v>0</v>
      </c>
    </row>
    <row r="147" spans="6:7">
      <c r="F147" s="104" t="s">
        <v>605</v>
      </c>
      <c r="G147" t="b">
        <f t="shared" si="4"/>
        <v>0</v>
      </c>
    </row>
    <row r="148" spans="6:7">
      <c r="F148" s="104" t="s">
        <v>606</v>
      </c>
      <c r="G148" t="b">
        <f t="shared" si="4"/>
        <v>0</v>
      </c>
    </row>
    <row r="149" spans="6:7">
      <c r="F149" s="104" t="s">
        <v>607</v>
      </c>
      <c r="G149" t="b">
        <f t="shared" si="4"/>
        <v>0</v>
      </c>
    </row>
    <row r="150" spans="6:7">
      <c r="F150" s="104" t="s">
        <v>615</v>
      </c>
      <c r="G150" t="b">
        <f t="shared" si="4"/>
        <v>0</v>
      </c>
    </row>
    <row r="151" spans="6:7">
      <c r="F151" s="104" t="s">
        <v>616</v>
      </c>
      <c r="G151" t="b">
        <f t="shared" si="4"/>
        <v>0</v>
      </c>
    </row>
    <row r="152" spans="6:7">
      <c r="F152" s="104" t="s">
        <v>617</v>
      </c>
      <c r="G152" t="b">
        <f t="shared" si="4"/>
        <v>0</v>
      </c>
    </row>
    <row r="153" spans="6:7">
      <c r="F153" s="104" t="s">
        <v>618</v>
      </c>
      <c r="G153" t="b">
        <f t="shared" si="4"/>
        <v>0</v>
      </c>
    </row>
    <row r="154" spans="6:7">
      <c r="F154" s="104" t="s">
        <v>619</v>
      </c>
      <c r="G154" t="b">
        <f t="shared" si="4"/>
        <v>0</v>
      </c>
    </row>
    <row r="155" spans="6:7">
      <c r="F155" s="104" t="s">
        <v>625</v>
      </c>
      <c r="G155" t="b">
        <f t="shared" si="4"/>
        <v>0</v>
      </c>
    </row>
    <row r="156" spans="6:7">
      <c r="F156" s="127" t="s">
        <v>627</v>
      </c>
      <c r="G156" t="b">
        <f t="shared" si="4"/>
        <v>0</v>
      </c>
    </row>
    <row r="157" spans="6:7">
      <c r="F157" s="104" t="s">
        <v>629</v>
      </c>
      <c r="G157" t="b">
        <f t="shared" si="4"/>
        <v>0</v>
      </c>
    </row>
    <row r="158" spans="6:7">
      <c r="F158" s="104" t="s">
        <v>631</v>
      </c>
      <c r="G158" t="b">
        <f t="shared" si="4"/>
        <v>0</v>
      </c>
    </row>
    <row r="159" spans="6:7">
      <c r="F159" s="104" t="s">
        <v>632</v>
      </c>
      <c r="G159" t="b">
        <f t="shared" si="4"/>
        <v>0</v>
      </c>
    </row>
    <row r="160" spans="6:7">
      <c r="F160" s="104" t="s">
        <v>635</v>
      </c>
      <c r="G160" t="b">
        <f t="shared" si="4"/>
        <v>0</v>
      </c>
    </row>
    <row r="161" spans="6:7">
      <c r="F161" s="104" t="s">
        <v>637</v>
      </c>
      <c r="G161" t="b">
        <f t="shared" si="4"/>
        <v>0</v>
      </c>
    </row>
    <row r="162" spans="6:7">
      <c r="F162" s="104" t="s">
        <v>638</v>
      </c>
      <c r="G162" t="b">
        <f t="shared" si="4"/>
        <v>0</v>
      </c>
    </row>
    <row r="163" spans="6:7">
      <c r="F163" s="104" t="s">
        <v>639</v>
      </c>
      <c r="G163" t="b">
        <f t="shared" si="4"/>
        <v>0</v>
      </c>
    </row>
    <row r="164" spans="6:7">
      <c r="F164" s="104" t="s">
        <v>643</v>
      </c>
      <c r="G164" t="b">
        <f t="shared" si="4"/>
        <v>0</v>
      </c>
    </row>
    <row r="165" spans="6:7">
      <c r="F165" s="104" t="s">
        <v>647</v>
      </c>
      <c r="G165" t="b">
        <f>F165=F164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6F1B-59E2-4CCC-9274-E1475734306F}">
  <dimension ref="A1:L150"/>
  <sheetViews>
    <sheetView topLeftCell="A134" workbookViewId="0">
      <selection activeCell="C2" sqref="C2:C150"/>
    </sheetView>
  </sheetViews>
  <sheetFormatPr defaultRowHeight="14.5"/>
  <cols>
    <col min="1" max="1" width="23.26953125" customWidth="1"/>
    <col min="2" max="2" width="24.1796875" customWidth="1"/>
    <col min="4" max="4" width="20.36328125" customWidth="1"/>
  </cols>
  <sheetData>
    <row r="1" spans="1:7">
      <c r="A1" t="s">
        <v>886</v>
      </c>
      <c r="B1" t="s">
        <v>884</v>
      </c>
    </row>
    <row r="2" spans="1:7">
      <c r="A2" t="s">
        <v>693</v>
      </c>
      <c r="B2" t="s">
        <v>693</v>
      </c>
      <c r="C2" t="s">
        <v>30</v>
      </c>
      <c r="D2" s="61" t="s">
        <v>696</v>
      </c>
      <c r="E2" s="57"/>
      <c r="F2" t="str">
        <f>RIGHT(B2,5)</f>
        <v>21111</v>
      </c>
      <c r="G2" t="b">
        <f>F2=C2</f>
        <v>1</v>
      </c>
    </row>
    <row r="3" spans="1:7">
      <c r="A3" t="s">
        <v>695</v>
      </c>
      <c r="B3" t="s">
        <v>695</v>
      </c>
      <c r="C3" t="s">
        <v>40</v>
      </c>
      <c r="F3" t="str">
        <f t="shared" ref="F3:F64" si="0">RIGHT(B3,5)</f>
        <v>21113</v>
      </c>
      <c r="G3" t="b">
        <f>F3=C3</f>
        <v>1</v>
      </c>
    </row>
    <row r="4" spans="1:7">
      <c r="A4" s="61" t="s">
        <v>696</v>
      </c>
      <c r="B4" s="61" t="s">
        <v>696</v>
      </c>
      <c r="C4" t="s">
        <v>658</v>
      </c>
      <c r="F4" t="str">
        <f t="shared" si="0"/>
        <v>21119</v>
      </c>
      <c r="G4" t="b">
        <f t="shared" ref="G4:G64" si="1">F4=C4</f>
        <v>1</v>
      </c>
    </row>
    <row r="5" spans="1:7">
      <c r="A5" t="s">
        <v>697</v>
      </c>
      <c r="B5" t="s">
        <v>697</v>
      </c>
      <c r="C5" t="s">
        <v>52</v>
      </c>
      <c r="F5" t="str">
        <f t="shared" si="0"/>
        <v>21121</v>
      </c>
      <c r="G5" t="b">
        <f t="shared" si="1"/>
        <v>1</v>
      </c>
    </row>
    <row r="6" spans="1:7">
      <c r="A6" t="s">
        <v>698</v>
      </c>
      <c r="B6" t="s">
        <v>698</v>
      </c>
      <c r="C6" t="s">
        <v>59</v>
      </c>
      <c r="D6" t="s">
        <v>887</v>
      </c>
      <c r="E6" t="s">
        <v>912</v>
      </c>
      <c r="F6" t="str">
        <f t="shared" si="0"/>
        <v>21174</v>
      </c>
      <c r="G6" t="b">
        <f t="shared" si="1"/>
        <v>1</v>
      </c>
    </row>
    <row r="7" spans="1:7">
      <c r="A7" t="s">
        <v>703</v>
      </c>
      <c r="B7" t="s">
        <v>703</v>
      </c>
      <c r="C7" s="134" t="s">
        <v>928</v>
      </c>
      <c r="D7" t="s">
        <v>888</v>
      </c>
      <c r="E7" t="s">
        <v>912</v>
      </c>
      <c r="F7" t="str">
        <f t="shared" si="0"/>
        <v>21311</v>
      </c>
      <c r="G7" t="b">
        <f t="shared" si="1"/>
        <v>1</v>
      </c>
    </row>
    <row r="8" spans="1:7">
      <c r="A8" t="s">
        <v>704</v>
      </c>
      <c r="B8" t="s">
        <v>704</v>
      </c>
      <c r="C8" s="134" t="s">
        <v>929</v>
      </c>
      <c r="F8" t="str">
        <f t="shared" si="0"/>
        <v>21395</v>
      </c>
      <c r="G8" t="b">
        <f t="shared" si="1"/>
        <v>1</v>
      </c>
    </row>
    <row r="9" spans="1:7">
      <c r="A9" t="s">
        <v>705</v>
      </c>
      <c r="B9" t="s">
        <v>705</v>
      </c>
      <c r="C9" s="134" t="s">
        <v>930</v>
      </c>
      <c r="F9" t="str">
        <f t="shared" si="0"/>
        <v>21399</v>
      </c>
      <c r="G9" t="b">
        <f t="shared" si="1"/>
        <v>1</v>
      </c>
    </row>
    <row r="10" spans="1:7">
      <c r="A10" t="s">
        <v>700</v>
      </c>
      <c r="B10" t="s">
        <v>700</v>
      </c>
      <c r="C10" t="s">
        <v>346</v>
      </c>
      <c r="F10" t="str">
        <f t="shared" si="0"/>
        <v>21431</v>
      </c>
      <c r="G10" t="b">
        <f t="shared" si="1"/>
        <v>1</v>
      </c>
    </row>
    <row r="11" spans="1:7">
      <c r="A11" t="s">
        <v>701</v>
      </c>
      <c r="B11" t="s">
        <v>701</v>
      </c>
      <c r="C11" t="s">
        <v>347</v>
      </c>
      <c r="F11" t="str">
        <f t="shared" si="0"/>
        <v>21435</v>
      </c>
      <c r="G11" t="b">
        <f t="shared" si="1"/>
        <v>1</v>
      </c>
    </row>
    <row r="12" spans="1:7">
      <c r="A12" t="s">
        <v>702</v>
      </c>
      <c r="B12" t="s">
        <v>702</v>
      </c>
      <c r="C12" t="s">
        <v>348</v>
      </c>
      <c r="F12" t="str">
        <f t="shared" si="0"/>
        <v>21439</v>
      </c>
      <c r="G12" t="b">
        <f t="shared" si="1"/>
        <v>1</v>
      </c>
    </row>
    <row r="13" spans="1:7">
      <c r="A13" t="s">
        <v>924</v>
      </c>
      <c r="B13" t="s">
        <v>706</v>
      </c>
      <c r="C13" t="s">
        <v>334</v>
      </c>
      <c r="F13" t="str">
        <f t="shared" si="0"/>
        <v>21491</v>
      </c>
      <c r="G13" t="b">
        <f t="shared" si="1"/>
        <v>1</v>
      </c>
    </row>
    <row r="14" spans="1:7">
      <c r="A14" t="s">
        <v>707</v>
      </c>
      <c r="B14" t="s">
        <v>707</v>
      </c>
      <c r="C14" t="s">
        <v>338</v>
      </c>
      <c r="F14" t="str">
        <f t="shared" si="0"/>
        <v>21492</v>
      </c>
      <c r="G14" t="b">
        <f t="shared" si="1"/>
        <v>1</v>
      </c>
    </row>
    <row r="15" spans="1:7">
      <c r="A15" t="s">
        <v>708</v>
      </c>
      <c r="B15" t="s">
        <v>708</v>
      </c>
      <c r="C15" t="s">
        <v>336</v>
      </c>
      <c r="F15" t="str">
        <f t="shared" si="0"/>
        <v>21493</v>
      </c>
      <c r="G15" t="b">
        <f t="shared" si="1"/>
        <v>1</v>
      </c>
    </row>
    <row r="16" spans="1:7">
      <c r="A16" t="s">
        <v>709</v>
      </c>
      <c r="B16" t="s">
        <v>709</v>
      </c>
      <c r="C16" t="s">
        <v>340</v>
      </c>
      <c r="F16" t="str">
        <f t="shared" si="0"/>
        <v>21494</v>
      </c>
      <c r="G16" t="b">
        <f t="shared" si="1"/>
        <v>1</v>
      </c>
    </row>
    <row r="17" spans="1:10">
      <c r="A17" t="s">
        <v>710</v>
      </c>
      <c r="B17" t="s">
        <v>710</v>
      </c>
      <c r="C17" t="s">
        <v>342</v>
      </c>
      <c r="F17" t="str">
        <f t="shared" si="0"/>
        <v>21495</v>
      </c>
      <c r="G17" t="b">
        <f t="shared" si="1"/>
        <v>1</v>
      </c>
    </row>
    <row r="18" spans="1:10">
      <c r="A18" t="s">
        <v>711</v>
      </c>
      <c r="B18" t="s">
        <v>711</v>
      </c>
      <c r="C18" t="s">
        <v>344</v>
      </c>
      <c r="F18" t="str">
        <f t="shared" si="0"/>
        <v>21499</v>
      </c>
      <c r="G18" t="b">
        <f t="shared" si="1"/>
        <v>1</v>
      </c>
    </row>
    <row r="19" spans="1:10">
      <c r="A19" t="s">
        <v>714</v>
      </c>
      <c r="B19" t="s">
        <v>714</v>
      </c>
      <c r="C19" t="s">
        <v>356</v>
      </c>
      <c r="F19" t="str">
        <f t="shared" si="0"/>
        <v>21535</v>
      </c>
      <c r="G19" t="b">
        <f t="shared" si="1"/>
        <v>1</v>
      </c>
    </row>
    <row r="20" spans="1:10">
      <c r="A20" t="s">
        <v>715</v>
      </c>
      <c r="B20" t="s">
        <v>715</v>
      </c>
      <c r="C20" t="s">
        <v>357</v>
      </c>
      <c r="F20" t="str">
        <f t="shared" si="0"/>
        <v>21539</v>
      </c>
      <c r="G20" t="b">
        <f t="shared" si="1"/>
        <v>1</v>
      </c>
    </row>
    <row r="21" spans="1:10">
      <c r="A21" t="s">
        <v>716</v>
      </c>
      <c r="B21" t="s">
        <v>716</v>
      </c>
      <c r="C21" t="s">
        <v>358</v>
      </c>
      <c r="F21" t="str">
        <f t="shared" si="0"/>
        <v>21545</v>
      </c>
      <c r="G21" t="b">
        <f t="shared" si="1"/>
        <v>1</v>
      </c>
    </row>
    <row r="22" spans="1:10">
      <c r="A22" t="s">
        <v>890</v>
      </c>
      <c r="B22" t="s">
        <v>717</v>
      </c>
      <c r="C22" t="s">
        <v>359</v>
      </c>
      <c r="F22" t="str">
        <f t="shared" si="0"/>
        <v>21549</v>
      </c>
      <c r="G22" t="b">
        <f t="shared" si="1"/>
        <v>1</v>
      </c>
    </row>
    <row r="23" spans="1:10">
      <c r="A23" t="s">
        <v>724</v>
      </c>
      <c r="B23" t="s">
        <v>724</v>
      </c>
      <c r="C23" t="s">
        <v>364</v>
      </c>
      <c r="F23" t="str">
        <f t="shared" si="0"/>
        <v>22110</v>
      </c>
      <c r="G23" t="b">
        <f t="shared" si="1"/>
        <v>1</v>
      </c>
    </row>
    <row r="24" spans="1:10">
      <c r="A24" t="s">
        <v>725</v>
      </c>
      <c r="B24" t="s">
        <v>725</v>
      </c>
      <c r="C24" t="s">
        <v>365</v>
      </c>
      <c r="F24" t="str">
        <f t="shared" si="0"/>
        <v>22120</v>
      </c>
      <c r="G24" t="b">
        <f t="shared" si="1"/>
        <v>1</v>
      </c>
      <c r="I24" t="s">
        <v>889</v>
      </c>
    </row>
    <row r="25" spans="1:10">
      <c r="A25" t="s">
        <v>720</v>
      </c>
      <c r="B25" t="s">
        <v>720</v>
      </c>
      <c r="C25" t="s">
        <v>369</v>
      </c>
      <c r="F25" t="str">
        <f t="shared" si="0"/>
        <v>22251</v>
      </c>
      <c r="G25" t="b">
        <f t="shared" si="1"/>
        <v>1</v>
      </c>
    </row>
    <row r="26" spans="1:10">
      <c r="A26" t="s">
        <v>721</v>
      </c>
      <c r="B26" t="s">
        <v>721</v>
      </c>
      <c r="C26" t="s">
        <v>385</v>
      </c>
      <c r="F26" t="str">
        <f t="shared" si="0"/>
        <v>22260</v>
      </c>
      <c r="G26" t="b">
        <f t="shared" si="1"/>
        <v>1</v>
      </c>
    </row>
    <row r="27" spans="1:10">
      <c r="A27" t="s">
        <v>722</v>
      </c>
      <c r="B27" t="s">
        <v>722</v>
      </c>
      <c r="C27" t="s">
        <v>370</v>
      </c>
      <c r="F27" t="str">
        <f t="shared" si="0"/>
        <v>22270</v>
      </c>
      <c r="G27" t="b">
        <f t="shared" si="1"/>
        <v>1</v>
      </c>
      <c r="J27" s="104" t="s">
        <v>376</v>
      </c>
    </row>
    <row r="28" spans="1:10">
      <c r="A28" t="s">
        <v>723</v>
      </c>
      <c r="B28" t="s">
        <v>723</v>
      </c>
      <c r="C28" t="s">
        <v>371</v>
      </c>
      <c r="F28" t="str">
        <f t="shared" si="0"/>
        <v>22290</v>
      </c>
      <c r="G28" t="b">
        <f t="shared" si="1"/>
        <v>1</v>
      </c>
    </row>
    <row r="29" spans="1:10">
      <c r="A29" s="57" t="s">
        <v>727</v>
      </c>
      <c r="B29" s="57" t="s">
        <v>727</v>
      </c>
      <c r="C29" s="104" t="s">
        <v>376</v>
      </c>
      <c r="F29" t="str">
        <f t="shared" si="0"/>
        <v>23110</v>
      </c>
      <c r="G29" t="b">
        <f t="shared" si="1"/>
        <v>1</v>
      </c>
    </row>
    <row r="30" spans="1:10">
      <c r="A30" t="s">
        <v>730</v>
      </c>
      <c r="B30" t="s">
        <v>730</v>
      </c>
      <c r="C30" t="s">
        <v>377</v>
      </c>
      <c r="F30" t="str">
        <f t="shared" si="0"/>
        <v>23130</v>
      </c>
      <c r="G30" t="b">
        <f t="shared" si="1"/>
        <v>1</v>
      </c>
    </row>
    <row r="31" spans="1:10">
      <c r="A31" t="s">
        <v>891</v>
      </c>
      <c r="B31" t="s">
        <v>891</v>
      </c>
      <c r="C31" s="132" t="s">
        <v>684</v>
      </c>
      <c r="D31" t="s">
        <v>719</v>
      </c>
      <c r="E31" t="s">
        <v>923</v>
      </c>
      <c r="F31" t="str">
        <f>RIGHT(B31,6)</f>
        <v>23140A</v>
      </c>
      <c r="G31" t="b">
        <f t="shared" si="1"/>
        <v>1</v>
      </c>
    </row>
    <row r="32" spans="1:10">
      <c r="A32" t="s">
        <v>892</v>
      </c>
      <c r="B32" t="s">
        <v>892</v>
      </c>
      <c r="C32" s="132" t="s">
        <v>685</v>
      </c>
      <c r="D32" t="s">
        <v>893</v>
      </c>
      <c r="E32" t="s">
        <v>923</v>
      </c>
      <c r="F32" t="str">
        <f>RIGHT(B32,6)</f>
        <v>23140B</v>
      </c>
      <c r="G32" t="b">
        <f t="shared" si="1"/>
        <v>1</v>
      </c>
    </row>
    <row r="33" spans="1:12">
      <c r="A33" t="s">
        <v>728</v>
      </c>
      <c r="B33" t="s">
        <v>728</v>
      </c>
      <c r="C33" t="s">
        <v>383</v>
      </c>
      <c r="D33" t="s">
        <v>897</v>
      </c>
      <c r="E33" t="s">
        <v>923</v>
      </c>
      <c r="F33" t="str">
        <f t="shared" si="0"/>
        <v>23161</v>
      </c>
      <c r="G33" t="b">
        <f t="shared" si="1"/>
        <v>1</v>
      </c>
    </row>
    <row r="34" spans="1:12">
      <c r="A34" t="s">
        <v>734</v>
      </c>
      <c r="B34" t="s">
        <v>734</v>
      </c>
      <c r="C34" t="s">
        <v>405</v>
      </c>
      <c r="D34" t="s">
        <v>749</v>
      </c>
      <c r="E34" t="s">
        <v>923</v>
      </c>
      <c r="F34" t="str">
        <f t="shared" si="0"/>
        <v>23420</v>
      </c>
      <c r="G34" t="b">
        <f t="shared" si="1"/>
        <v>1</v>
      </c>
    </row>
    <row r="35" spans="1:12">
      <c r="A35" t="s">
        <v>735</v>
      </c>
      <c r="B35" t="s">
        <v>735</v>
      </c>
      <c r="C35" t="s">
        <v>406</v>
      </c>
      <c r="D35" t="s">
        <v>898</v>
      </c>
      <c r="E35" t="s">
        <v>923</v>
      </c>
      <c r="F35" t="str">
        <f t="shared" si="0"/>
        <v>23430</v>
      </c>
      <c r="G35" t="b">
        <f t="shared" si="1"/>
        <v>1</v>
      </c>
    </row>
    <row r="36" spans="1:12">
      <c r="A36" t="s">
        <v>894</v>
      </c>
      <c r="B36" t="s">
        <v>894</v>
      </c>
      <c r="C36" t="s">
        <v>682</v>
      </c>
      <c r="D36" t="s">
        <v>770</v>
      </c>
      <c r="E36" t="s">
        <v>923</v>
      </c>
      <c r="F36" t="str">
        <f t="shared" ref="F36:F37" si="2">RIGHT(B36,6)</f>
        <v>23490A</v>
      </c>
      <c r="G36" t="b">
        <f t="shared" si="1"/>
        <v>1</v>
      </c>
    </row>
    <row r="37" spans="1:12">
      <c r="A37" t="s">
        <v>895</v>
      </c>
      <c r="B37" t="s">
        <v>895</v>
      </c>
      <c r="C37" t="s">
        <v>683</v>
      </c>
      <c r="D37" t="s">
        <v>786</v>
      </c>
      <c r="E37" t="s">
        <v>923</v>
      </c>
      <c r="F37" t="str">
        <f t="shared" si="2"/>
        <v>23490B</v>
      </c>
      <c r="G37" t="b">
        <f t="shared" si="1"/>
        <v>1</v>
      </c>
    </row>
    <row r="38" spans="1:12">
      <c r="A38" t="s">
        <v>737</v>
      </c>
      <c r="B38" t="s">
        <v>737</v>
      </c>
      <c r="C38" t="s">
        <v>421</v>
      </c>
      <c r="D38" t="s">
        <v>823</v>
      </c>
      <c r="E38" t="s">
        <v>923</v>
      </c>
      <c r="F38" t="str">
        <f t="shared" si="0"/>
        <v>23511</v>
      </c>
      <c r="G38" t="b">
        <f t="shared" si="1"/>
        <v>1</v>
      </c>
    </row>
    <row r="39" spans="1:12">
      <c r="A39" t="s">
        <v>738</v>
      </c>
      <c r="B39" t="s">
        <v>738</v>
      </c>
      <c r="C39" t="s">
        <v>422</v>
      </c>
      <c r="D39" s="57" t="s">
        <v>909</v>
      </c>
      <c r="E39" t="s">
        <v>923</v>
      </c>
      <c r="F39" t="str">
        <f t="shared" si="0"/>
        <v>23520</v>
      </c>
      <c r="G39" t="b">
        <f t="shared" si="1"/>
        <v>1</v>
      </c>
    </row>
    <row r="40" spans="1:12">
      <c r="A40" t="s">
        <v>740</v>
      </c>
      <c r="B40" t="s">
        <v>740</v>
      </c>
      <c r="C40" t="s">
        <v>425</v>
      </c>
      <c r="D40" s="57" t="s">
        <v>910</v>
      </c>
      <c r="E40" t="s">
        <v>923</v>
      </c>
      <c r="F40" t="str">
        <f t="shared" si="0"/>
        <v>23650</v>
      </c>
      <c r="G40" t="b">
        <f t="shared" si="1"/>
        <v>1</v>
      </c>
    </row>
    <row r="41" spans="1:12">
      <c r="A41" t="s">
        <v>741</v>
      </c>
      <c r="B41" t="s">
        <v>741</v>
      </c>
      <c r="C41" t="s">
        <v>426</v>
      </c>
      <c r="D41" s="57" t="s">
        <v>911</v>
      </c>
      <c r="E41" t="s">
        <v>923</v>
      </c>
      <c r="F41" t="str">
        <f t="shared" si="0"/>
        <v>23660</v>
      </c>
      <c r="G41" t="b">
        <f t="shared" si="1"/>
        <v>1</v>
      </c>
    </row>
    <row r="42" spans="1:12">
      <c r="A42" t="s">
        <v>742</v>
      </c>
      <c r="B42" t="s">
        <v>742</v>
      </c>
      <c r="C42" t="s">
        <v>427</v>
      </c>
      <c r="D42" s="57" t="s">
        <v>840</v>
      </c>
      <c r="E42" t="s">
        <v>923</v>
      </c>
      <c r="F42" t="str">
        <f t="shared" si="0"/>
        <v>23670</v>
      </c>
      <c r="G42" t="b">
        <f t="shared" si="1"/>
        <v>1</v>
      </c>
    </row>
    <row r="43" spans="1:12">
      <c r="A43" t="s">
        <v>744</v>
      </c>
      <c r="B43" t="s">
        <v>744</v>
      </c>
      <c r="C43" t="s">
        <v>431</v>
      </c>
      <c r="D43" t="s">
        <v>843</v>
      </c>
      <c r="E43" t="s">
        <v>923</v>
      </c>
      <c r="F43" t="str">
        <f t="shared" si="0"/>
        <v>23710</v>
      </c>
      <c r="G43" t="b">
        <f t="shared" si="1"/>
        <v>1</v>
      </c>
      <c r="L43" t="s">
        <v>896</v>
      </c>
    </row>
    <row r="44" spans="1:12">
      <c r="A44" t="s">
        <v>746</v>
      </c>
      <c r="B44" t="s">
        <v>746</v>
      </c>
      <c r="C44" t="s">
        <v>387</v>
      </c>
      <c r="F44" t="str">
        <f t="shared" si="0"/>
        <v>23911</v>
      </c>
      <c r="G44" t="b">
        <f t="shared" si="1"/>
        <v>1</v>
      </c>
    </row>
    <row r="45" spans="1:12">
      <c r="A45" t="s">
        <v>747</v>
      </c>
      <c r="B45" t="s">
        <v>747</v>
      </c>
      <c r="C45" t="s">
        <v>388</v>
      </c>
      <c r="F45" t="str">
        <f t="shared" si="0"/>
        <v>23912</v>
      </c>
      <c r="G45" t="b">
        <f t="shared" si="1"/>
        <v>1</v>
      </c>
    </row>
    <row r="46" spans="1:12">
      <c r="A46" t="s">
        <v>748</v>
      </c>
      <c r="B46" t="s">
        <v>748</v>
      </c>
      <c r="C46" t="s">
        <v>389</v>
      </c>
      <c r="F46" t="str">
        <f t="shared" si="0"/>
        <v>23921</v>
      </c>
      <c r="G46" t="b">
        <f t="shared" si="1"/>
        <v>1</v>
      </c>
    </row>
    <row r="47" spans="1:12">
      <c r="A47" t="s">
        <v>750</v>
      </c>
      <c r="B47" t="s">
        <v>750</v>
      </c>
      <c r="C47" t="s">
        <v>391</v>
      </c>
      <c r="F47" t="str">
        <f t="shared" si="0"/>
        <v>23992</v>
      </c>
      <c r="G47" t="b">
        <f t="shared" si="1"/>
        <v>1</v>
      </c>
    </row>
    <row r="48" spans="1:12">
      <c r="A48" t="s">
        <v>751</v>
      </c>
      <c r="B48" t="s">
        <v>751</v>
      </c>
      <c r="C48" t="s">
        <v>392</v>
      </c>
      <c r="F48" t="str">
        <f t="shared" si="0"/>
        <v>23995</v>
      </c>
      <c r="G48" t="b">
        <f t="shared" si="1"/>
        <v>1</v>
      </c>
    </row>
    <row r="49" spans="1:7">
      <c r="A49" t="s">
        <v>752</v>
      </c>
      <c r="B49" t="s">
        <v>752</v>
      </c>
      <c r="C49" t="s">
        <v>393</v>
      </c>
      <c r="F49" t="str">
        <f t="shared" si="0"/>
        <v>23996</v>
      </c>
      <c r="G49" t="b">
        <f t="shared" si="1"/>
        <v>1</v>
      </c>
    </row>
    <row r="50" spans="1:7">
      <c r="A50" t="s">
        <v>753</v>
      </c>
      <c r="B50" t="s">
        <v>753</v>
      </c>
      <c r="C50" t="s">
        <v>433</v>
      </c>
      <c r="F50" t="str">
        <f t="shared" si="0"/>
        <v>23999</v>
      </c>
      <c r="G50" t="b">
        <f t="shared" si="1"/>
        <v>1</v>
      </c>
    </row>
    <row r="51" spans="1:7">
      <c r="A51" t="s">
        <v>755</v>
      </c>
      <c r="B51" t="s">
        <v>755</v>
      </c>
      <c r="C51" t="s">
        <v>435</v>
      </c>
      <c r="F51" t="str">
        <f t="shared" si="0"/>
        <v>23311</v>
      </c>
      <c r="G51" t="b">
        <f t="shared" si="1"/>
        <v>1</v>
      </c>
    </row>
    <row r="52" spans="1:7">
      <c r="A52" t="s">
        <v>756</v>
      </c>
      <c r="B52" t="s">
        <v>756</v>
      </c>
      <c r="C52" t="s">
        <v>436</v>
      </c>
      <c r="F52" t="str">
        <f t="shared" si="0"/>
        <v>23319</v>
      </c>
      <c r="G52" t="b">
        <f t="shared" si="1"/>
        <v>1</v>
      </c>
    </row>
    <row r="53" spans="1:7">
      <c r="A53" t="s">
        <v>758</v>
      </c>
      <c r="B53" t="s">
        <v>758</v>
      </c>
      <c r="C53" t="s">
        <v>443</v>
      </c>
      <c r="F53" t="str">
        <f t="shared" si="0"/>
        <v>24310</v>
      </c>
      <c r="G53" t="b">
        <f t="shared" si="1"/>
        <v>1</v>
      </c>
    </row>
    <row r="54" spans="1:7">
      <c r="A54" t="s">
        <v>899</v>
      </c>
      <c r="B54" t="s">
        <v>899</v>
      </c>
      <c r="C54" t="s">
        <v>354</v>
      </c>
      <c r="F54" t="str">
        <f t="shared" si="0"/>
        <v>24410</v>
      </c>
      <c r="G54" t="b">
        <f t="shared" si="1"/>
        <v>1</v>
      </c>
    </row>
    <row r="55" spans="1:7">
      <c r="A55" t="s">
        <v>760</v>
      </c>
      <c r="B55" t="s">
        <v>916</v>
      </c>
      <c r="C55" t="s">
        <v>915</v>
      </c>
      <c r="F55" t="str">
        <f>RIGHT(B55,6)</f>
        <v>24490A</v>
      </c>
      <c r="G55" t="b">
        <f t="shared" si="1"/>
        <v>1</v>
      </c>
    </row>
    <row r="56" spans="1:7">
      <c r="A56" t="s">
        <v>760</v>
      </c>
      <c r="B56" t="s">
        <v>921</v>
      </c>
      <c r="C56" t="s">
        <v>917</v>
      </c>
      <c r="F56" t="str">
        <f t="shared" ref="F56:F57" si="3">RIGHT(B56,6)</f>
        <v>24490B</v>
      </c>
      <c r="G56" t="b">
        <f t="shared" si="1"/>
        <v>1</v>
      </c>
    </row>
    <row r="57" spans="1:7">
      <c r="A57" t="s">
        <v>760</v>
      </c>
      <c r="B57" t="s">
        <v>922</v>
      </c>
      <c r="C57" t="s">
        <v>918</v>
      </c>
      <c r="D57" t="s">
        <v>914</v>
      </c>
      <c r="F57" t="str">
        <f t="shared" si="3"/>
        <v>24490C</v>
      </c>
      <c r="G57" t="b">
        <f t="shared" si="1"/>
        <v>1</v>
      </c>
    </row>
    <row r="58" spans="1:7">
      <c r="A58" t="s">
        <v>762</v>
      </c>
      <c r="B58" t="s">
        <v>762</v>
      </c>
      <c r="C58" t="s">
        <v>445</v>
      </c>
      <c r="D58" t="s">
        <v>913</v>
      </c>
      <c r="F58" t="str">
        <f t="shared" si="0"/>
        <v>26360</v>
      </c>
      <c r="G58" t="b">
        <f t="shared" si="1"/>
        <v>1</v>
      </c>
    </row>
    <row r="59" spans="1:7">
      <c r="A59" t="s">
        <v>763</v>
      </c>
      <c r="B59" t="s">
        <v>763</v>
      </c>
      <c r="C59" t="s">
        <v>447</v>
      </c>
      <c r="D59" t="s">
        <v>927</v>
      </c>
      <c r="F59" t="str">
        <f t="shared" si="0"/>
        <v>26420</v>
      </c>
      <c r="G59" t="b">
        <f t="shared" si="1"/>
        <v>1</v>
      </c>
    </row>
    <row r="60" spans="1:7">
      <c r="A60" t="s">
        <v>900</v>
      </c>
      <c r="B60" t="s">
        <v>900</v>
      </c>
      <c r="C60" t="s">
        <v>449</v>
      </c>
      <c r="F60" t="str">
        <f t="shared" si="0"/>
        <v>26610</v>
      </c>
      <c r="G60" t="b">
        <f t="shared" si="1"/>
        <v>1</v>
      </c>
    </row>
    <row r="61" spans="1:7">
      <c r="A61" t="s">
        <v>901</v>
      </c>
      <c r="B61" t="s">
        <v>901</v>
      </c>
      <c r="C61" t="s">
        <v>450</v>
      </c>
      <c r="F61" t="str">
        <f t="shared" si="0"/>
        <v>26690</v>
      </c>
      <c r="G61" t="b">
        <f t="shared" si="1"/>
        <v>1</v>
      </c>
    </row>
    <row r="62" spans="1:7">
      <c r="A62" t="s">
        <v>902</v>
      </c>
      <c r="B62" t="s">
        <v>902</v>
      </c>
      <c r="C62" t="s">
        <v>451</v>
      </c>
      <c r="F62" t="str">
        <f t="shared" si="0"/>
        <v>26720</v>
      </c>
      <c r="G62" t="b">
        <f t="shared" si="1"/>
        <v>1</v>
      </c>
    </row>
    <row r="63" spans="1:7">
      <c r="A63" t="s">
        <v>903</v>
      </c>
      <c r="B63" t="s">
        <v>903</v>
      </c>
      <c r="C63" t="s">
        <v>452</v>
      </c>
      <c r="F63" t="str">
        <f t="shared" si="0"/>
        <v>26730</v>
      </c>
      <c r="G63" t="b">
        <f t="shared" si="1"/>
        <v>1</v>
      </c>
    </row>
    <row r="64" spans="1:7">
      <c r="A64" t="s">
        <v>904</v>
      </c>
      <c r="B64" t="s">
        <v>904</v>
      </c>
      <c r="C64" s="132" t="s">
        <v>931</v>
      </c>
      <c r="F64" t="str">
        <f t="shared" si="0"/>
        <v>27120</v>
      </c>
      <c r="G64" t="b">
        <f t="shared" si="1"/>
        <v>1</v>
      </c>
    </row>
    <row r="65" spans="1:7">
      <c r="A65" t="s">
        <v>905</v>
      </c>
      <c r="B65" t="s">
        <v>905</v>
      </c>
      <c r="C65" s="132" t="s">
        <v>932</v>
      </c>
      <c r="F65" t="str">
        <f t="shared" ref="F65:F128" si="4">RIGHT(B65,5)</f>
        <v>27180</v>
      </c>
      <c r="G65" t="b">
        <f t="shared" ref="G65:G128" si="5">F65=C65</f>
        <v>1</v>
      </c>
    </row>
    <row r="66" spans="1:7">
      <c r="A66" t="s">
        <v>906</v>
      </c>
      <c r="B66" t="s">
        <v>906</v>
      </c>
      <c r="C66" s="132" t="s">
        <v>933</v>
      </c>
      <c r="F66" t="str">
        <f t="shared" si="4"/>
        <v>27190</v>
      </c>
      <c r="G66" t="b">
        <f t="shared" si="5"/>
        <v>1</v>
      </c>
    </row>
    <row r="67" spans="1:7">
      <c r="A67" t="s">
        <v>907</v>
      </c>
      <c r="B67" t="s">
        <v>907</v>
      </c>
      <c r="C67" s="132" t="s">
        <v>934</v>
      </c>
      <c r="F67" t="str">
        <f t="shared" si="4"/>
        <v>27911</v>
      </c>
      <c r="G67" t="b">
        <f t="shared" si="5"/>
        <v>1</v>
      </c>
    </row>
    <row r="68" spans="1:7">
      <c r="A68" t="s">
        <v>775</v>
      </c>
      <c r="B68" t="s">
        <v>775</v>
      </c>
      <c r="C68" t="s">
        <v>462</v>
      </c>
      <c r="F68" t="str">
        <f t="shared" si="4"/>
        <v>28221</v>
      </c>
      <c r="G68" t="b">
        <f t="shared" si="5"/>
        <v>1</v>
      </c>
    </row>
    <row r="69" spans="1:7">
      <c r="A69" t="s">
        <v>776</v>
      </c>
      <c r="B69" t="s">
        <v>776</v>
      </c>
      <c r="C69" t="s">
        <v>463</v>
      </c>
      <c r="F69" t="str">
        <f t="shared" si="4"/>
        <v>28222</v>
      </c>
      <c r="G69" t="b">
        <f t="shared" si="5"/>
        <v>1</v>
      </c>
    </row>
    <row r="70" spans="1:7">
      <c r="A70" s="57" t="s">
        <v>777</v>
      </c>
      <c r="B70" t="s">
        <v>777</v>
      </c>
      <c r="C70" t="s">
        <v>464</v>
      </c>
      <c r="F70" t="str">
        <f t="shared" si="4"/>
        <v>28224</v>
      </c>
      <c r="G70" t="b">
        <f t="shared" si="5"/>
        <v>1</v>
      </c>
    </row>
    <row r="71" spans="1:7">
      <c r="A71" t="s">
        <v>778</v>
      </c>
      <c r="B71" t="s">
        <v>778</v>
      </c>
      <c r="C71" t="s">
        <v>465</v>
      </c>
      <c r="F71" t="str">
        <f t="shared" si="4"/>
        <v>28225</v>
      </c>
      <c r="G71" t="b">
        <f t="shared" si="5"/>
        <v>1</v>
      </c>
    </row>
    <row r="72" spans="1:7">
      <c r="A72" t="s">
        <v>779</v>
      </c>
      <c r="B72" t="s">
        <v>779</v>
      </c>
      <c r="C72" t="s">
        <v>466</v>
      </c>
      <c r="F72" t="str">
        <f t="shared" si="4"/>
        <v>28231</v>
      </c>
      <c r="G72" t="b">
        <f t="shared" si="5"/>
        <v>1</v>
      </c>
    </row>
    <row r="73" spans="1:7">
      <c r="A73" t="s">
        <v>780</v>
      </c>
      <c r="B73" t="s">
        <v>780</v>
      </c>
      <c r="C73" t="s">
        <v>467</v>
      </c>
      <c r="F73" t="str">
        <f t="shared" si="4"/>
        <v>28232</v>
      </c>
      <c r="G73" t="b">
        <f t="shared" si="5"/>
        <v>1</v>
      </c>
    </row>
    <row r="74" spans="1:7">
      <c r="A74" t="s">
        <v>781</v>
      </c>
      <c r="B74" t="s">
        <v>781</v>
      </c>
      <c r="C74" t="s">
        <v>468</v>
      </c>
      <c r="F74" t="str">
        <f t="shared" si="4"/>
        <v>28233</v>
      </c>
      <c r="G74" t="b">
        <f t="shared" si="5"/>
        <v>1</v>
      </c>
    </row>
    <row r="75" spans="1:7">
      <c r="A75" t="s">
        <v>782</v>
      </c>
      <c r="B75" t="s">
        <v>782</v>
      </c>
      <c r="C75" t="s">
        <v>469</v>
      </c>
      <c r="F75" t="str">
        <f t="shared" si="4"/>
        <v>28234</v>
      </c>
      <c r="G75" t="b">
        <f t="shared" si="5"/>
        <v>1</v>
      </c>
    </row>
    <row r="76" spans="1:7">
      <c r="A76" t="s">
        <v>783</v>
      </c>
      <c r="B76" t="s">
        <v>783</v>
      </c>
      <c r="C76" t="s">
        <v>478</v>
      </c>
      <c r="F76" t="str">
        <f t="shared" si="4"/>
        <v>88221</v>
      </c>
      <c r="G76" t="b">
        <f t="shared" si="5"/>
        <v>1</v>
      </c>
    </row>
    <row r="77" spans="1:7">
      <c r="A77" t="s">
        <v>784</v>
      </c>
      <c r="B77" t="s">
        <v>784</v>
      </c>
      <c r="C77" t="s">
        <v>479</v>
      </c>
      <c r="F77" t="str">
        <f t="shared" si="4"/>
        <v>88223</v>
      </c>
      <c r="G77" t="b">
        <f t="shared" si="5"/>
        <v>1</v>
      </c>
    </row>
    <row r="78" spans="1:7">
      <c r="A78" t="s">
        <v>787</v>
      </c>
      <c r="B78" t="s">
        <v>787</v>
      </c>
      <c r="C78" t="s">
        <v>489</v>
      </c>
      <c r="F78" t="str">
        <f t="shared" si="4"/>
        <v>29320</v>
      </c>
      <c r="G78" t="b">
        <f t="shared" si="5"/>
        <v>1</v>
      </c>
    </row>
    <row r="79" spans="1:7">
      <c r="A79" t="s">
        <v>788</v>
      </c>
      <c r="B79" t="s">
        <v>788</v>
      </c>
      <c r="C79" t="s">
        <v>490</v>
      </c>
      <c r="F79" t="str">
        <f t="shared" si="4"/>
        <v>29330</v>
      </c>
      <c r="G79" t="b">
        <f t="shared" si="5"/>
        <v>1</v>
      </c>
    </row>
    <row r="80" spans="1:7">
      <c r="A80" t="s">
        <v>789</v>
      </c>
      <c r="B80" t="s">
        <v>789</v>
      </c>
      <c r="C80" t="s">
        <v>491</v>
      </c>
      <c r="F80" t="str">
        <f t="shared" si="4"/>
        <v>29490</v>
      </c>
      <c r="G80" t="b">
        <f t="shared" si="5"/>
        <v>1</v>
      </c>
    </row>
    <row r="81" spans="1:7">
      <c r="A81" t="s">
        <v>791</v>
      </c>
      <c r="B81" t="s">
        <v>791</v>
      </c>
      <c r="C81" t="s">
        <v>496</v>
      </c>
      <c r="F81" t="str">
        <f t="shared" si="4"/>
        <v>31100</v>
      </c>
      <c r="G81" t="b">
        <f t="shared" si="5"/>
        <v>1</v>
      </c>
    </row>
    <row r="82" spans="1:7">
      <c r="A82" t="s">
        <v>792</v>
      </c>
      <c r="B82" t="s">
        <v>792</v>
      </c>
      <c r="C82" t="s">
        <v>497</v>
      </c>
      <c r="F82" t="str">
        <f t="shared" si="4"/>
        <v>31210</v>
      </c>
      <c r="G82" t="b">
        <f t="shared" si="5"/>
        <v>1</v>
      </c>
    </row>
    <row r="83" spans="1:7">
      <c r="A83" t="s">
        <v>793</v>
      </c>
      <c r="B83" t="s">
        <v>793</v>
      </c>
      <c r="C83" t="s">
        <v>498</v>
      </c>
      <c r="F83" t="str">
        <f t="shared" si="4"/>
        <v>31310</v>
      </c>
      <c r="G83" t="b">
        <f t="shared" si="5"/>
        <v>1</v>
      </c>
    </row>
    <row r="84" spans="1:7">
      <c r="A84" t="s">
        <v>795</v>
      </c>
      <c r="B84" t="s">
        <v>795</v>
      </c>
      <c r="C84" s="132" t="s">
        <v>935</v>
      </c>
      <c r="F84" t="str">
        <f t="shared" si="4"/>
        <v>31420</v>
      </c>
      <c r="G84" t="b">
        <f t="shared" si="5"/>
        <v>1</v>
      </c>
    </row>
    <row r="85" spans="1:7">
      <c r="A85" t="s">
        <v>796</v>
      </c>
      <c r="B85" t="s">
        <v>796</v>
      </c>
      <c r="C85" t="s">
        <v>502</v>
      </c>
      <c r="F85" t="str">
        <f t="shared" si="4"/>
        <v>31430</v>
      </c>
      <c r="G85" t="b">
        <f t="shared" si="5"/>
        <v>1</v>
      </c>
    </row>
    <row r="86" spans="1:7">
      <c r="A86" t="s">
        <v>797</v>
      </c>
      <c r="B86" t="s">
        <v>797</v>
      </c>
      <c r="C86" t="s">
        <v>504</v>
      </c>
      <c r="F86" t="str">
        <f t="shared" si="4"/>
        <v>31440</v>
      </c>
      <c r="G86" t="b">
        <f t="shared" si="5"/>
        <v>1</v>
      </c>
    </row>
    <row r="87" spans="1:7">
      <c r="A87" t="s">
        <v>798</v>
      </c>
      <c r="B87" t="s">
        <v>798</v>
      </c>
      <c r="C87" t="s">
        <v>503</v>
      </c>
      <c r="F87" t="str">
        <f t="shared" si="4"/>
        <v>31600</v>
      </c>
      <c r="G87" t="b">
        <f t="shared" si="5"/>
        <v>1</v>
      </c>
    </row>
    <row r="88" spans="1:7">
      <c r="A88" t="s">
        <v>800</v>
      </c>
      <c r="B88" t="s">
        <v>800</v>
      </c>
      <c r="C88" t="s">
        <v>509</v>
      </c>
      <c r="F88" t="str">
        <f t="shared" si="4"/>
        <v>32153</v>
      </c>
      <c r="G88" t="b">
        <f t="shared" si="5"/>
        <v>1</v>
      </c>
    </row>
    <row r="89" spans="1:7">
      <c r="A89" t="s">
        <v>801</v>
      </c>
      <c r="B89" t="s">
        <v>801</v>
      </c>
      <c r="C89" t="s">
        <v>513</v>
      </c>
      <c r="F89" t="str">
        <f t="shared" si="4"/>
        <v>32193</v>
      </c>
      <c r="G89" t="b">
        <f t="shared" si="5"/>
        <v>1</v>
      </c>
    </row>
    <row r="90" spans="1:7">
      <c r="A90" t="s">
        <v>802</v>
      </c>
      <c r="B90" t="s">
        <v>802</v>
      </c>
      <c r="C90" t="s">
        <v>510</v>
      </c>
      <c r="F90" t="str">
        <f t="shared" si="4"/>
        <v>32199</v>
      </c>
      <c r="G90" t="b">
        <f t="shared" si="5"/>
        <v>1</v>
      </c>
    </row>
    <row r="91" spans="1:7">
      <c r="A91" t="s">
        <v>908</v>
      </c>
      <c r="B91" t="s">
        <v>908</v>
      </c>
      <c r="C91" s="132" t="s">
        <v>515</v>
      </c>
      <c r="F91" t="str">
        <f t="shared" si="4"/>
        <v>32700</v>
      </c>
      <c r="G91" t="b">
        <f t="shared" si="5"/>
        <v>1</v>
      </c>
    </row>
    <row r="92" spans="1:7">
      <c r="A92" t="s">
        <v>804</v>
      </c>
      <c r="B92" t="s">
        <v>804</v>
      </c>
      <c r="C92" s="132" t="s">
        <v>936</v>
      </c>
      <c r="F92" t="str">
        <f t="shared" si="4"/>
        <v>32690</v>
      </c>
      <c r="G92" t="b">
        <f t="shared" si="5"/>
        <v>1</v>
      </c>
    </row>
    <row r="93" spans="1:7">
      <c r="A93" s="57" t="s">
        <v>806</v>
      </c>
      <c r="B93" t="s">
        <v>806</v>
      </c>
      <c r="C93" t="s">
        <v>517</v>
      </c>
      <c r="F93" t="str">
        <f t="shared" si="4"/>
        <v>24110</v>
      </c>
      <c r="G93" t="b">
        <f t="shared" si="5"/>
        <v>1</v>
      </c>
    </row>
    <row r="94" spans="1:7">
      <c r="A94" t="s">
        <v>821</v>
      </c>
      <c r="B94" t="s">
        <v>821</v>
      </c>
      <c r="C94" t="s">
        <v>539</v>
      </c>
      <c r="F94" t="str">
        <f t="shared" si="4"/>
        <v>34210</v>
      </c>
      <c r="G94" t="b">
        <f t="shared" si="5"/>
        <v>1</v>
      </c>
    </row>
    <row r="95" spans="1:7">
      <c r="A95" t="s">
        <v>822</v>
      </c>
      <c r="B95" t="s">
        <v>822</v>
      </c>
      <c r="C95" t="s">
        <v>540</v>
      </c>
      <c r="F95" t="str">
        <f t="shared" si="4"/>
        <v>34240</v>
      </c>
      <c r="G95" t="b">
        <f t="shared" si="5"/>
        <v>1</v>
      </c>
    </row>
    <row r="96" spans="1:7">
      <c r="A96" t="s">
        <v>824</v>
      </c>
      <c r="B96" t="s">
        <v>824</v>
      </c>
      <c r="C96" t="s">
        <v>542</v>
      </c>
      <c r="F96" t="str">
        <f t="shared" si="4"/>
        <v>34310</v>
      </c>
      <c r="G96" t="b">
        <f t="shared" si="5"/>
        <v>1</v>
      </c>
    </row>
    <row r="97" spans="1:7">
      <c r="A97" t="s">
        <v>825</v>
      </c>
      <c r="B97" t="s">
        <v>825</v>
      </c>
      <c r="C97" t="s">
        <v>543</v>
      </c>
      <c r="F97" t="str">
        <f t="shared" si="4"/>
        <v>34340</v>
      </c>
      <c r="G97" t="b">
        <f t="shared" si="5"/>
        <v>1</v>
      </c>
    </row>
    <row r="98" spans="1:7">
      <c r="A98" t="s">
        <v>808</v>
      </c>
      <c r="B98" t="s">
        <v>808</v>
      </c>
      <c r="C98" t="s">
        <v>525</v>
      </c>
      <c r="D98" t="s">
        <v>806</v>
      </c>
      <c r="F98" t="str">
        <f t="shared" si="4"/>
        <v>34641</v>
      </c>
      <c r="G98" t="b">
        <f t="shared" si="5"/>
        <v>1</v>
      </c>
    </row>
    <row r="99" spans="1:7">
      <c r="A99" t="s">
        <v>809</v>
      </c>
      <c r="B99" t="s">
        <v>809</v>
      </c>
      <c r="C99" s="132" t="s">
        <v>937</v>
      </c>
      <c r="F99" t="str">
        <f t="shared" si="4"/>
        <v>34644</v>
      </c>
      <c r="G99" t="b">
        <f t="shared" si="5"/>
        <v>1</v>
      </c>
    </row>
    <row r="100" spans="1:7">
      <c r="A100" t="s">
        <v>810</v>
      </c>
      <c r="B100" t="s">
        <v>810</v>
      </c>
      <c r="C100" t="s">
        <v>520</v>
      </c>
      <c r="F100" t="str">
        <f t="shared" si="4"/>
        <v>34649</v>
      </c>
      <c r="G100" t="b">
        <f t="shared" si="5"/>
        <v>1</v>
      </c>
    </row>
    <row r="101" spans="1:7">
      <c r="A101" t="s">
        <v>811</v>
      </c>
      <c r="B101" t="s">
        <v>811</v>
      </c>
      <c r="C101" t="s">
        <v>519</v>
      </c>
      <c r="F101" t="str">
        <f t="shared" si="4"/>
        <v>34659</v>
      </c>
      <c r="G101" t="b">
        <f t="shared" si="5"/>
        <v>1</v>
      </c>
    </row>
    <row r="102" spans="1:7">
      <c r="A102" t="s">
        <v>812</v>
      </c>
      <c r="B102" t="s">
        <v>812</v>
      </c>
      <c r="C102" t="s">
        <v>526</v>
      </c>
      <c r="F102" t="str">
        <f t="shared" si="4"/>
        <v>34661</v>
      </c>
      <c r="G102" t="b">
        <f t="shared" si="5"/>
        <v>1</v>
      </c>
    </row>
    <row r="103" spans="1:7">
      <c r="A103" t="s">
        <v>813</v>
      </c>
      <c r="B103" t="s">
        <v>813</v>
      </c>
      <c r="C103" t="s">
        <v>527</v>
      </c>
      <c r="F103" t="str">
        <f t="shared" si="4"/>
        <v>34663</v>
      </c>
      <c r="G103" t="b">
        <f t="shared" si="5"/>
        <v>1</v>
      </c>
    </row>
    <row r="104" spans="1:7">
      <c r="A104" t="s">
        <v>815</v>
      </c>
      <c r="B104" t="s">
        <v>815</v>
      </c>
      <c r="C104" t="s">
        <v>531</v>
      </c>
      <c r="F104" t="str">
        <f t="shared" si="4"/>
        <v>35110</v>
      </c>
      <c r="G104" t="b">
        <f t="shared" si="5"/>
        <v>1</v>
      </c>
    </row>
    <row r="105" spans="1:7">
      <c r="A105" t="s">
        <v>817</v>
      </c>
      <c r="B105" t="s">
        <v>817</v>
      </c>
      <c r="C105" t="s">
        <v>533</v>
      </c>
      <c r="F105" t="str">
        <f t="shared" si="4"/>
        <v>35321</v>
      </c>
      <c r="G105" t="b">
        <f t="shared" si="5"/>
        <v>1</v>
      </c>
    </row>
    <row r="106" spans="1:7">
      <c r="A106" t="s">
        <v>818</v>
      </c>
      <c r="B106" t="s">
        <v>818</v>
      </c>
      <c r="C106" t="s">
        <v>535</v>
      </c>
      <c r="F106" t="str">
        <f t="shared" si="4"/>
        <v>35322</v>
      </c>
      <c r="G106" t="b">
        <f t="shared" si="5"/>
        <v>1</v>
      </c>
    </row>
    <row r="107" spans="1:7">
      <c r="A107" t="s">
        <v>819</v>
      </c>
      <c r="B107" t="s">
        <v>819</v>
      </c>
      <c r="C107" t="s">
        <v>537</v>
      </c>
      <c r="F107" t="str">
        <f t="shared" si="4"/>
        <v>35323</v>
      </c>
      <c r="G107" t="b">
        <f t="shared" si="5"/>
        <v>1</v>
      </c>
    </row>
    <row r="108" spans="1:7">
      <c r="A108" t="s">
        <v>826</v>
      </c>
      <c r="B108" t="s">
        <v>826</v>
      </c>
      <c r="C108" t="s">
        <v>549</v>
      </c>
      <c r="F108" t="str">
        <f t="shared" si="4"/>
        <v>35420</v>
      </c>
      <c r="G108" t="b">
        <f t="shared" si="5"/>
        <v>1</v>
      </c>
    </row>
    <row r="109" spans="1:7">
      <c r="A109" t="s">
        <v>827</v>
      </c>
      <c r="B109" t="s">
        <v>827</v>
      </c>
      <c r="C109" t="s">
        <v>550</v>
      </c>
      <c r="F109" t="str">
        <f t="shared" si="4"/>
        <v>35450</v>
      </c>
      <c r="G109" t="b">
        <f t="shared" si="5"/>
        <v>1</v>
      </c>
    </row>
    <row r="110" spans="1:7">
      <c r="A110" t="s">
        <v>828</v>
      </c>
      <c r="B110" t="s">
        <v>828</v>
      </c>
      <c r="C110" t="s">
        <v>551</v>
      </c>
      <c r="F110" t="str">
        <f t="shared" si="4"/>
        <v>35460</v>
      </c>
      <c r="G110" t="b">
        <f t="shared" si="5"/>
        <v>1</v>
      </c>
    </row>
    <row r="111" spans="1:7">
      <c r="A111" t="s">
        <v>829</v>
      </c>
      <c r="B111" t="s">
        <v>829</v>
      </c>
      <c r="C111" t="s">
        <v>552</v>
      </c>
      <c r="F111" t="str">
        <f t="shared" si="4"/>
        <v>35490</v>
      </c>
      <c r="G111" t="b">
        <f t="shared" si="5"/>
        <v>1</v>
      </c>
    </row>
    <row r="112" spans="1:7">
      <c r="A112" t="s">
        <v>830</v>
      </c>
      <c r="B112" t="s">
        <v>830</v>
      </c>
      <c r="C112" t="s">
        <v>644</v>
      </c>
      <c r="F112" t="str">
        <f t="shared" si="4"/>
        <v>38998</v>
      </c>
      <c r="G112" t="b">
        <f t="shared" si="5"/>
        <v>1</v>
      </c>
    </row>
    <row r="113" spans="1:7">
      <c r="A113" t="s">
        <v>832</v>
      </c>
      <c r="B113" t="s">
        <v>832</v>
      </c>
      <c r="C113" t="s">
        <v>557</v>
      </c>
      <c r="F113" t="str">
        <f t="shared" si="4"/>
        <v>35260</v>
      </c>
      <c r="G113" t="b">
        <f t="shared" si="5"/>
        <v>1</v>
      </c>
    </row>
    <row r="114" spans="1:7">
      <c r="A114" t="s">
        <v>833</v>
      </c>
      <c r="B114" t="s">
        <v>833</v>
      </c>
      <c r="C114" t="s">
        <v>558</v>
      </c>
      <c r="F114" t="str">
        <f t="shared" si="4"/>
        <v>35270</v>
      </c>
      <c r="G114" t="b">
        <f t="shared" si="5"/>
        <v>1</v>
      </c>
    </row>
    <row r="115" spans="1:7">
      <c r="A115" t="s">
        <v>835</v>
      </c>
      <c r="B115" t="s">
        <v>835</v>
      </c>
      <c r="C115" t="s">
        <v>567</v>
      </c>
      <c r="F115" t="str">
        <f t="shared" si="4"/>
        <v>36320</v>
      </c>
      <c r="G115" t="b">
        <f t="shared" si="5"/>
        <v>1</v>
      </c>
    </row>
    <row r="116" spans="1:7">
      <c r="A116" t="s">
        <v>836</v>
      </c>
      <c r="B116" t="s">
        <v>836</v>
      </c>
      <c r="C116" t="s">
        <v>568</v>
      </c>
      <c r="F116" t="str">
        <f t="shared" si="4"/>
        <v>36410</v>
      </c>
      <c r="G116" t="b">
        <f t="shared" si="5"/>
        <v>1</v>
      </c>
    </row>
    <row r="117" spans="1:7">
      <c r="A117" t="s">
        <v>837</v>
      </c>
      <c r="B117" t="s">
        <v>837</v>
      </c>
      <c r="C117" s="57" t="s">
        <v>569</v>
      </c>
      <c r="F117" t="str">
        <f t="shared" si="4"/>
        <v>36490</v>
      </c>
      <c r="G117" t="b">
        <f t="shared" si="5"/>
        <v>1</v>
      </c>
    </row>
    <row r="118" spans="1:7">
      <c r="A118" t="s">
        <v>838</v>
      </c>
      <c r="B118" t="s">
        <v>838</v>
      </c>
      <c r="C118" s="57" t="s">
        <v>570</v>
      </c>
      <c r="F118" t="str">
        <f t="shared" si="4"/>
        <v>36920</v>
      </c>
      <c r="G118" t="b">
        <f t="shared" si="5"/>
        <v>1</v>
      </c>
    </row>
    <row r="119" spans="1:7">
      <c r="A119" t="s">
        <v>839</v>
      </c>
      <c r="B119" t="s">
        <v>839</v>
      </c>
      <c r="C119" s="57" t="s">
        <v>571</v>
      </c>
      <c r="F119" t="str">
        <f t="shared" si="4"/>
        <v>36950</v>
      </c>
      <c r="G119" t="b">
        <f t="shared" si="5"/>
        <v>1</v>
      </c>
    </row>
    <row r="120" spans="1:7">
      <c r="A120" t="s">
        <v>841</v>
      </c>
      <c r="B120" t="s">
        <v>841</v>
      </c>
      <c r="C120" t="s">
        <v>573</v>
      </c>
      <c r="F120" t="str">
        <f t="shared" si="4"/>
        <v>36990</v>
      </c>
      <c r="G120" t="b">
        <f t="shared" si="5"/>
        <v>1</v>
      </c>
    </row>
    <row r="121" spans="1:7">
      <c r="A121" t="s">
        <v>844</v>
      </c>
      <c r="B121" t="s">
        <v>844</v>
      </c>
      <c r="C121" t="s">
        <v>582</v>
      </c>
      <c r="F121" t="str">
        <f t="shared" si="4"/>
        <v>37191</v>
      </c>
      <c r="G121" t="b">
        <f t="shared" si="5"/>
        <v>1</v>
      </c>
    </row>
    <row r="122" spans="1:7">
      <c r="A122" t="s">
        <v>846</v>
      </c>
      <c r="B122" t="s">
        <v>846</v>
      </c>
      <c r="C122" t="s">
        <v>589</v>
      </c>
      <c r="F122" t="str">
        <f t="shared" si="4"/>
        <v>37210</v>
      </c>
      <c r="G122" t="b">
        <f t="shared" si="5"/>
        <v>1</v>
      </c>
    </row>
    <row r="123" spans="1:7">
      <c r="A123" t="s">
        <v>847</v>
      </c>
      <c r="B123" t="s">
        <v>847</v>
      </c>
      <c r="C123" t="s">
        <v>585</v>
      </c>
      <c r="F123" t="str">
        <f t="shared" si="4"/>
        <v>37350</v>
      </c>
      <c r="G123" t="b">
        <f t="shared" si="5"/>
        <v>1</v>
      </c>
    </row>
    <row r="124" spans="1:7">
      <c r="A124" t="s">
        <v>848</v>
      </c>
      <c r="B124" t="s">
        <v>848</v>
      </c>
      <c r="C124" t="s">
        <v>586</v>
      </c>
      <c r="F124" t="str">
        <f t="shared" si="4"/>
        <v>37370</v>
      </c>
      <c r="G124" t="b">
        <f t="shared" si="5"/>
        <v>1</v>
      </c>
    </row>
    <row r="125" spans="1:7">
      <c r="A125" t="s">
        <v>850</v>
      </c>
      <c r="B125" t="s">
        <v>850</v>
      </c>
      <c r="C125" t="s">
        <v>591</v>
      </c>
      <c r="F125" t="str">
        <f t="shared" si="4"/>
        <v>37440</v>
      </c>
      <c r="G125" t="b">
        <f t="shared" si="5"/>
        <v>1</v>
      </c>
    </row>
    <row r="126" spans="1:7">
      <c r="A126" t="s">
        <v>852</v>
      </c>
      <c r="B126" t="s">
        <v>852</v>
      </c>
      <c r="C126" t="s">
        <v>593</v>
      </c>
      <c r="F126" t="str">
        <f t="shared" si="4"/>
        <v>37510</v>
      </c>
      <c r="G126" t="b">
        <f t="shared" si="5"/>
        <v>1</v>
      </c>
    </row>
    <row r="127" spans="1:7">
      <c r="A127" t="s">
        <v>853</v>
      </c>
      <c r="B127" t="s">
        <v>853</v>
      </c>
      <c r="C127" t="s">
        <v>594</v>
      </c>
      <c r="F127" t="str">
        <f t="shared" si="4"/>
        <v>37540</v>
      </c>
      <c r="G127" t="b">
        <f t="shared" si="5"/>
        <v>1</v>
      </c>
    </row>
    <row r="128" spans="1:7">
      <c r="A128" t="s">
        <v>855</v>
      </c>
      <c r="B128" t="s">
        <v>855</v>
      </c>
      <c r="C128" t="s">
        <v>601</v>
      </c>
      <c r="F128" t="str">
        <f t="shared" si="4"/>
        <v>41211</v>
      </c>
      <c r="G128" t="b">
        <f t="shared" si="5"/>
        <v>1</v>
      </c>
    </row>
    <row r="129" spans="1:7">
      <c r="A129" s="135" t="s">
        <v>856</v>
      </c>
      <c r="B129" t="s">
        <v>856</v>
      </c>
      <c r="C129" t="s">
        <v>602</v>
      </c>
      <c r="F129" t="str">
        <f t="shared" ref="F129:F150" si="6">RIGHT(B129,5)</f>
        <v>41231</v>
      </c>
      <c r="G129" t="b">
        <f t="shared" ref="G129:G150" si="7">F129=C129</f>
        <v>1</v>
      </c>
    </row>
    <row r="130" spans="1:7">
      <c r="A130" t="s">
        <v>857</v>
      </c>
      <c r="B130" t="s">
        <v>857</v>
      </c>
      <c r="C130" t="s">
        <v>603</v>
      </c>
      <c r="F130" t="str">
        <f t="shared" si="6"/>
        <v>41241</v>
      </c>
      <c r="G130" t="b">
        <f t="shared" si="7"/>
        <v>1</v>
      </c>
    </row>
    <row r="131" spans="1:7">
      <c r="A131" t="s">
        <v>858</v>
      </c>
      <c r="B131" t="s">
        <v>858</v>
      </c>
      <c r="C131" t="s">
        <v>604</v>
      </c>
      <c r="F131" t="str">
        <f t="shared" si="6"/>
        <v>41242</v>
      </c>
      <c r="G131" t="b">
        <f t="shared" si="7"/>
        <v>1</v>
      </c>
    </row>
    <row r="132" spans="1:7">
      <c r="A132" t="s">
        <v>859</v>
      </c>
      <c r="B132" t="s">
        <v>859</v>
      </c>
      <c r="C132" t="s">
        <v>605</v>
      </c>
      <c r="F132" t="str">
        <f t="shared" si="6"/>
        <v>41251</v>
      </c>
      <c r="G132" t="b">
        <f t="shared" si="7"/>
        <v>1</v>
      </c>
    </row>
    <row r="133" spans="1:7">
      <c r="A133" t="s">
        <v>860</v>
      </c>
      <c r="B133" t="s">
        <v>860</v>
      </c>
      <c r="C133" t="s">
        <v>606</v>
      </c>
      <c r="F133" t="str">
        <f t="shared" si="6"/>
        <v>41262</v>
      </c>
      <c r="G133" t="b">
        <f t="shared" si="7"/>
        <v>1</v>
      </c>
    </row>
    <row r="134" spans="1:7">
      <c r="A134" t="s">
        <v>861</v>
      </c>
      <c r="B134" t="s">
        <v>861</v>
      </c>
      <c r="C134" t="s">
        <v>607</v>
      </c>
      <c r="F134" t="str">
        <f t="shared" si="6"/>
        <v>41283</v>
      </c>
      <c r="G134" t="b">
        <f t="shared" si="7"/>
        <v>1</v>
      </c>
    </row>
    <row r="135" spans="1:7">
      <c r="A135" t="s">
        <v>868</v>
      </c>
      <c r="B135" t="s">
        <v>868</v>
      </c>
      <c r="C135" t="s">
        <v>625</v>
      </c>
      <c r="F135" t="str">
        <f t="shared" si="6"/>
        <v>42190</v>
      </c>
      <c r="G135" t="b">
        <f t="shared" si="7"/>
        <v>1</v>
      </c>
    </row>
    <row r="136" spans="1:7">
      <c r="A136" t="s">
        <v>863</v>
      </c>
      <c r="B136" t="s">
        <v>863</v>
      </c>
      <c r="C136" t="s">
        <v>615</v>
      </c>
      <c r="F136" t="str">
        <f t="shared" si="6"/>
        <v>42210</v>
      </c>
      <c r="G136" t="b">
        <f t="shared" si="7"/>
        <v>1</v>
      </c>
    </row>
    <row r="137" spans="1:7">
      <c r="A137" t="s">
        <v>864</v>
      </c>
      <c r="B137" t="s">
        <v>864</v>
      </c>
      <c r="C137" t="s">
        <v>616</v>
      </c>
      <c r="F137" t="str">
        <f t="shared" si="6"/>
        <v>42912</v>
      </c>
      <c r="G137" t="b">
        <f t="shared" si="7"/>
        <v>1</v>
      </c>
    </row>
    <row r="138" spans="1:7">
      <c r="A138" t="s">
        <v>865</v>
      </c>
      <c r="B138" t="s">
        <v>865</v>
      </c>
      <c r="C138" t="s">
        <v>617</v>
      </c>
      <c r="F138" t="str">
        <f t="shared" si="6"/>
        <v>42931</v>
      </c>
      <c r="G138" t="b">
        <f t="shared" si="7"/>
        <v>1</v>
      </c>
    </row>
    <row r="139" spans="1:7">
      <c r="A139" t="s">
        <v>866</v>
      </c>
      <c r="B139" t="s">
        <v>866</v>
      </c>
      <c r="C139" t="s">
        <v>618</v>
      </c>
      <c r="F139" t="str">
        <f t="shared" si="6"/>
        <v>42945</v>
      </c>
      <c r="G139" t="b">
        <f t="shared" si="7"/>
        <v>1</v>
      </c>
    </row>
    <row r="140" spans="1:7">
      <c r="A140" t="s">
        <v>867</v>
      </c>
      <c r="B140" t="s">
        <v>867</v>
      </c>
      <c r="C140" t="s">
        <v>619</v>
      </c>
      <c r="F140" t="str">
        <f t="shared" si="6"/>
        <v>42993</v>
      </c>
      <c r="G140" t="b">
        <f t="shared" si="7"/>
        <v>1</v>
      </c>
    </row>
    <row r="141" spans="1:7">
      <c r="A141" t="s">
        <v>871</v>
      </c>
      <c r="B141" t="s">
        <v>871</v>
      </c>
      <c r="C141" t="s">
        <v>629</v>
      </c>
      <c r="F141" t="str">
        <f t="shared" si="6"/>
        <v>43913</v>
      </c>
      <c r="G141" t="b">
        <f t="shared" si="7"/>
        <v>1</v>
      </c>
    </row>
    <row r="142" spans="1:7">
      <c r="A142" t="s">
        <v>870</v>
      </c>
      <c r="B142" t="s">
        <v>870</v>
      </c>
      <c r="C142" t="s">
        <v>627</v>
      </c>
      <c r="F142" t="str">
        <f t="shared" si="6"/>
        <v>87310</v>
      </c>
      <c r="G142" t="b">
        <f t="shared" si="7"/>
        <v>1</v>
      </c>
    </row>
    <row r="143" spans="1:7">
      <c r="A143" t="s">
        <v>874</v>
      </c>
      <c r="B143" t="s">
        <v>874</v>
      </c>
      <c r="C143" t="s">
        <v>635</v>
      </c>
      <c r="F143" t="str">
        <f t="shared" si="6"/>
        <v>44160</v>
      </c>
      <c r="G143" t="b">
        <f t="shared" si="7"/>
        <v>1</v>
      </c>
    </row>
    <row r="144" spans="1:7">
      <c r="A144" t="s">
        <v>873</v>
      </c>
      <c r="B144" t="s">
        <v>873</v>
      </c>
      <c r="C144" t="s">
        <v>632</v>
      </c>
      <c r="F144" t="str">
        <f t="shared" si="6"/>
        <v>49229</v>
      </c>
      <c r="G144" t="b">
        <f t="shared" si="7"/>
        <v>1</v>
      </c>
    </row>
    <row r="145" spans="1:7">
      <c r="A145" t="s">
        <v>872</v>
      </c>
      <c r="B145" t="s">
        <v>872</v>
      </c>
      <c r="C145" t="s">
        <v>631</v>
      </c>
      <c r="F145" t="str">
        <f t="shared" si="6"/>
        <v>49129</v>
      </c>
      <c r="G145" t="b">
        <f t="shared" si="7"/>
        <v>1</v>
      </c>
    </row>
    <row r="146" spans="1:7">
      <c r="A146" t="s">
        <v>876</v>
      </c>
      <c r="B146" t="s">
        <v>876</v>
      </c>
      <c r="C146" t="s">
        <v>637</v>
      </c>
      <c r="F146" t="str">
        <f t="shared" si="6"/>
        <v>38122</v>
      </c>
      <c r="G146" t="b">
        <f t="shared" si="7"/>
        <v>1</v>
      </c>
    </row>
    <row r="147" spans="1:7">
      <c r="A147" t="s">
        <v>877</v>
      </c>
      <c r="B147" t="s">
        <v>877</v>
      </c>
      <c r="C147" t="s">
        <v>638</v>
      </c>
      <c r="F147" t="str">
        <f t="shared" si="6"/>
        <v>38140</v>
      </c>
      <c r="G147" t="b">
        <f t="shared" si="7"/>
        <v>1</v>
      </c>
    </row>
    <row r="148" spans="1:7">
      <c r="A148" t="s">
        <v>878</v>
      </c>
      <c r="B148" t="s">
        <v>878</v>
      </c>
      <c r="C148" t="s">
        <v>639</v>
      </c>
      <c r="F148" t="str">
        <f t="shared" si="6"/>
        <v>38150</v>
      </c>
      <c r="G148" t="b">
        <f t="shared" si="7"/>
        <v>1</v>
      </c>
    </row>
    <row r="149" spans="1:7">
      <c r="A149" t="s">
        <v>880</v>
      </c>
      <c r="B149" t="s">
        <v>880</v>
      </c>
      <c r="C149" t="s">
        <v>647</v>
      </c>
      <c r="F149" t="str">
        <f t="shared" si="6"/>
        <v>38240</v>
      </c>
      <c r="G149" t="b">
        <f t="shared" si="7"/>
        <v>1</v>
      </c>
    </row>
    <row r="150" spans="1:7">
      <c r="A150" t="s">
        <v>879</v>
      </c>
      <c r="B150" t="s">
        <v>879</v>
      </c>
      <c r="C150" t="s">
        <v>643</v>
      </c>
      <c r="F150" t="str">
        <f t="shared" si="6"/>
        <v>38997</v>
      </c>
      <c r="G150" t="b">
        <f t="shared" si="7"/>
        <v>1</v>
      </c>
    </row>
  </sheetData>
  <sortState xmlns:xlrd2="http://schemas.microsoft.com/office/spreadsheetml/2017/richdata2" ref="C113:C158">
    <sortCondition ref="C113:C15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BB51-9E60-4286-B49C-4A892C3180D4}">
  <dimension ref="A1:D4"/>
  <sheetViews>
    <sheetView workbookViewId="0">
      <selection activeCell="C18" sqref="C18"/>
    </sheetView>
  </sheetViews>
  <sheetFormatPr defaultRowHeight="14.5"/>
  <cols>
    <col min="2" max="2" width="36.453125" customWidth="1"/>
  </cols>
  <sheetData>
    <row r="1" spans="1:4">
      <c r="A1" s="54" t="s">
        <v>409</v>
      </c>
      <c r="B1" s="54" t="s">
        <v>410</v>
      </c>
      <c r="C1" s="54" t="s">
        <v>219</v>
      </c>
      <c r="D1" s="54" t="s">
        <v>220</v>
      </c>
    </row>
    <row r="2" spans="1:4">
      <c r="A2" s="55" t="s">
        <v>411</v>
      </c>
      <c r="B2" s="55" t="s">
        <v>412</v>
      </c>
      <c r="C2" s="55" t="s">
        <v>417</v>
      </c>
      <c r="D2" s="55" t="s">
        <v>418</v>
      </c>
    </row>
    <row r="3" spans="1:4">
      <c r="A3" s="54" t="s">
        <v>413</v>
      </c>
      <c r="B3" s="54" t="s">
        <v>414</v>
      </c>
      <c r="C3" s="54" t="s">
        <v>419</v>
      </c>
      <c r="D3" s="54" t="s">
        <v>414</v>
      </c>
    </row>
    <row r="4" spans="1:4">
      <c r="A4" s="55" t="s">
        <v>415</v>
      </c>
      <c r="B4" s="55" t="s">
        <v>416</v>
      </c>
      <c r="C4" s="55" t="s">
        <v>420</v>
      </c>
      <c r="D4" s="55" t="s">
        <v>416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Estructura 2022</vt:lpstr>
      <vt:lpstr>Sheet1</vt:lpstr>
      <vt:lpstr>Base_revision</vt:lpstr>
      <vt:lpstr>Sheet2</vt:lpstr>
      <vt:lpstr>Sheet6</vt:lpstr>
      <vt:lpstr>Sheet4</vt:lpstr>
      <vt:lpstr>Sheet5</vt:lpstr>
      <vt:lpstr>consultas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2025-05-21T20:54:53Z</dcterms:created>
  <dcterms:modified xsi:type="dcterms:W3CDTF">2025-05-28T01:15:14Z</dcterms:modified>
</cp:coreProperties>
</file>