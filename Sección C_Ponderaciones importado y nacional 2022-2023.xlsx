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unitednations-my.sharepoint.com/personal/ernestina_perez_un_org/Documents/0Escritorio/ESCRITORIO/AT Paises/AT Guatemala/2025/AT Mayo/IPP/"/>
    </mc:Choice>
  </mc:AlternateContent>
  <xr:revisionPtr revIDLastSave="187" documentId="14_{8EA28935-EB0D-4C00-B35F-0650C279AAE0}" xr6:coauthVersionLast="47" xr6:coauthVersionMax="47" xr10:uidLastSave="{8B451986-C581-4EA7-BE4F-78D4112C1695}"/>
  <bookViews>
    <workbookView xWindow="-110" yWindow="-110" windowWidth="19420" windowHeight="10300" xr2:uid="{2EECC2CB-2503-43EF-9082-844B9D699206}"/>
  </bookViews>
  <sheets>
    <sheet name="100% Importado" sheetId="1" r:id="rId1"/>
    <sheet name="Importado &amp; Nacional" sheetId="2" r:id="rId2"/>
  </sheets>
  <externalReferences>
    <externalReference r:id="rId3"/>
  </externalReferences>
  <definedNames>
    <definedName name="ALLOCATION" localSheetId="1">#REF!</definedName>
    <definedName name="ALLOCATION">#REF!</definedName>
    <definedName name="CAPITAL" localSheetId="1">#REF!</definedName>
    <definedName name="CAPITAL">#REF!</definedName>
    <definedName name="Cód_25.01" localSheetId="1">[1]Detalle!#REF!</definedName>
    <definedName name="Cód_25.01">[1]Detalle!#REF!</definedName>
    <definedName name="Cód_26.01" localSheetId="1">[1]Detalle!#REF!</definedName>
    <definedName name="Cód_26.01">[1]Detalle!#REF!</definedName>
    <definedName name="Cód_26.99" localSheetId="1">[1]Detalle!#REF!</definedName>
    <definedName name="Cód_26.99">[1]Detalle!#REF!</definedName>
    <definedName name="Cód_27.01" localSheetId="1">[1]Detalle!#REF!</definedName>
    <definedName name="Cód_27.01">[1]Detalle!#REF!</definedName>
    <definedName name="Cód_27.02">[1]Detalle!#REF!</definedName>
    <definedName name="Cód_27.03">[1]Detalle!#REF!</definedName>
    <definedName name="Cód_27.04">[1]Detalle!#REF!</definedName>
    <definedName name="Cód_27.99">[1]Detalle!#REF!</definedName>
    <definedName name="Cód_28.01">[1]Detalle!#REF!</definedName>
    <definedName name="Cód_29.01">[1]Detalle!#REF!</definedName>
    <definedName name="Cód_29.02">[1]Detalle!#REF!</definedName>
    <definedName name="Cód_29.99">[1]Detalle!#REF!</definedName>
    <definedName name="Cód_30.01">[1]Detalle!#REF!</definedName>
    <definedName name="Cód_30.02">[1]Detalle!#REF!</definedName>
    <definedName name="Cód_30.99">[1]Detalle!#REF!</definedName>
    <definedName name="Cód_31.01">[1]Detalle!#REF!</definedName>
    <definedName name="Cód_31.02">[1]Detalle!#REF!</definedName>
    <definedName name="Cód_31.03">[1]Detalle!#REF!</definedName>
    <definedName name="Cód_32.01">[1]Detalle!#REF!</definedName>
    <definedName name="Cód_32.02">[1]Detalle!#REF!</definedName>
    <definedName name="Cód_33.01">[1]Detalle!#REF!</definedName>
    <definedName name="Cód_34.01">[1]Detalle!#REF!</definedName>
    <definedName name="Cód_34.02">[1]Detalle!#REF!</definedName>
    <definedName name="Cód_34.03">[1]Detalle!#REF!</definedName>
    <definedName name="Cód_35.01">[1]Detalle!#REF!</definedName>
    <definedName name="Cód_35.02">[1]Detalle!#REF!</definedName>
    <definedName name="Cód_35.03">[1]Detalle!#REF!</definedName>
    <definedName name="Cód_36.01">[1]Detalle!#REF!</definedName>
    <definedName name="Cód_36.02">[1]Detalle!#REF!</definedName>
    <definedName name="Cód_36.03">[1]Detalle!#REF!</definedName>
    <definedName name="Cód_37.01">[1]Detalle!#REF!</definedName>
    <definedName name="Cód_37.02">[1]Detalle!#REF!</definedName>
    <definedName name="Cód_37.03">[1]Detalle!#REF!</definedName>
    <definedName name="Cód_37.04">[1]Detalle!#REF!</definedName>
    <definedName name="Cód_38.01">[1]Detalle!#REF!</definedName>
    <definedName name="Cód_38.02">[1]Detalle!#REF!</definedName>
    <definedName name="Cód_38.03">[1]Detalle!#REF!</definedName>
    <definedName name="Cód_38.04">[1]Detalle!#REF!</definedName>
    <definedName name="Cód_38.05">[1]Detalle!#REF!</definedName>
    <definedName name="Cód_38.06">[1]Detalle!#REF!</definedName>
    <definedName name="Cód_38.99">[1]Detalle!#REF!</definedName>
    <definedName name="Cód_39.01">[1]Detalle!#REF!</definedName>
    <definedName name="Cód_39.02">[1]Detalle!#REF!</definedName>
    <definedName name="Cód_39.03">[1]Detalle!#REF!</definedName>
    <definedName name="Cód_39.04">[1]Detalle!#REF!</definedName>
    <definedName name="Cód_39.05">[1]Detalle!#REF!</definedName>
    <definedName name="Cód_39.06">[1]Detalle!#REF!</definedName>
    <definedName name="Cód_39.99">[1]Detalle!#REF!</definedName>
    <definedName name="Cód_40.01">[1]Detalle!#REF!</definedName>
    <definedName name="Cód_40.02">[1]Detalle!#REF!</definedName>
    <definedName name="Cód_40.03">[1]Detalle!#REF!</definedName>
    <definedName name="Cód_41.01">[1]Detalle!#REF!</definedName>
    <definedName name="Cód_41.02">[1]Detalle!#REF!</definedName>
    <definedName name="Cód_41.03">[1]Detalle!#REF!</definedName>
    <definedName name="Cód_41.04">[1]Detalle!#REF!</definedName>
    <definedName name="Cód_41.05">[1]Detalle!#REF!</definedName>
    <definedName name="Cód_41.06">[1]Detalle!#REF!</definedName>
    <definedName name="Cód_41.99">[1]Detalle!#REF!</definedName>
    <definedName name="Cód_42.01">[1]Detalle!#REF!</definedName>
    <definedName name="Cód_42.02">[1]Detalle!#REF!</definedName>
    <definedName name="EXTERNAL" localSheetId="1">#REF!</definedName>
    <definedName name="EXTERNAL">#REF!</definedName>
    <definedName name="FINANCIAL" localSheetId="1">#REF!</definedName>
    <definedName name="FINANCIAL">#REF!</definedName>
    <definedName name="NFC" localSheetId="1">#REF!</definedName>
    <definedName name="NFC">#REF!</definedName>
    <definedName name="PRIMARY" localSheetId="1">#REF!</definedName>
    <definedName name="PRIMARY">#REF!</definedName>
    <definedName name="PRINT_AREA_MI" localSheetId="1">#REF!</definedName>
    <definedName name="PRINT_AREA_MI">#REF!</definedName>
    <definedName name="PRINTA" localSheetId="1">#REF!</definedName>
    <definedName name="PRINTA">#REF!</definedName>
    <definedName name="_xlnm.Recorder" localSheetId="1">#REF!</definedName>
    <definedName name="_xlnm.Recorder">#REF!</definedName>
    <definedName name="REVALUATION" localSheetId="1">#REF!</definedName>
    <definedName name="REVALUATION">#REF!</definedName>
    <definedName name="VOLUMEN" localSheetId="1">#REF!</definedName>
    <definedName name="VOLUMEN">#REF!</definedName>
    <definedName name="Z_02B69656_E5FD_4A91_802C_25930EA157CB_.wvu.FilterData" localSheetId="1" hidden="1">'Importado &amp; Nacional'!$B$6:$I$211</definedName>
    <definedName name="Z_0609F6F5_5CC0_4811_A47F_929FDF49C7DA_.wvu.FilterData" localSheetId="1" hidden="1">'Importado &amp; Nacional'!$B$6:$G$211</definedName>
    <definedName name="Z_08DAA0A1_631C_456A_A378_849E2F8D68DC_.wvu.FilterData" localSheetId="1" hidden="1">'Importado &amp; Nacional'!$B$6:$G$6</definedName>
    <definedName name="Z_0A8E0904_BAEB_4305_A608_5DC3D4D82E32_.wvu.FilterData" localSheetId="1" hidden="1">'Importado &amp; Nacional'!$B$6:$G$6</definedName>
    <definedName name="Z_131E7E7D_04E9_4E14_9608_D0051A77714F_.wvu.FilterData" localSheetId="1" hidden="1">'Importado &amp; Nacional'!$B$6:$G$211</definedName>
    <definedName name="Z_22F937C5_A1C4_4742_BC12_5B15D7F9A910_.wvu.FilterData" localSheetId="1" hidden="1">'Importado &amp; Nacional'!$B$6:$G$211</definedName>
    <definedName name="Z_2C9284D4_5D54_4341_A89C_42B7B64F9A87_.wvu.FilterData" localSheetId="1" hidden="1">'Importado &amp; Nacional'!$B$6:$G$6</definedName>
    <definedName name="Z_3ADD3869_2575_43A4_B614_08C7C6ACDED2_.wvu.FilterData" localSheetId="1" hidden="1">'Importado &amp; Nacional'!$B$6:$G$6</definedName>
    <definedName name="Z_3E3A5DB3_4A69_4D7D_A16F_8474650D1FD4_.wvu.FilterData" localSheetId="1" hidden="1">'Importado &amp; Nacional'!$B$6:$G$211</definedName>
    <definedName name="Z_4D341472_B9DB_43B3_AC09_57AE1CFA4C4B_.wvu.FilterData" localSheetId="1" hidden="1">'Importado &amp; Nacional'!$B$6:$I$211</definedName>
    <definedName name="Z_4D83DBFB_94F7_4C09_8B93_05BD8B20FC9D_.wvu.FilterData" localSheetId="1" hidden="1">'Importado &amp; Nacional'!$B$6:$G$211</definedName>
    <definedName name="Z_51A94016_F219_4C36_94D1_91A6626D1D64_.wvu.FilterData" localSheetId="1" hidden="1">'Importado &amp; Nacional'!$B$6:$I$211</definedName>
    <definedName name="Z_5CF8F959_0DD0_4164_8612_DCA72AD60603_.wvu.FilterData" localSheetId="1" hidden="1">'Importado &amp; Nacional'!$B$6:$G$211</definedName>
    <definedName name="Z_5D8540C2_FAA3_4C5B_A78D_A5E28DE8D9D4_.wvu.FilterData" localSheetId="1" hidden="1">'Importado &amp; Nacional'!$B$6:$G$211</definedName>
    <definedName name="Z_5ECD90A6_2ED0_4771_870B_0164105E2CBC_.wvu.FilterData" localSheetId="1" hidden="1">'Importado &amp; Nacional'!$B$6:$G$211</definedName>
    <definedName name="Z_6C714F5B_953A_4816_ADDD_3B811C7D3C0E_.wvu.FilterData" localSheetId="1" hidden="1">'Importado &amp; Nacional'!$B$6:$G$211</definedName>
    <definedName name="Z_847792E4_B54C_466E_8A13_67A56C0498DA_.wvu.FilterData" localSheetId="1" hidden="1">'Importado &amp; Nacional'!$B$6:$G$211</definedName>
    <definedName name="Z_85E05D72_82F3_4950_8804_CAD35398E9B9_.wvu.FilterData" localSheetId="1" hidden="1">'Importado &amp; Nacional'!$B$6:$G$6</definedName>
    <definedName name="Z_91834BC9_AAFC_4842_A113_FB1BB6591289_.wvu.FilterData" localSheetId="1" hidden="1">'Importado &amp; Nacional'!$B$6:$I$211</definedName>
    <definedName name="Z_99ADCAFF_1346_47B8_BD0A_0AEBE609E6E6_.wvu.FilterData" localSheetId="1" hidden="1">'Importado &amp; Nacional'!$B$6:$I$211</definedName>
    <definedName name="Z_9C03505E_6C74_4CB0_AF22_1B0A706B46C9_.wvu.FilterData" localSheetId="1" hidden="1">'Importado &amp; Nacional'!$B$6:$G$6</definedName>
    <definedName name="Z_9C89EEE5_BAB4_45BA_B93B_6E06CD06279C_.wvu.FilterData" localSheetId="1" hidden="1">'Importado &amp; Nacional'!$B$6:$G$211</definedName>
    <definedName name="Z_9FF1BCAD_589F_4677_9EF7_A342264210CF_.wvu.FilterData" localSheetId="1" hidden="1">'Importado &amp; Nacional'!$B$6:$G$6</definedName>
    <definedName name="Z_BCEEB689_2DD6_405B_8085_8CB3EE0072F1_.wvu.FilterData" localSheetId="1" hidden="1">'Importado &amp; Nacional'!$B$6:$G$211</definedName>
    <definedName name="Z_C63A67D4_4441_4D14_92B2_5256908E44BF_.wvu.FilterData" localSheetId="1" hidden="1">'Importado &amp; Nacional'!$B$6:$G$6</definedName>
    <definedName name="Z_C7659656_C517_48E2_87BB_7DB096F745AA_.wvu.FilterData" localSheetId="1" hidden="1">'Importado &amp; Nacional'!$B$6:$I$211</definedName>
    <definedName name="Z_D0DFE244_21B5_4CDC_B59D_C8B086ABE26F_.wvu.FilterData" localSheetId="1" hidden="1">'Importado &amp; Nacional'!$B$6:$G$6</definedName>
    <definedName name="Z_D44CDDA7_BD43_4F07_B72B_6A91C1A8A716_.wvu.FilterData" localSheetId="1" hidden="1">'Importado &amp; Nacional'!$B$6:$G$6</definedName>
    <definedName name="Z_E53F3C45_A179_4948_B2E9_422B9C197B6C_.wvu.FilterData" localSheetId="1" hidden="1">'Importado &amp; Nacional'!$B$6:$G$211</definedName>
    <definedName name="Z_F3733B92_E96C_43F5_82FB_7AA55D0967A5_.wvu.FilterData" localSheetId="1" hidden="1">'Importado &amp; Nacional'!$B$6:$G$211</definedName>
    <definedName name="Z_F7B5ABFD_EF69_4CCC_B41C_4B3CD328E3E8_.wvu.FilterData" localSheetId="1" hidden="1">'Importado &amp; Nacional'!$B$6:$I$211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9" i="1" l="1"/>
  <c r="J38" i="1"/>
  <c r="J34" i="1"/>
  <c r="J36" i="1"/>
  <c r="J35" i="1"/>
  <c r="J32" i="1"/>
  <c r="N164" i="2"/>
  <c r="N179" i="2"/>
  <c r="N177" i="2"/>
  <c r="N169" i="2"/>
  <c r="N166" i="2"/>
  <c r="M164" i="2"/>
  <c r="M169" i="2"/>
  <c r="M166" i="2"/>
  <c r="M179" i="2"/>
  <c r="M177" i="2"/>
  <c r="M45" i="2"/>
  <c r="M43" i="2"/>
  <c r="M38" i="2"/>
  <c r="M33" i="2"/>
  <c r="M35" i="2"/>
  <c r="M41" i="2"/>
  <c r="M40" i="2"/>
  <c r="M34" i="2"/>
  <c r="M32" i="2"/>
  <c r="L34" i="2"/>
  <c r="L32" i="2"/>
  <c r="K207" i="2"/>
  <c r="J207" i="2"/>
  <c r="I207" i="2"/>
  <c r="H207" i="2"/>
  <c r="K200" i="2"/>
  <c r="J200" i="2"/>
  <c r="K187" i="2"/>
  <c r="J187" i="2"/>
  <c r="I162" i="2"/>
  <c r="K162" i="2"/>
  <c r="J162" i="2"/>
  <c r="K140" i="2"/>
  <c r="J140" i="2"/>
  <c r="K101" i="2"/>
  <c r="J101" i="2"/>
  <c r="H71" i="2"/>
  <c r="K71" i="2"/>
  <c r="J71" i="2"/>
  <c r="I61" i="2"/>
  <c r="H61" i="2"/>
  <c r="K61" i="2"/>
  <c r="J61" i="2"/>
  <c r="K51" i="2"/>
  <c r="J51" i="2"/>
  <c r="K29" i="2"/>
  <c r="J29" i="2"/>
  <c r="I22" i="2"/>
  <c r="H22" i="2"/>
  <c r="K22" i="2"/>
  <c r="J22" i="2"/>
  <c r="K18" i="2"/>
  <c r="J18" i="2"/>
  <c r="I18" i="2"/>
  <c r="H18" i="2"/>
  <c r="I16" i="2"/>
  <c r="H16" i="2"/>
  <c r="K16" i="2"/>
  <c r="J16" i="2"/>
  <c r="K11" i="2"/>
  <c r="J11" i="2"/>
  <c r="K7" i="2"/>
  <c r="J7" i="2"/>
  <c r="I7" i="2"/>
  <c r="H7" i="2"/>
  <c r="I41" i="1"/>
  <c r="H41" i="1"/>
  <c r="I28" i="1"/>
  <c r="H28" i="1"/>
  <c r="I20" i="1"/>
  <c r="H20" i="1"/>
  <c r="I18" i="1"/>
  <c r="H18" i="1"/>
  <c r="I16" i="1"/>
  <c r="H16" i="1"/>
  <c r="I14" i="1"/>
  <c r="H14" i="1"/>
  <c r="I12" i="1"/>
  <c r="H12" i="1"/>
  <c r="I10" i="1"/>
  <c r="H10" i="1"/>
  <c r="I7" i="1"/>
  <c r="H7" i="1"/>
  <c r="H140" i="2" l="1"/>
  <c r="H187" i="2"/>
  <c r="I187" i="2"/>
  <c r="I71" i="2"/>
  <c r="I51" i="2"/>
  <c r="H29" i="2"/>
  <c r="H200" i="2"/>
  <c r="H51" i="2"/>
  <c r="I11" i="2"/>
  <c r="I29" i="2"/>
  <c r="I200" i="2"/>
  <c r="I140" i="2"/>
  <c r="I101" i="2"/>
  <c r="H11" i="2"/>
  <c r="H162" i="2"/>
  <c r="H101" i="2"/>
</calcChain>
</file>

<file path=xl/sharedStrings.xml><?xml version="1.0" encoding="utf-8"?>
<sst xmlns="http://schemas.openxmlformats.org/spreadsheetml/2006/main" count="1249" uniqueCount="816">
  <si>
    <t>BANCO DE GUATEMALA</t>
  </si>
  <si>
    <t>DEPARTAMENTO DE ESTADÍSTICAS MACROECONÓMICAS</t>
  </si>
  <si>
    <t>SECCIÓN DE CUENTAS NACIONALES</t>
  </si>
  <si>
    <t>NOMENCLATURA DE PRODUCTOS PARA GUATEMALA (BIENES MANUFACTURADOS)</t>
  </si>
  <si>
    <t>DIG.</t>
  </si>
  <si>
    <t>CÓDIGO
NPG</t>
  </si>
  <si>
    <t>DESCRIPCIÓN</t>
  </si>
  <si>
    <t>AE</t>
  </si>
  <si>
    <t>CCP (CLASE)</t>
  </si>
  <si>
    <t>CIIU</t>
  </si>
  <si>
    <t>PONDERACIÓN IMPORTADA 2022</t>
  </si>
  <si>
    <t>PONDERACIÓN IMPORTADA 2023</t>
  </si>
  <si>
    <t>P2502</t>
  </si>
  <si>
    <t>Leche y crema en estado sólido</t>
  </si>
  <si>
    <t>AE065</t>
  </si>
  <si>
    <t>P2502001</t>
  </si>
  <si>
    <t>Leche entera en polvo</t>
  </si>
  <si>
    <t>AE036</t>
  </si>
  <si>
    <t>22211</t>
  </si>
  <si>
    <t>1050</t>
  </si>
  <si>
    <t>P2502002</t>
  </si>
  <si>
    <t>Leche descremada en polvo y suero de leche en polvo</t>
  </si>
  <si>
    <t>22212</t>
  </si>
  <si>
    <t>P3304</t>
  </si>
  <si>
    <t>Malta</t>
  </si>
  <si>
    <t>AE050</t>
  </si>
  <si>
    <t>P3304001</t>
  </si>
  <si>
    <t>Malta, tostada o sin tostar</t>
  </si>
  <si>
    <t>24320</t>
  </si>
  <si>
    <t>1103</t>
  </si>
  <si>
    <t>P4101</t>
  </si>
  <si>
    <t>Gasolinas</t>
  </si>
  <si>
    <t>AE062</t>
  </si>
  <si>
    <t>P4101001</t>
  </si>
  <si>
    <t>Gasolinas para motores (gasolene), incluida la gasolina para la aviación</t>
  </si>
  <si>
    <t>33310</t>
  </si>
  <si>
    <t>P4103</t>
  </si>
  <si>
    <t>Fuel oil (bunker)</t>
  </si>
  <si>
    <t>P4103001</t>
  </si>
  <si>
    <t>Aceites combustibles, (Fuel-oil n.c.p.)</t>
  </si>
  <si>
    <t>33370</t>
  </si>
  <si>
    <t>1920</t>
  </si>
  <si>
    <t>P4104</t>
  </si>
  <si>
    <t>Aceites, grasas lubricantes y otros aceites preparados</t>
  </si>
  <si>
    <t>P4104001</t>
  </si>
  <si>
    <t>Aceites lubricantes de petróleo y aceites obtenidos de minerales bituminosos, otros aceites de petróleo pesado y aceites pesados ​​obtenidos de minerales bituminosos (excepto crudos) y preparados pesados ​​n.c.p. contiene no menos del 70% en peso de aceites de petróleo o de mineral bituminoso (excepto los aceites crudos), estos aceites constituyan el elemento base</t>
  </si>
  <si>
    <t>33380</t>
  </si>
  <si>
    <t>P4105</t>
  </si>
  <si>
    <t>Gases de petróleo y otros hidrocarburos gaseosos</t>
  </si>
  <si>
    <t>P4105001</t>
  </si>
  <si>
    <t>Propano y butano, líquidos</t>
  </si>
  <si>
    <t>33410</t>
  </si>
  <si>
    <t>P4605</t>
  </si>
  <si>
    <t>Electrodomesticos y sus partes</t>
  </si>
  <si>
    <t>AE078 - AE079</t>
  </si>
  <si>
    <t>P4605001</t>
  </si>
  <si>
    <t>Refrigeradores y congeladores de uso doméstico, eléctricos o no</t>
  </si>
  <si>
    <t>AE079</t>
  </si>
  <si>
    <t>44811</t>
  </si>
  <si>
    <t>2750</t>
  </si>
  <si>
    <t>P4605005</t>
  </si>
  <si>
    <t>Ventiladores y campanas de ventilación o reciclaje de uso doméstico</t>
  </si>
  <si>
    <t>44815</t>
  </si>
  <si>
    <t>P4605006</t>
  </si>
  <si>
    <t>Otros aparatos eléctricos para uso doméstico de pequeñas dimensiones (incluso aspiradoras, enceradoras, trituradoras de desperdicios de cocina, mezcladoras de alimentos, máquinas de afeitar, secadores de pelo, planchas, cafeteras y tostadoras)</t>
  </si>
  <si>
    <t>44816</t>
  </si>
  <si>
    <t>P4605007</t>
  </si>
  <si>
    <t>Calentadores de agua instantáneos o de acumulación y calentadores de inmersión; aparatos eléctricos de calefacción de espacios y aparatos eléctricos de calefacción del suelo; hornos; cocinillas, planchas de cocina, calentadores eléctricos anulares, parrillas y asadores. (Estufas electricas, microondas)</t>
  </si>
  <si>
    <t>44817</t>
  </si>
  <si>
    <t>P4605009</t>
  </si>
  <si>
    <t>Aparatos para cocinar y calientaplatos para uso doméstico, no eléctricos, de hierro o acero</t>
  </si>
  <si>
    <t>44821</t>
  </si>
  <si>
    <t>P4605014</t>
  </si>
  <si>
    <t>Calentadores de agua instantáneos o de acumulación, no eléctricos</t>
  </si>
  <si>
    <t>44826</t>
  </si>
  <si>
    <t>P4605015</t>
  </si>
  <si>
    <t>Partes y piezas de los siguientes aparatos: aparatos electromecánicos, máquinas de afeitar y máquinas de cortar el pelo de uso doméstico, con motor eléctrico incorporado; calentadores de agua instantáneos o de almacenamiento, calentadores de inmersión, aparatos de calefacción de espacios y aparatos de calefacción del suelo, eléctricos; aparatos electrotérmicos de peluquería o para secado de manos; otros aparatos electrotérmicos de uso doméstico</t>
  </si>
  <si>
    <t>44831</t>
  </si>
  <si>
    <t>P4606</t>
  </si>
  <si>
    <t>Maquinaria de oficina, contabilidad e informática, partes y piezas</t>
  </si>
  <si>
    <t>P4606003</t>
  </si>
  <si>
    <t>Máquinas de contabilidad, cajas registradoras, máquinas de franquear correspondencia, máquinas de emitir boletos (tickets) y máquinas similares, con un dispositivo de cálculo incorporado (excepto terminales de punto de venta, cajeros automáticos y máquinas similares)</t>
  </si>
  <si>
    <t>45141</t>
  </si>
  <si>
    <t>2817</t>
  </si>
  <si>
    <t>P4606006</t>
  </si>
  <si>
    <t>Otras máquinas de oficina</t>
  </si>
  <si>
    <t>45160</t>
  </si>
  <si>
    <t>P4606008</t>
  </si>
  <si>
    <t>Partes, piezas y accesorios para los productos de las subclases 45141, 45142 y 45160 (excepto fundas, cajas de transporte y elementos similares)</t>
  </si>
  <si>
    <t>45180</t>
  </si>
  <si>
    <t>P4606009</t>
  </si>
  <si>
    <t>Máquinas portátiles de procesamiento automático de datos que no pesen más de 10 kg, como computadoras portátiles (laptop) y notebooks.</t>
  </si>
  <si>
    <t>45221</t>
  </si>
  <si>
    <t>2620</t>
  </si>
  <si>
    <t>P4606011</t>
  </si>
  <si>
    <t>Máquinas de procesamiento automático de datos, que contengan en una caja o cobertura común, al menos una unidad de almacenamiento y una unidad de entrada y de salida, estén combinadas o no (Computadora de escritorio)</t>
  </si>
  <si>
    <t>45230</t>
  </si>
  <si>
    <t>P4606012</t>
  </si>
  <si>
    <t>Máquinas de procesamiento automático de datos, presentadas en forma de sistemas</t>
  </si>
  <si>
    <t>45240</t>
  </si>
  <si>
    <t>P4606013</t>
  </si>
  <si>
    <t>Otras máquinas de procesamiento automático de datos, contengan o no en una caja o cobertura común una o dos de las siguientes unidades: unidades de almacenamiento, unidades de entrada, unidades de salida</t>
  </si>
  <si>
    <t>45250</t>
  </si>
  <si>
    <t>P4606019</t>
  </si>
  <si>
    <t>Unidades que realizan dos o más de las siguientes funciones: imprimir, escanear, fotocopiar, enviar fax</t>
  </si>
  <si>
    <t>45266</t>
  </si>
  <si>
    <t>P4606020</t>
  </si>
  <si>
    <t>Otros dispositivos periféricos de entrada o de salida</t>
  </si>
  <si>
    <t>45269</t>
  </si>
  <si>
    <t>P4606021</t>
  </si>
  <si>
    <t>Unidades de almacenamiento de medios fijos</t>
  </si>
  <si>
    <t>45271</t>
  </si>
  <si>
    <t>P4606024</t>
  </si>
  <si>
    <t>Otras unidades para máquinas de procesamiento automático de datos</t>
  </si>
  <si>
    <t>45289</t>
  </si>
  <si>
    <t>P4606025</t>
  </si>
  <si>
    <t>Partes, piezas y accesorios para computadores</t>
  </si>
  <si>
    <t>45290</t>
  </si>
  <si>
    <t>P4608</t>
  </si>
  <si>
    <t>Equipo y aparatos de radio, televisión y comunicaciones</t>
  </si>
  <si>
    <t>AE061 - AE079 - AE081 - AE096 -AE099</t>
  </si>
  <si>
    <t>P4608005</t>
  </si>
  <si>
    <t>Diodos, transistores y dispositivos semiconductores similares; dispositivos semiconductores fotosensibles; diodos emisores de luz; cristales piezoeléctricos montados</t>
  </si>
  <si>
    <t>47150</t>
  </si>
  <si>
    <t>2610</t>
  </si>
  <si>
    <t>P4608014</t>
  </si>
  <si>
    <t>Cámaras digitales</t>
  </si>
  <si>
    <t>47215</t>
  </si>
  <si>
    <t>2670</t>
  </si>
  <si>
    <t>P4608017</t>
  </si>
  <si>
    <t>Otros aparatos telefónicos y aparatos de transmisión o recepción de voz, imágenes u otros datos, incluyendo aparatos para comunicación en redes cableadas o inalámbricas (tanto en redes de área local como en una red amplia) (CELULARES)</t>
  </si>
  <si>
    <t>47223</t>
  </si>
  <si>
    <t>2610,2630</t>
  </si>
  <si>
    <t>P4608018</t>
  </si>
  <si>
    <t>Radiorreceptores (excepto del tipo utilizado en vehículos automotores) combinados o no con aparatos de grabación o reproducción de sonido o un reloj. (Equipo de sonido, radio, radiograbadora)</t>
  </si>
  <si>
    <t>47311</t>
  </si>
  <si>
    <t>2640</t>
  </si>
  <si>
    <t>P4608020</t>
  </si>
  <si>
    <t>Receptores de televisión, combinados o no con radiorreceptores o aparatos para la grabación o reproducción de sonido o video. (Televisión, TV)</t>
  </si>
  <si>
    <t>47313</t>
  </si>
  <si>
    <t>P4608022</t>
  </si>
  <si>
    <t>Monitores y proyectores, utilizados principalmente en un sistema de procesamiento automático de datos</t>
  </si>
  <si>
    <t>47315</t>
  </si>
  <si>
    <t>P4608025</t>
  </si>
  <si>
    <t>Micrófonos y sus soportes; altavoces; auriculares, audífonos y combinados con micrófono/altavoz; amplificadores eléctricos de frecuencia de audio; aparatos eléctricos para amplificar el sonido</t>
  </si>
  <si>
    <t>47330</t>
  </si>
  <si>
    <t>P4608030</t>
  </si>
  <si>
    <t>Medios ópticos, no grabados</t>
  </si>
  <si>
    <t>47540</t>
  </si>
  <si>
    <t>2680</t>
  </si>
  <si>
    <t>P4608031</t>
  </si>
  <si>
    <t>Dispositivos de almacenamiento permanente de estado sólido</t>
  </si>
  <si>
    <t>47550</t>
  </si>
  <si>
    <t>P4608046</t>
  </si>
  <si>
    <t>Tarjetas inteligentes (chip)</t>
  </si>
  <si>
    <t>47920</t>
  </si>
  <si>
    <t>P2604</t>
  </si>
  <si>
    <t>Almidónes y sus productos, azúcares y jarabes de azúcar, n.c.p.</t>
  </si>
  <si>
    <t>AE036 - AE040 - AE046</t>
  </si>
  <si>
    <t>P2604001</t>
  </si>
  <si>
    <t>Glucosa y jarabe de glucosa; fructosa y jarabe de fructosa; lactosa y jarabe de lactosa; azúcar líquida; azúcares y jarabes de azúcar n.c.p.; miel artificial; caramelo</t>
  </si>
  <si>
    <t>AE046</t>
  </si>
  <si>
    <t>23210</t>
  </si>
  <si>
    <t>1050,1062,1079</t>
  </si>
  <si>
    <t>P2604002</t>
  </si>
  <si>
    <t>P2604003</t>
  </si>
  <si>
    <t>Almidónes y féculas; gluten de trigo; inulina dextrina y demás almidónes y féculas modificados</t>
  </si>
  <si>
    <t>AE040</t>
  </si>
  <si>
    <t>23220</t>
  </si>
  <si>
    <t>1062</t>
  </si>
  <si>
    <t>P3302</t>
  </si>
  <si>
    <t>Vinos</t>
  </si>
  <si>
    <t>AE049</t>
  </si>
  <si>
    <t>P3302001</t>
  </si>
  <si>
    <t>Vino espumoso de uvas frescas</t>
  </si>
  <si>
    <t>24211</t>
  </si>
  <si>
    <t>1102</t>
  </si>
  <si>
    <t>P3302002</t>
  </si>
  <si>
    <t>Vino de uvas frescas, excepto vino espumoso; mosto (zumo) de uva</t>
  </si>
  <si>
    <t>24212</t>
  </si>
  <si>
    <t>8</t>
  </si>
  <si>
    <t>P3302003</t>
  </si>
  <si>
    <t>Vermut y otros vinos de uvas frescas preparados con plantas o sustancias aromáticas</t>
  </si>
  <si>
    <t>24220</t>
  </si>
  <si>
    <t>P3302004</t>
  </si>
  <si>
    <t>Sidra, perada, aguamiel o hidromiel y otras bebidas fermentadas, excepto vino de uvas frescas y cerveza de malta</t>
  </si>
  <si>
    <t>24230</t>
  </si>
  <si>
    <t>P4102</t>
  </si>
  <si>
    <t>Diesel Oil</t>
  </si>
  <si>
    <t>P4102001</t>
  </si>
  <si>
    <t>Gasóleos (diesel)</t>
  </si>
  <si>
    <t>33360</t>
  </si>
  <si>
    <t>P4106</t>
  </si>
  <si>
    <t>Otros productos de la refinación de petróleo n.c.p. y productos de combustible nuclear</t>
  </si>
  <si>
    <t>P4106005</t>
  </si>
  <si>
    <t xml:space="preserve">Keroseno para motores de reacción (“Avjet turbo fuel”; para aviones de motor a retropropulsión)                                                                                        </t>
  </si>
  <si>
    <t>33342</t>
  </si>
  <si>
    <t>P4106007</t>
  </si>
  <si>
    <t>Aceites combustibles n.c.p.</t>
  </si>
  <si>
    <t>P4106008</t>
  </si>
  <si>
    <t>Vaselina; cera de parafina, cera de petróleo micro cristalina, cera cruda, ozoquerita, cera de lignito, cera de turba, otras ceras minerales, y productos similares; coque de petróleo, betún de petróleo y otros residuos de aceites de petróleo o de aceites obtenidos de minerales bituminosos</t>
  </si>
  <si>
    <t>33500</t>
  </si>
  <si>
    <t>P4203</t>
  </si>
  <si>
    <t>Plásticos en formas primarias y caucho sintético</t>
  </si>
  <si>
    <t>P4203001</t>
  </si>
  <si>
    <t>Polímeros de etileno, en formas primarias</t>
  </si>
  <si>
    <t>34710</t>
  </si>
  <si>
    <t>2013</t>
  </si>
  <si>
    <t>P4203002</t>
  </si>
  <si>
    <t>Polímeros de estireno, en formas primarias</t>
  </si>
  <si>
    <t>34720</t>
  </si>
  <si>
    <t>P4203003</t>
  </si>
  <si>
    <t>Polímeros de cloruro de vinilo o de otras olefinas halogenadas, en formas primarias</t>
  </si>
  <si>
    <t>34730</t>
  </si>
  <si>
    <t>P4203004</t>
  </si>
  <si>
    <t>Poliacetales, otros poliéteres y resinas epoxídicas, en formas primarias; policarbonatos, resinas alquídicas, ésteres polialílicos y otros poliésteres, en formas primarias</t>
  </si>
  <si>
    <t>34740</t>
  </si>
  <si>
    <t>P4203005</t>
  </si>
  <si>
    <t>Otros plásticos en formas primarias; intercambiadores de iones</t>
  </si>
  <si>
    <t>34790</t>
  </si>
  <si>
    <t>P4203006</t>
  </si>
  <si>
    <t>Caucho sintético y caucho facticio derivado de los aceites, y sus mezclas con caucho natural y gomas naturales análogas, en formas primarias o en placas, hojas o tiras</t>
  </si>
  <si>
    <t>34800</t>
  </si>
  <si>
    <t>P4206</t>
  </si>
  <si>
    <t>Productos Químicos Básicos excepto alcoholes</t>
  </si>
  <si>
    <t>AE068</t>
  </si>
  <si>
    <t>P4206001</t>
  </si>
  <si>
    <t>Hidrocarburos y sus derivados halogenados, sulfonados, nitrados o nitrosados</t>
  </si>
  <si>
    <t>34110</t>
  </si>
  <si>
    <t>20112</t>
  </si>
  <si>
    <t>P4206002</t>
  </si>
  <si>
    <t>Ácidos grasos monocarboxílicos industriales; aceites ácidos procedentes de la refinación</t>
  </si>
  <si>
    <t>34120</t>
  </si>
  <si>
    <t>P4206003</t>
  </si>
  <si>
    <t>Ácidos carboxílicos y sus anhídridos, haluros, peróxidos y peroxiácidos y sus derivados halogenados, sulfonados, nitrados o nitrosados, excepto ácido salicílico y sus sales y ésteres y sus sales</t>
  </si>
  <si>
    <t>34140</t>
  </si>
  <si>
    <t>P4206004</t>
  </si>
  <si>
    <t>Compuestos de función amino; compuestos amino con función oxigenada, excepto lisina y sus ésteres y sales de estos y ácido glutámico y sus sales; ureínas y sus derivados y sales de estos; compuestos con función carboxamida; compuesto imina, compuesto función nitrilo; compuestos, -diazo, -azo o azoxi; derivados orgánicos de la hidracina o de la hidroxilamina; compuestos con otras funciones nitrogenadas</t>
  </si>
  <si>
    <t>34150</t>
  </si>
  <si>
    <t>P4206005</t>
  </si>
  <si>
    <t>Compuestos orgánicos del azufre y otros compuestos orgánico-inorgánicos; compuestos heterocíclicos n.c.p.; ácidos nucleídos y sus sales</t>
  </si>
  <si>
    <t>34160</t>
  </si>
  <si>
    <t>P4206006</t>
  </si>
  <si>
    <t>Éteres, peróxidos de alcoholes, peróxidos de éteres, epóxidos, acetales y hemiacetales y sus derivados halogenados, sulfonados, nitrados o nitrosados; Compuestos con función aldehído; Compuestos con función cetona y compuestos de función quinona, enzimas, preparaciones enzimáticas n.c.p., compuestos orgánicos n.c.p.</t>
  </si>
  <si>
    <t>34170</t>
  </si>
  <si>
    <t>P4206008</t>
  </si>
  <si>
    <t>El hidrógeno, nitrógeno, oxígeno, dióxido de carbono y gases nobles, compuestos oxigenados inorgánicos de elementos no metálicos n.c.p.</t>
  </si>
  <si>
    <t>34210</t>
  </si>
  <si>
    <t>P4206009</t>
  </si>
  <si>
    <t>El óxido de zinc, peróxido de zinc, óxidos e hidróxidos de cromo, óxidos de manganeso, óxidos e hidróxidos de hierro; tierras colorantes, óxidos e hidróxidos de cobalto, óxidos de titanio, óxidos de plomo, minio y minio anaranjado; bases inorgánicos n.c.p., óxidos, hidróxidos y peróxidos n.c.p. , con la excepción del mercurio</t>
  </si>
  <si>
    <t>34220</t>
  </si>
  <si>
    <t>P4206010</t>
  </si>
  <si>
    <t>Elementos químicos n.c.p.; ácidos inorgánicos excepto ácido fosfórico y ácido sulfonítrico; compuestos oxigenados inorgánicos del boro, silicio y carbón; compuestos halogenados o sulfurosos de metales; hidróxido de sodio y peróxido de magnesio; óxidos, hidróxidos y peróxidos de estroncio o de bario; hidróxido de aluminio; hydrozine e hidroxilamina y sus sales inorgánicas</t>
  </si>
  <si>
    <t>34231</t>
  </si>
  <si>
    <t>P4206011</t>
  </si>
  <si>
    <t>Ácido fosfórico</t>
  </si>
  <si>
    <t>34232</t>
  </si>
  <si>
    <t>P4206013</t>
  </si>
  <si>
    <t>Los fosfatos de triamonio, sus sales y peroxisales de ácidos inorgánicos y metales n.c.p.</t>
  </si>
  <si>
    <t>34240</t>
  </si>
  <si>
    <t>P4206016</t>
  </si>
  <si>
    <t>Cianuros, oxicianuros y cianuros complejos; fulminatos, cianatos y tiocianatos, silicatos, boratos, perboratos</t>
  </si>
  <si>
    <t>34270</t>
  </si>
  <si>
    <t>P4206017</t>
  </si>
  <si>
    <t>El peróxido de hidrógeno; fosfuros, carburos, hidruros, nitruros, aziduros siliciuros y boruros</t>
  </si>
  <si>
    <t>34280</t>
  </si>
  <si>
    <t>P4206019</t>
  </si>
  <si>
    <t>Preparaciones y materias colorantes orgánicas sintéticas y preparaciones en base a ellas, productos orgánicos sintéticos de los utilizados para el avivado fluorescente o como luminóforos; lacas colorantes y preparaciones a base a ellas</t>
  </si>
  <si>
    <t>34310</t>
  </si>
  <si>
    <t>P4206020</t>
  </si>
  <si>
    <t>Extractos curtientes de origen vegetal, taninos y sus sales, éteres, ésteres y otros derivados, materias colorantes de origen vegetal o animal, excepto el negro animal, preparaciones a base de materias colorantes de origen vegetal o animal</t>
  </si>
  <si>
    <t>34320</t>
  </si>
  <si>
    <t>P4206022</t>
  </si>
  <si>
    <t>Materias colorantes n.c.p.; productos inorgánicos de los tipos utilizados como luminóforos</t>
  </si>
  <si>
    <t>34340</t>
  </si>
  <si>
    <t>P4206023</t>
  </si>
  <si>
    <t>Productos minerales naturales activados; negro animal; aceite de resina; aceites terpénicos producidos por tratamiento de madera de coníferas; dipenteno crudo; paracimeno crudo; aceite de pino; colofonia y ácidos resínicos, y sus derivados; esencias de colofonia y aceites de colofonia, alquitrán de madera; aceites de alquitrán de madera, creosota de madera, nafta de madera, resina vegetal</t>
  </si>
  <si>
    <t>34400</t>
  </si>
  <si>
    <t>P4206024</t>
  </si>
  <si>
    <t>Carbón vegetal</t>
  </si>
  <si>
    <t>34510</t>
  </si>
  <si>
    <t>P4206027</t>
  </si>
  <si>
    <t>Aceites y otros productos de la destilación de alquitrán de hulla a alta temperatura, y productos similares; brea y coque de brea obtenidos de alquitranes minerales</t>
  </si>
  <si>
    <t>34540</t>
  </si>
  <si>
    <t>P4206028</t>
  </si>
  <si>
    <t>Grasas y aceites animales o vegetales y sus divisiones, modificados químicamente, excepto los hidrogenados, inter-esterificados, re-esterificados o elaidinizados; mezclas o preparados no comestibles de grasas o aceites animales o vegetales</t>
  </si>
  <si>
    <t>34550</t>
  </si>
  <si>
    <t>2029</t>
  </si>
  <si>
    <t>P4206030</t>
  </si>
  <si>
    <t>Glicerina</t>
  </si>
  <si>
    <t>34570</t>
  </si>
  <si>
    <t>20112,2023</t>
  </si>
  <si>
    <t>P4207</t>
  </si>
  <si>
    <t>Productos químicos n.c.p. y fibras sintéticas o artificiales</t>
  </si>
  <si>
    <t>P4207001</t>
  </si>
  <si>
    <t>Aceites esenciales y concentrados, destilados acuosos y soluciones acuosas de aceites esenciales; resinoides; subproductos terpénicos de la desterpenación de aceites esenciales; mezclas de sustancias odoríficas del tipo utilizado como materias primas</t>
  </si>
  <si>
    <t>35410</t>
  </si>
  <si>
    <t>P4207002</t>
  </si>
  <si>
    <t>Pegamentos y gelatina, peptonas y sus derivados y productos semejantes; caseinatos y otros derivados de la caseína; albuminatos y otros derivados de las albúminas</t>
  </si>
  <si>
    <t>35420</t>
  </si>
  <si>
    <t>P4207003</t>
  </si>
  <si>
    <t>Preparaciones lubricantes y preparados del tipo utilizado para el tratamiento de aceite o grasa de materiales, con excepción del petróleo; aditivos preparados para aceites minerales; preparados líquidos para transmisión hidráulica, con excepción del petróleo; preparados anticongelantes y preparados para descongelar líquidos</t>
  </si>
  <si>
    <t>35430</t>
  </si>
  <si>
    <t>P4207004</t>
  </si>
  <si>
    <t>Pastas para moldear, cera dental o compuestos para impresión dental; otros preparados para uso odontológico a base de yeso; preparados y cargas para extintores de incendios; granadas cargadas para la extinción de incendios ; medios de cultivo preparado para el desarrollo y mantenimiento de microorganismos y plantas, células humanas o animales; compuesto de diagnóstico o reactivos de laboratorio n.c.p.</t>
  </si>
  <si>
    <t>35440</t>
  </si>
  <si>
    <t>2029,3250</t>
  </si>
  <si>
    <t>P4207005</t>
  </si>
  <si>
    <t>Explosivos preparados, mechas de seguridad, cordones detonantes, fulminantes o detonadores, equipos de encendido, detonadores eléctricos (pólvora)</t>
  </si>
  <si>
    <t>35450</t>
  </si>
  <si>
    <t>P4207006</t>
  </si>
  <si>
    <t>Artículos pirotécnicos</t>
  </si>
  <si>
    <t>35460</t>
  </si>
  <si>
    <t>P4207008</t>
  </si>
  <si>
    <t>Otros productos químicos n.c.p.</t>
  </si>
  <si>
    <t>35490</t>
  </si>
  <si>
    <t>P4207009</t>
  </si>
  <si>
    <t>Fibras sintéticas de filamentos y fibras discontinuas, sin cardar ni peinar</t>
  </si>
  <si>
    <t>35510</t>
  </si>
  <si>
    <t>2030</t>
  </si>
  <si>
    <t>P4207010</t>
  </si>
  <si>
    <t>Hilados de filamento continuo sintético (excepto hilo de coser e hilados múltiples o cableados), no acondicionados para la venta al por menor</t>
  </si>
  <si>
    <t>35520</t>
  </si>
  <si>
    <t>P4502</t>
  </si>
  <si>
    <t>Productos primarios de metales preciosos y otros metales no ferrosos</t>
  </si>
  <si>
    <t>AE077</t>
  </si>
  <si>
    <t>P4502008</t>
  </si>
  <si>
    <t>Cobre refinado y aleaciones de cobre, en bruto, aleaciones madre de cobre</t>
  </si>
  <si>
    <t>41413</t>
  </si>
  <si>
    <t>2420</t>
  </si>
  <si>
    <t>P4502014</t>
  </si>
  <si>
    <t>Zinc en bruto</t>
  </si>
  <si>
    <t>41442</t>
  </si>
  <si>
    <t>P4502017</t>
  </si>
  <si>
    <t>Barras, varillas y perfiles, de cobre</t>
  </si>
  <si>
    <t>41512</t>
  </si>
  <si>
    <t>P4502021</t>
  </si>
  <si>
    <t>Tubos, cañerías y accesorios para tubos o cañerías, de cobre</t>
  </si>
  <si>
    <t>41516</t>
  </si>
  <si>
    <t>P4502027</t>
  </si>
  <si>
    <t>Barras, varillas y perfiles, de aluminio</t>
  </si>
  <si>
    <t>41532</t>
  </si>
  <si>
    <t>P4502029</t>
  </si>
  <si>
    <t>Placas, hojas y tiras de aluminio, de espesor superior a 0.2 mm</t>
  </si>
  <si>
    <t>41534</t>
  </si>
  <si>
    <t>P4502030</t>
  </si>
  <si>
    <t>Hojas y tiras delgadas, de aluminio, de un espesor no superior a 0,2 mm</t>
  </si>
  <si>
    <t>41535</t>
  </si>
  <si>
    <t>P4502031</t>
  </si>
  <si>
    <t>Tubos, cañerías y accesorios para tubos y cañerías, de aluminio</t>
  </si>
  <si>
    <t>41536</t>
  </si>
  <si>
    <t>P4502038</t>
  </si>
  <si>
    <t>Bismuto, antimonio, manganeso, cromo y sus manufacturas, incluidos los desperdicios y desechos de bismuto o de manganeso</t>
  </si>
  <si>
    <t>41603</t>
  </si>
  <si>
    <t>P4603</t>
  </si>
  <si>
    <t>Maquinaria para usos generales, sus partes y piezas</t>
  </si>
  <si>
    <t>P4603001</t>
  </si>
  <si>
    <t>Motores de combustión interna de pistón, excepto para vehículos automotores y aviones</t>
  </si>
  <si>
    <t>43110</t>
  </si>
  <si>
    <t>2811</t>
  </si>
  <si>
    <t>P4603010</t>
  </si>
  <si>
    <t>Turbinas y ruedas hidráulicas</t>
  </si>
  <si>
    <t>43142</t>
  </si>
  <si>
    <t>P4603012</t>
  </si>
  <si>
    <t>Partes y piezas de motores de pistón de movimiento alternativo o rotativo, de encendido por chispa o compresión</t>
  </si>
  <si>
    <t>43151</t>
  </si>
  <si>
    <t>2930</t>
  </si>
  <si>
    <t>P4603020</t>
  </si>
  <si>
    <t>Bombas para líquidos; elevadores de líquidos</t>
  </si>
  <si>
    <t>43220</t>
  </si>
  <si>
    <t>2813</t>
  </si>
  <si>
    <t>P4603021</t>
  </si>
  <si>
    <t>Bombas de aire o de vacío; compresores de aire u otros gases</t>
  </si>
  <si>
    <t>43230</t>
  </si>
  <si>
    <t>P4603022</t>
  </si>
  <si>
    <t>Grifos, llaves, válvulas y accesorios similares para tuberías, calderas, estanques, cubas y recipientes similares</t>
  </si>
  <si>
    <t>43240</t>
  </si>
  <si>
    <t>P4603024</t>
  </si>
  <si>
    <t>Partes de bombas para líquidos; elevadores de líquidos</t>
  </si>
  <si>
    <t>43252</t>
  </si>
  <si>
    <t>P4603027</t>
  </si>
  <si>
    <t>Rodamientos de bolas o rodillos</t>
  </si>
  <si>
    <t>43310</t>
  </si>
  <si>
    <t>2814</t>
  </si>
  <si>
    <t>P4603028</t>
  </si>
  <si>
    <t>Árboles de transmisión y manivelas; cajas de rodamientos y rodamientos simples para ejes; engranajes y trenes de engranaje; tornillos de bolas o de rosca, cajas de engranajes y otros reductores de velocidad, volantes y poleas; embragues y acoplamiento de árboles, cadenas de eslabones articulados</t>
  </si>
  <si>
    <t>43320</t>
  </si>
  <si>
    <t>P4603033</t>
  </si>
  <si>
    <t>Partes de quemadores para alimentación de hogares de combustible líquido, combustible sólido pulverizado o gas; alimentadores mecánicos, parrillas mecánicas, descargadores mecánicos de cenizas y dispositivos similares y hornos industriales o de laboratorio, excepto hornos de panadería no eléctricos; otro equipo de calentamiento por inducción o dieléctrico para usos industriales o de laboratorios</t>
  </si>
  <si>
    <t>43430</t>
  </si>
  <si>
    <t>2815</t>
  </si>
  <si>
    <t>P4603035</t>
  </si>
  <si>
    <t>Grúas de brazo móvil; grúas; bastidores elevadores móviles, camiones de pórtico alto y camiones de faena provistos de grúas</t>
  </si>
  <si>
    <t>43520</t>
  </si>
  <si>
    <t>2816</t>
  </si>
  <si>
    <t>P4603036</t>
  </si>
  <si>
    <t>Carretillas de faena autopropulsadas; otras carretillas de faena, estén o no provistas de equipo de elevación o manipulación; tractores del tipo utilizado en las plataformas de las estaciones de ferrocarril</t>
  </si>
  <si>
    <t>43530</t>
  </si>
  <si>
    <t>P4603037</t>
  </si>
  <si>
    <t>Elevadores, montacargas, escaleras mecánicas y pasillos móviles</t>
  </si>
  <si>
    <t>43540</t>
  </si>
  <si>
    <t>P4603038</t>
  </si>
  <si>
    <t>Elevadores y transportadores neumáticos y otros elevadores y transportadores de acción continua para mercancías o materiales</t>
  </si>
  <si>
    <t>43550</t>
  </si>
  <si>
    <t>P4603040</t>
  </si>
  <si>
    <t>Partes de los productos de las subclases 43510 a 43560, polipastos y elevadores que no sea montacargas, tornos y cabrestantes, gatos ; torres de perforación, grúas, pórticos móviles sobre neumáticos, carretillas puente y carretillas grúa ; tenedor, carretillas elevadoras, camiones de otras obras o sin dispositivo de elevación, tractores del tipo utilizado en las estaciones de tren ; ascensores, montacargas, escaleras mecánicas y pasillos móviles ; neumáticos y otros elevadores y transportadores de acción continua, para mercancías o materiales ; otras máquinas de elevación, carga, descarga o manipulación</t>
  </si>
  <si>
    <t>43570</t>
  </si>
  <si>
    <t>P4603043</t>
  </si>
  <si>
    <t>Máquinas de acondicionamiento de aire (aire acondicionado)</t>
  </si>
  <si>
    <t>43912</t>
  </si>
  <si>
    <t>2819</t>
  </si>
  <si>
    <t>P4603044</t>
  </si>
  <si>
    <t>Equipo de refrigeración o congelación y bombas de calor, excepto equipo para uso doméstico</t>
  </si>
  <si>
    <t>43913</t>
  </si>
  <si>
    <t>P4603045</t>
  </si>
  <si>
    <t>Máquinas y aparatos para la filtración o depuración de líquidos o gases, excepto filtros de aceite, filtros de gasolina y filtros de entrada de aire para motores de combustión interna</t>
  </si>
  <si>
    <t>43914</t>
  </si>
  <si>
    <t>P4603046</t>
  </si>
  <si>
    <t>Filtros de aceite, filtros de gasolina y filtros de entrada de aire para motores de combustión interna</t>
  </si>
  <si>
    <t>43915</t>
  </si>
  <si>
    <t>P4603047</t>
  </si>
  <si>
    <t>Máquinas para lavar o secar botellas u otros recipientes; máquinas para llenar, cerrar, sellar, capsular o etiquetar botellas, latas, cajas, sacos u otros recipientes; máquinas para gasificar bebidas; otras máquinas para empacar o envasar</t>
  </si>
  <si>
    <t>43921</t>
  </si>
  <si>
    <t>P4603048</t>
  </si>
  <si>
    <t>Máquinas para pesar (excepto las balanzas sensibles a pesos iguales o inferiores a 5 centigramos)</t>
  </si>
  <si>
    <t>43922</t>
  </si>
  <si>
    <t>P4603049</t>
  </si>
  <si>
    <t>Extintores de incendio; pistolas pulverizadoras y aparatos similares; máquinas con sopletes de vapor o arena y aparatos similares de proyección de chorros; aparatos mecánicos para proyectar, dispersar o pulverizar líquidos o polvos, excepto aparatos agrícolas u hortícolas (Extintor)</t>
  </si>
  <si>
    <t>43923</t>
  </si>
  <si>
    <t>P4603050</t>
  </si>
  <si>
    <t>Juntas de láminas metálicas</t>
  </si>
  <si>
    <t>43924</t>
  </si>
  <si>
    <t>P4603051</t>
  </si>
  <si>
    <t>Ventiladores, excepto los de uso doméstico; centrífugas, excepto separadores de crema y secadores de ropa</t>
  </si>
  <si>
    <t>43931</t>
  </si>
  <si>
    <t>P4603052</t>
  </si>
  <si>
    <t>Maquinaria n.c.p. para el tratamiento de materiales por procesos que impliquen un cambio de temperatura</t>
  </si>
  <si>
    <t>43932</t>
  </si>
  <si>
    <t>P4603056</t>
  </si>
  <si>
    <t>Partes y piezas de generadores de gas de agua o gas pobre; partes y piezas de generadores de acetileno y generadores similares de gases por vía húmeda; partes y piezas para los productos de la subclase 43912; partes y piezas de equipos de refrigeración o congelación y bombas de calor; partes y piezas de maquinaria para el tratamiento de materiales por procesos que impliquen un cambio de temperatura</t>
  </si>
  <si>
    <t>43941</t>
  </si>
  <si>
    <t>P4603057</t>
  </si>
  <si>
    <t>Partes y piezas de centrífugas, incluso secadores centrífugos; partes y piezas de máquinas y aparatos para la filtración o depuración de líquidos o gases</t>
  </si>
  <si>
    <t>43942</t>
  </si>
  <si>
    <t>P4603058</t>
  </si>
  <si>
    <t>Partes y piezas para los productos de las subclases 43922, 43923 y 43933; pesas para aparatos e instrumentos para pesar; partes y piezas de aparatos agrícolas u hortícolas para proyectar, dispersar o pulverizar líquidos o polvos</t>
  </si>
  <si>
    <t>43943</t>
  </si>
  <si>
    <t>P4603059</t>
  </si>
  <si>
    <t>Partes y piezas de máquinas lavavajillas n.c.p.; partes y piezas de máquinas para lavar o secar botellas y otros recipientes; partes y piezas de máquinas para llenar, cerrar, sellar, capsular o etiquetar botellas, latas, cajas, sacos u otros recipientes; partes y piezas de máquinas para gasificar bebidas; partes y piezas de otras máquinas para empacar o envolver</t>
  </si>
  <si>
    <t>43944</t>
  </si>
  <si>
    <t>P4604</t>
  </si>
  <si>
    <t>Maquinaria para usos especiales, partes y piezas; excepto electrodomésticos</t>
  </si>
  <si>
    <t>P4604015</t>
  </si>
  <si>
    <t>Otras máquinas cosechadoras y trilladoras, n.c.p.; partes y piezas para máquinas cosechadoras, trilladoras y clasificadoras</t>
  </si>
  <si>
    <t>44129</t>
  </si>
  <si>
    <t>2821</t>
  </si>
  <si>
    <t>P4604021</t>
  </si>
  <si>
    <t>Otros tractores agrícolas</t>
  </si>
  <si>
    <t>44149</t>
  </si>
  <si>
    <t>P4604022</t>
  </si>
  <si>
    <t>Aparatos mecánicos para proyectar, dispersar o pulverizar líquidos o polvos para la agricultura u horticultura</t>
  </si>
  <si>
    <t>44150</t>
  </si>
  <si>
    <t>P4604023</t>
  </si>
  <si>
    <t>Remolques y semirremolques, autocargadores o autodescargadores, para uso agrícola</t>
  </si>
  <si>
    <t>44160</t>
  </si>
  <si>
    <t>P4604027</t>
  </si>
  <si>
    <t>Maquinaria para la avicultura</t>
  </si>
  <si>
    <t>44194</t>
  </si>
  <si>
    <t>P4604029</t>
  </si>
  <si>
    <t>Partes y piezas de maquinarias agrícolas n.c.p.</t>
  </si>
  <si>
    <t>44199</t>
  </si>
  <si>
    <t>P4604039</t>
  </si>
  <si>
    <t>Máquinas herramientas para trabajar madera, corcho, hueso, ebonita, plásticos duros y otros materiales duros similares; prensas para la fabricación de tableros de partículas o de fibras para la construcción de madera u otros materiales leñosos, y otras máquinas para la elaboración de madera o corcho</t>
  </si>
  <si>
    <t>44222</t>
  </si>
  <si>
    <t>2822</t>
  </si>
  <si>
    <t>P4604040</t>
  </si>
  <si>
    <t>Herramientas de uso manual, neumáticas, hidráulicas con un motor no eléctrico incorporado</t>
  </si>
  <si>
    <t>44231</t>
  </si>
  <si>
    <t>2818</t>
  </si>
  <si>
    <t>P4604041</t>
  </si>
  <si>
    <t>Herramientas electromecánicas de uso manual con motor eléctrico incorporado</t>
  </si>
  <si>
    <t>44232</t>
  </si>
  <si>
    <t>P4604042</t>
  </si>
  <si>
    <t>Maquinarias y aparatos eléctricos para soldadura blanda, soldadura fuerte o soldadura autógena; máquinas y aparatos de funcionamiento a gas para templado de superficies; máquinas y aparatos eléctricos para la pulverización en caliente de metales o carburos metálicos sinterizados</t>
  </si>
  <si>
    <t>44241</t>
  </si>
  <si>
    <t>2790,2822</t>
  </si>
  <si>
    <t>P4604052</t>
  </si>
  <si>
    <t>Cortadoras y arrancadoras de carbón o de roca y máquinas excavadoras de túneles; otras máquinas para hacer perforaciones o pozos</t>
  </si>
  <si>
    <t>44412</t>
  </si>
  <si>
    <t>2824</t>
  </si>
  <si>
    <t>P4604054</t>
  </si>
  <si>
    <t>Conformadoras y niveladoras, autopropulsadas</t>
  </si>
  <si>
    <t>44422</t>
  </si>
  <si>
    <t>P4604057</t>
  </si>
  <si>
    <t>Cargadoras de pala frontal, autopropulsadas</t>
  </si>
  <si>
    <t>44425</t>
  </si>
  <si>
    <t>P4604058</t>
  </si>
  <si>
    <t>Palas mecánicas, excavadoras y cargadoras de palas mecánicas, autopropulsadas, con superestructura giratoria en 360°, excepto cargadoras de pala frontal, autopropulsadas</t>
  </si>
  <si>
    <t>44426</t>
  </si>
  <si>
    <t>P4604059</t>
  </si>
  <si>
    <t>Palas, excavadoras y cargadoras de palas mecánicas, excepto cargadoras de pala frontal y maquinaria con superestructura giratoria en 360°; máquinas movedoras, conformadoras, niveladoras, raspadoras (traíllas), excavadoras, apisonadoras, compactadoras, extractoras o perforadoras para tierra, minerales o menas, autopropulsadas n.c.p.</t>
  </si>
  <si>
    <t>44427</t>
  </si>
  <si>
    <t>P4604062</t>
  </si>
  <si>
    <t xml:space="preserve">Hincadores de pilotes y extractoras de pilotes; arados de nieve y sopladores de nieve; otras máquinas movedoras, conformadoras, niveladoras, raspadoras (traíllas), excavadoras, apisonadoras, compactadoras o extractoras para tierra, minerales o menas; no autopropulsadas; maquinaria n.c.p. para obras públicas, construcción de edificios u obras similares </t>
  </si>
  <si>
    <t>44430</t>
  </si>
  <si>
    <t>P4604063</t>
  </si>
  <si>
    <t>Maquinarias para clasificar, cribar, separar, lavar, triturar, pulverizar, mezclar o amasar tierra, piedras, menas u otras sustancias minerales sólidas; máquinas para aglomerar, configurar o moldear combustibles sólidos minerales, pastas cerámicas, cementos sin fraguar, materiales de enlucido u otros productos minerales en polvo o en pasta, máquinas para formar moldes de arena para fundición</t>
  </si>
  <si>
    <t>44440</t>
  </si>
  <si>
    <t>P4604064</t>
  </si>
  <si>
    <t>Partes y piezas n.c.p. de máquinas para hacer perforaciones o pozos y de grúas de brazo móvil, grúas, bastidores elevadores móviles, camiones de pórtico alto y camiones de faenas provistos de grúas; partes y piezas n.c.p. de máquinas movedoras, conformadoras, niveladoras, raspadoras (traíllas), excavadoras, apisonadoras, compactadoras, extractoras o perforadoras para tierra, minerales o menas; partes y piezas de hincadores de pilotes y extractores de pilotes; partes y piezas de quitanieves y soplanieves</t>
  </si>
  <si>
    <t>44461</t>
  </si>
  <si>
    <t>P4604065</t>
  </si>
  <si>
    <t>Partes y piezas para los productos de la subclase 44440</t>
  </si>
  <si>
    <t>44462</t>
  </si>
  <si>
    <t>P4604068</t>
  </si>
  <si>
    <t>Hornos de panadería, no eléctricos; máquinas para preparar bebidas calientes o para cocer o calentar alimentos, excepto máquinas de uso doméstico</t>
  </si>
  <si>
    <t>44515</t>
  </si>
  <si>
    <t>2825</t>
  </si>
  <si>
    <t>P4604069</t>
  </si>
  <si>
    <t>Maquinaria n.c.p. para la preparación o fabricación industrial de alimentos o bebidas (incluso grasas o aceites)</t>
  </si>
  <si>
    <t>44516</t>
  </si>
  <si>
    <t>P4604072</t>
  </si>
  <si>
    <t>Partes y piezas de máquinas para limpiar, seleccionar o clasificar semillas, granos o leguminosas secas; partes y piezas n.c.p. para los productos de las subclases 44513 y 44516</t>
  </si>
  <si>
    <t>44522</t>
  </si>
  <si>
    <t>P4604074</t>
  </si>
  <si>
    <t>Máquinas para la extrusión, el estirado, la texturización o el corte de materias textiles manufacturados, máquinas para la preparación de fibras textiles o la fabricación de hilados textiles, máquinas para bobinar o para devanar y máquinas para preparar hilados textiles para usar con telares, con máquinas para hacer tejido de punto y con máquinas similares</t>
  </si>
  <si>
    <t>44611</t>
  </si>
  <si>
    <t>2826</t>
  </si>
  <si>
    <t>P4604076</t>
  </si>
  <si>
    <t>Máquinas para hacer tejido de punto, máquinas para unir con puntadas, máquinas para hacer trencillas, tules, encajes, bordados, pasamanería y mallas o redes y máquinas para hacer mechas</t>
  </si>
  <si>
    <t>44613</t>
  </si>
  <si>
    <t>P4604078</t>
  </si>
  <si>
    <t>Máquinas de coser, excepto máquinas de coser pliegos y máquinas de coser de uso doméstico</t>
  </si>
  <si>
    <t>44621</t>
  </si>
  <si>
    <t>P4604079</t>
  </si>
  <si>
    <t>Máquinas para lavar ropa, con una capacidad superior a los 10 kg de ropa seca; máquinas para limpiar en seco, máquinas para secar tejidos o artículos textiles, con una capacidad superior a los 10 kg de ropa seca. (Lavadora industrial)</t>
  </si>
  <si>
    <t>44622</t>
  </si>
  <si>
    <t>P4604080</t>
  </si>
  <si>
    <t>Otra maquinaria para la fabricación de textiles y prendas de vestir n.c.p.</t>
  </si>
  <si>
    <t>44629</t>
  </si>
  <si>
    <t>P4604082</t>
  </si>
  <si>
    <t>Partes y piezas para los productos de la clase 4461; partes y piezas para los productos de la subclase 44621 (incluso agujas, muebles, bases y cubiertas para máquinas de coser); partes y piezas para los productos de la subclase 44622; partes y piezas para los productos de la subclase 44629, excepto partes y piezas de maquinaria para la fabricación o el acabado de fieltro o textiles no tejidos y hormas de sombrerería; partes y piezas para los productos de la subclase 44630; partes y piezas de máquinas para lavar ropa de uso doméstico o de lavandería y máquinas para secar textiles, con una capacidad inferior a los 10 kg de ropa seca</t>
  </si>
  <si>
    <t>44640</t>
  </si>
  <si>
    <t>P4604085</t>
  </si>
  <si>
    <t>Revólveres, pistolas, otras armas de fuego y dispositivos similares; otras armas</t>
  </si>
  <si>
    <t>AE078</t>
  </si>
  <si>
    <t>44730</t>
  </si>
  <si>
    <t>2520</t>
  </si>
  <si>
    <t>P4604086</t>
  </si>
  <si>
    <t>Bombas, granadas, torpedos, minas, misiles y armamento similar de guerra y sus partes y piezas; cartuchos y otras municiones y proyectiles y sus partes y piezas, incluso tacos para perdigones y cartuchos</t>
  </si>
  <si>
    <t>44740</t>
  </si>
  <si>
    <t>P4604091</t>
  </si>
  <si>
    <t>Máquinas para fabricar pulpa o material de fibra celulósica o para fabricar o acabar papel o cartón; máquinas para la elaboración de pulpa de papel, papel o cartón (excepto máquinas para encuadernar)</t>
  </si>
  <si>
    <t>44913</t>
  </si>
  <si>
    <t>2829</t>
  </si>
  <si>
    <t>P4604092</t>
  </si>
  <si>
    <t>Máquinas para encuadernar; maquinaria para la composición tipográfica y máquinas similares; máquinas impresoras y máquinas auxiliares para la impresión (excepto el tipo de máquinas impresoras offset con alimentación de papel en hojas del tipo utilizado en oficina)</t>
  </si>
  <si>
    <t>44914</t>
  </si>
  <si>
    <t>P4604093</t>
  </si>
  <si>
    <t>Máquinas n.c.p. para el trabajo de caucho o materiales plásticos o para la fabricación de productos hechos de estos materiales</t>
  </si>
  <si>
    <t>44915</t>
  </si>
  <si>
    <t>P4604094</t>
  </si>
  <si>
    <t>Cajas de moldes para fundición de metales; bases de moldes; modelos o patrones para moldes; moldes para metal (excepto lingoteras), carburos metálicos, vidrio, materias minerales, caucho o materiales plásticos</t>
  </si>
  <si>
    <t>44916</t>
  </si>
  <si>
    <t>2593</t>
  </si>
  <si>
    <t>P4604095</t>
  </si>
  <si>
    <t>Máquinas fotocopiadoras, impresoras y máquinas de fax independientes</t>
  </si>
  <si>
    <t>44917</t>
  </si>
  <si>
    <t>P4604097</t>
  </si>
  <si>
    <t>Maquinaria para usos especiales n.c.p. (incluso máquinas para la separación de isótopos, máquinas para el montaje de lámparas eléctricas en bulbos de vidrio, máquinas para la fabricación de artículos de vidrio y máquinas para la fabricación de cuerdas)</t>
  </si>
  <si>
    <t>44919</t>
  </si>
  <si>
    <t>P4604099</t>
  </si>
  <si>
    <t>Partes y piezas para los productos de las subclases 44914, 44917 y 45150</t>
  </si>
  <si>
    <t>44922</t>
  </si>
  <si>
    <t>2817,2829</t>
  </si>
  <si>
    <t>P4604101</t>
  </si>
  <si>
    <t>Partes y piezas para los productos de la subclase 44915; otras partes y piezas n.c.p. de maquinaria para usos especiales</t>
  </si>
  <si>
    <t>44929</t>
  </si>
  <si>
    <t>P4607</t>
  </si>
  <si>
    <t>Maquinaria y aparatos eléctricos, partes y piezas</t>
  </si>
  <si>
    <t>AE073 - AE078 - AE079</t>
  </si>
  <si>
    <t>P4607001</t>
  </si>
  <si>
    <t>Motores de potencia no superior a 37.5 W; otros motores de corriente continua; generadores de corriente continua</t>
  </si>
  <si>
    <t>46111</t>
  </si>
  <si>
    <t>2710</t>
  </si>
  <si>
    <t>P4607002</t>
  </si>
  <si>
    <t>Motores universales de corriente continua/corriente alterna, de potencia superior a 37.5 W; otros motores de corriente alterna; generadores de corriente alterna (alternadores)</t>
  </si>
  <si>
    <t>46112</t>
  </si>
  <si>
    <t>P4607003</t>
  </si>
  <si>
    <t>Grupos electrógenos y convertidores eléctricos rotativos</t>
  </si>
  <si>
    <t>46113</t>
  </si>
  <si>
    <t>P4607004</t>
  </si>
  <si>
    <t>Transformadores eléctricos</t>
  </si>
  <si>
    <t>46121</t>
  </si>
  <si>
    <t>P4607005</t>
  </si>
  <si>
    <t>Resistencias para lámparas o tubos de descarga; convertidores estáticos; otras bobinas de inductancia</t>
  </si>
  <si>
    <t>46122</t>
  </si>
  <si>
    <t>2710,2790</t>
  </si>
  <si>
    <t>P4607008</t>
  </si>
  <si>
    <t>Aparatos eléctricos para empalmar o proteger circuitos eléctricos, para hacer conexiones con o en circuitos eléctricos, para voltajes superiores a 1.000 V</t>
  </si>
  <si>
    <t>46211</t>
  </si>
  <si>
    <t>P4607009</t>
  </si>
  <si>
    <t>Aparatos eléctricos para empalmar o proteger circuitos eléctricos, para hacer conexiones con o en circuitos eléctricos, para voltajes no superiores a 1.000 V</t>
  </si>
  <si>
    <t>46212</t>
  </si>
  <si>
    <t>P4607010</t>
  </si>
  <si>
    <t>Tableros, consolas, armarios y otras bases, equipadas con aparatos eléctricos para empalmar, etc., aparatos para control eléctrico o distribución de electricidad, para voltajes no superiores a 1.000 V</t>
  </si>
  <si>
    <t>46213</t>
  </si>
  <si>
    <t>P4607013</t>
  </si>
  <si>
    <t>Partes y piezas de aparatos de control eléctrico o distribución de electricidad</t>
  </si>
  <si>
    <t>46220</t>
  </si>
  <si>
    <t>P4607015</t>
  </si>
  <si>
    <t>Cable coaxial y otros conductores eléctricos coaxiales</t>
  </si>
  <si>
    <t>46320</t>
  </si>
  <si>
    <t>2732</t>
  </si>
  <si>
    <t>P4607016</t>
  </si>
  <si>
    <t>Juegos de cables para encendido y otros juegos de cables del tipo utilizado en vehículos, aeronaves o buques</t>
  </si>
  <si>
    <t>46330</t>
  </si>
  <si>
    <t>2732,2930</t>
  </si>
  <si>
    <t>P4607017</t>
  </si>
  <si>
    <t>Otros conductores eléctricos, para voltajes no superiores a 1.000 V</t>
  </si>
  <si>
    <t>46340</t>
  </si>
  <si>
    <t>P4607019</t>
  </si>
  <si>
    <t>Cables de fibras ópticas compuestos de fibras en vainas aislantes separadas</t>
  </si>
  <si>
    <t>46360</t>
  </si>
  <si>
    <t>2731</t>
  </si>
  <si>
    <t>P4607020</t>
  </si>
  <si>
    <t>Pilas y baterías primarias</t>
  </si>
  <si>
    <t>46410</t>
  </si>
  <si>
    <t>2720</t>
  </si>
  <si>
    <t>P4607021</t>
  </si>
  <si>
    <t>Acumuladores eléctricos (BATERIAS PARA VEHICULOS)</t>
  </si>
  <si>
    <t>46420</t>
  </si>
  <si>
    <t>P4607023</t>
  </si>
  <si>
    <t>Lámparas eléctricas de incandescencia o descarga; lámparas de arco</t>
  </si>
  <si>
    <t>46510</t>
  </si>
  <si>
    <t>2740</t>
  </si>
  <si>
    <t>P4607024</t>
  </si>
  <si>
    <t>Lámparas eléctricas portátiles diseñadas para funcionar con su propia fuente de energía (excepto lámparas eléctricas para bicicletas, motocicletas o vehículos automotores); artefactos eléctricos de techo y de pared para alumbrado (excepto los del tipo utilizado para alumbrar espacios públicos y vías públicas), lámparas eléctricas de mesa, de escritorio, para mesa de noche o de pie; lámparas y accesorios no eléctricos para alumbrado; señales iluminadas, letreros luminosos y similares</t>
  </si>
  <si>
    <t>46531</t>
  </si>
  <si>
    <t>P4607026</t>
  </si>
  <si>
    <t>Otras lámparas eléctricas y accesorios para alumbrado (incluso lámparas y accesorios para alumbrado del tipo utilizado para alumbrar espacios públicos y vías públicas)</t>
  </si>
  <si>
    <t>46539</t>
  </si>
  <si>
    <t>P4607029</t>
  </si>
  <si>
    <t>Aparatos y dispositivos eléctricos de encendido o de arranque para motores de combustión interna; generadores y disyuntores utilizados en combinación con motores de combustión interna; aparatos eléctricos de alumbrado y de señalización (excepto lámparas eléctricas de incandescencia o de descarga), limpiaparabrisas eléctricos, eliminadores de escarcha y vaho, del tipo utilizado en bicicletas, motocicletas o vehículos automotores</t>
  </si>
  <si>
    <t>46910</t>
  </si>
  <si>
    <t>2740,2930</t>
  </si>
  <si>
    <t>P4607034</t>
  </si>
  <si>
    <t>Otros equipos eléctricos n.c.p. (incluso electroimanes; acoplamientos electromagnéticos; embragues y frenos; cabezas electromagnéticas para máquinas elevadoras; aceleradores eléctricos de partículas; generadores eléctricos de señales; y aparatos para galvanoplastia, electrólisis o electroforesis)</t>
  </si>
  <si>
    <t>46939</t>
  </si>
  <si>
    <t>2790</t>
  </si>
  <si>
    <t>P4607037</t>
  </si>
  <si>
    <t>Partes y piezas para los productos de las subclases 46910, 46921 y 46929; partes y piezas eléctricas n.c.p. de máquinas o aparatos</t>
  </si>
  <si>
    <t>46960</t>
  </si>
  <si>
    <t>2630, 2740, 2790, 2930</t>
  </si>
  <si>
    <t>P4609</t>
  </si>
  <si>
    <t>Aparatos médicos, instrumentos ópticos y de precisión, relojes</t>
  </si>
  <si>
    <t>AE068 - AE079 - AE081</t>
  </si>
  <si>
    <t>P4609001</t>
  </si>
  <si>
    <t>Aparatos basados en el uso de rayos X o de radiaciones alfa, beta o gamma</t>
  </si>
  <si>
    <t>48110</t>
  </si>
  <si>
    <t>2660</t>
  </si>
  <si>
    <t>P4609002</t>
  </si>
  <si>
    <t>Aparatos de diagnostico eléctricos utilizados en medicina, cirugía, odontología o veterinaria</t>
  </si>
  <si>
    <t>48121</t>
  </si>
  <si>
    <t>P4609004</t>
  </si>
  <si>
    <t>Otros instrumentos y aparatos de odontología (excepto jeringuillas, agujas y artículos similares)</t>
  </si>
  <si>
    <t>AE081</t>
  </si>
  <si>
    <t>48130</t>
  </si>
  <si>
    <t>3250</t>
  </si>
  <si>
    <t>P4609006</t>
  </si>
  <si>
    <t>Otros instrumentos y aparatos utilizados en medicina, cirugía o veterinaria (incluso jeringuillas, agujas, catéteres, cánulas, instrumentos y aparatos de oftalmología y aparatos electromédicos n.c.p.)</t>
  </si>
  <si>
    <t>48150</t>
  </si>
  <si>
    <t>P4609007</t>
  </si>
  <si>
    <t>Aparatos de mecanoterapia; aparatos de masaje; aparatos de pruebas de aptitud psicológica; aparatos de ozonoterapia, oxigenoterapia, aerosolterapia, respiración artificial u otros aparatos respiratorios terapéuticos; otros aparatos respiratorios y máscaras de gas (excluyendo las máscaras de protección sin mecanismo ni filtros reemplazables)</t>
  </si>
  <si>
    <t>48160</t>
  </si>
  <si>
    <t>P4609008</t>
  </si>
  <si>
    <t>Aparatos ortopédicos; férulas y aparatos para fracturas; partes artificiales del cuerpo</t>
  </si>
  <si>
    <t>48171</t>
  </si>
  <si>
    <t>P4609009</t>
  </si>
  <si>
    <t>Audífonos y otros aparatos que se llevan o implantan en el cuerpo para compensar un defecto o una incapacidad</t>
  </si>
  <si>
    <t>48172</t>
  </si>
  <si>
    <t>P4609010</t>
  </si>
  <si>
    <t>Mobiliario para medicina, cirugía, odontología o veterinaria; sillones de peluquería y asientos similares con movimientos de rotación, inclinación y elevación</t>
  </si>
  <si>
    <t>48180</t>
  </si>
  <si>
    <t>P4609014</t>
  </si>
  <si>
    <t>Aparatos de radar, aparatos para radionavegación y aparatos de control remoto por ondas de radio</t>
  </si>
  <si>
    <t>48220</t>
  </si>
  <si>
    <t>2651</t>
  </si>
  <si>
    <t>P4609017</t>
  </si>
  <si>
    <t>Instrumentos manuales para medir longitudes (incluso varillas y cintas graduadas, micrómetros y calibres) n.c.p.</t>
  </si>
  <si>
    <t>48233</t>
  </si>
  <si>
    <t>P4609020</t>
  </si>
  <si>
    <t>Instrumentos y aparatos (excepto osciloscopios y oscilógrafos de rayos catódicos) para medir o verificar voltaje, corriente, resistencia o potencia, sin dispositivo de grabación (excepto medidores de suministro o producción de electricidad)</t>
  </si>
  <si>
    <t>48243</t>
  </si>
  <si>
    <t>P4609022</t>
  </si>
  <si>
    <t>Instrumentos y aparatos para medir o verificar magnitudes eléctricas n.c.p.</t>
  </si>
  <si>
    <t>48249</t>
  </si>
  <si>
    <t>P4609023</t>
  </si>
  <si>
    <t>Hidrómetros e instrumentos flotantes similares, termómetros, pirómetros, barómetros, higrómetros y psicrómetros</t>
  </si>
  <si>
    <t>48251</t>
  </si>
  <si>
    <t>P4609024</t>
  </si>
  <si>
    <t>Instrumentos y aparatos para medida o control del caudal, nivel, presión u otras variables de líquidos o gases, excepto instrumentos de navegación, instrumentos y aparatos hidrológicos o meteorológicos, medidores de suministro de gas o de líquidos, e instrumentos de regulación o control automáticos</t>
  </si>
  <si>
    <t>48252</t>
  </si>
  <si>
    <t>P4609025</t>
  </si>
  <si>
    <t>Instrumentos y aparatos para análisis físicos o químicos, para medir o verificar viscosidad, porosidad, dilatación, tensión superficial o similares, o para medir o verificar cantidades de calor, sonido o luz</t>
  </si>
  <si>
    <t>48253</t>
  </si>
  <si>
    <t>P4609028</t>
  </si>
  <si>
    <t>Medidores de suministro o producción de gas, líquidos o electricidad</t>
  </si>
  <si>
    <t>48263</t>
  </si>
  <si>
    <t>P4609031</t>
  </si>
  <si>
    <t>Instrumentos, aparatos y máquinas de medición, verificación, regulación o control n.c.p.</t>
  </si>
  <si>
    <t>48269</t>
  </si>
  <si>
    <t>P4609032</t>
  </si>
  <si>
    <t>Partes y accesorios para los productos de las subclases 48211, 48212, 48232 y 48233, 48241 a 48249, 48251 a 48253; micrótomos; partes y accesorios n.c.p., para máquinas, instrumentos, aparatos y artefactos ópticos, fotográficos, cinematográficos, de precisión, médicos o quirúrgicos</t>
  </si>
  <si>
    <t>48281</t>
  </si>
  <si>
    <t>P4609037</t>
  </si>
  <si>
    <t>Fibras ópticas y haces de fibras ópticas; cables de fibra óptica (excepto los constituidos por fibras enfundadas individualmente); hojas y placas de material polarizador; lentes, prismas, espejos y otros artículos ópticos (excepto de vidrio no trabajado ópticamente), éste o no montado, excepto para las cámaras, proyectores o ampliadoras o reductoras fotográficos</t>
  </si>
  <si>
    <t>48311</t>
  </si>
  <si>
    <t>P4609038</t>
  </si>
  <si>
    <t>Anteojos, antiparras y artículos similares, correctivos, protectores de otro tipo</t>
  </si>
  <si>
    <t>48312</t>
  </si>
  <si>
    <t>P4609039</t>
  </si>
  <si>
    <t>Marcos y soportes para anteojos, antiparras o similares</t>
  </si>
  <si>
    <t>48313</t>
  </si>
  <si>
    <t>P4609047</t>
  </si>
  <si>
    <t>Placas y películas fotográficas planas y película de impresión instantánea, sensibilizadas, sin revelar</t>
  </si>
  <si>
    <t>48341</t>
  </si>
  <si>
    <t>P4609048</t>
  </si>
  <si>
    <t>Preparados químicos para usos fotográficos, excepto barnices, adhesivos y similares; productos sin mezclar para usos fotográficos, presentados en porciones medidas o acondicionados para la venta al por menor listos para usar</t>
  </si>
  <si>
    <t>48342</t>
  </si>
  <si>
    <t>P4609053</t>
  </si>
  <si>
    <t>Relojes de pulsera, bolsillo y relojes similares</t>
  </si>
  <si>
    <t>48410</t>
  </si>
  <si>
    <t>2652</t>
  </si>
  <si>
    <t>P4610</t>
  </si>
  <si>
    <t>Equipo de transporte</t>
  </si>
  <si>
    <t>P4610001</t>
  </si>
  <si>
    <t>Tractores de carretera (camiones) para semirremolques (Cabezal)</t>
  </si>
  <si>
    <t>49111</t>
  </si>
  <si>
    <t>2910</t>
  </si>
  <si>
    <t>P4610002</t>
  </si>
  <si>
    <t>Vehículos automotores de pasajeros utilizados para transportes públicos (Buses)</t>
  </si>
  <si>
    <t>49112</t>
  </si>
  <si>
    <t>P4610003</t>
  </si>
  <si>
    <t>Automóviles y otros vehículos automotores diseñados principalmente para el transporte de personas (excepto vehículos del tipo utilizado para transportes públicos, vehículos diseñados especialmente para transitar sobre nieve y vehículos para golf y otros vehículos similares)</t>
  </si>
  <si>
    <t>49113</t>
  </si>
  <si>
    <t>P4610004</t>
  </si>
  <si>
    <t>Vehículos automotores para el transporte de mercancías n.c.p.</t>
  </si>
  <si>
    <t>49114</t>
  </si>
  <si>
    <t>P4610009</t>
  </si>
  <si>
    <t>Otras partes y accesorios de vehículos automotores (incluso frenos, cajas de engranajes, ejes, ruedas, amortiguadores de suspensión, radiadores, silenciadores, tubos de escape, embragues, volantes, columnas de dirección, cárteres de dirección y sus partes) n.c.p.</t>
  </si>
  <si>
    <t>49129</t>
  </si>
  <si>
    <t>P4610010</t>
  </si>
  <si>
    <t>Carrocerías para vehículos automotores</t>
  </si>
  <si>
    <t>49210</t>
  </si>
  <si>
    <t>2920</t>
  </si>
  <si>
    <t>P4610013</t>
  </si>
  <si>
    <t>Otros tipos de remolques y semi-remolques (incluidos los de uso  para transporte de mercancías), con excepción de los de uso  para fines agrícolas con sistema de carga o descarga automática</t>
  </si>
  <si>
    <t>49229</t>
  </si>
  <si>
    <t>P4610033</t>
  </si>
  <si>
    <t>Furgones y vagones de carga, de ferrocarril o tranvía, sin propulsión propia</t>
  </si>
  <si>
    <t>49533</t>
  </si>
  <si>
    <t>3020</t>
  </si>
  <si>
    <t>P4610036</t>
  </si>
  <si>
    <t>Helicópteros</t>
  </si>
  <si>
    <t>49621</t>
  </si>
  <si>
    <t>3030</t>
  </si>
  <si>
    <t>P4610042</t>
  </si>
  <si>
    <t>Motocicletas y bicicletas o triciclos con motor auxiliar, con motor de combustión interna con pistón de movimiento alternativo, de cilindrada superior a 50cc</t>
  </si>
  <si>
    <t>49912</t>
  </si>
  <si>
    <t>3091</t>
  </si>
  <si>
    <t>P4610044</t>
  </si>
  <si>
    <t>Bicicletas y triciclos, sin motor</t>
  </si>
  <si>
    <t>49921</t>
  </si>
  <si>
    <t>3092</t>
  </si>
  <si>
    <t>P4610047</t>
  </si>
  <si>
    <t>Partes y accesorios de motocicletas y sidecars</t>
  </si>
  <si>
    <t>49941</t>
  </si>
  <si>
    <t>P4802</t>
  </si>
  <si>
    <t>Instrumentos musicales</t>
  </si>
  <si>
    <t>P4802001</t>
  </si>
  <si>
    <t>Pianos y otros instrumentos de teclados de cuerda</t>
  </si>
  <si>
    <t>38310</t>
  </si>
  <si>
    <t>3220</t>
  </si>
  <si>
    <t>P4802002</t>
  </si>
  <si>
    <t>Los demás instrumentos musicales de cuerda</t>
  </si>
  <si>
    <t>38320</t>
  </si>
  <si>
    <t>P4802003</t>
  </si>
  <si>
    <t>Instrumentos musicales de viento (incluso órganos de tubos, acordeones e instrumentos metálicos de viento)</t>
  </si>
  <si>
    <t>38330</t>
  </si>
  <si>
    <t>P4802004</t>
  </si>
  <si>
    <t>Instrumentos musicales cuyo sonido se produzca o tenga que amplificarse eléctricamente</t>
  </si>
  <si>
    <t>38340</t>
  </si>
  <si>
    <t>P4802005</t>
  </si>
  <si>
    <t>Otros instrumentos musicales (incluso instrumentos de percusión, cajas de música y de los órganos de feria), los reclamos, silbatos, cuernos de llamada y otro sonido soplado instrumentos de señalización</t>
  </si>
  <si>
    <t>38350</t>
  </si>
  <si>
    <t>P4802006</t>
  </si>
  <si>
    <t>Partes y accesorios de instrumentos musicales; metrónomos, diapasones y tubos para afinar</t>
  </si>
  <si>
    <t>38360</t>
  </si>
  <si>
    <t>P4803</t>
  </si>
  <si>
    <t>Artículos deportivos</t>
  </si>
  <si>
    <t>P4803002</t>
  </si>
  <si>
    <t>Esquís acuáticos, tablas de surf, tablas a vela y otros equipos para deportes acuáticos</t>
  </si>
  <si>
    <t>38420</t>
  </si>
  <si>
    <t>3230</t>
  </si>
  <si>
    <t>P4803003</t>
  </si>
  <si>
    <t>Artículos y equipo para gimnasia o atletismo</t>
  </si>
  <si>
    <t>38430</t>
  </si>
  <si>
    <t>P4803004</t>
  </si>
  <si>
    <t>Otros artículos y equipo para deportes o juegos al aire libre</t>
  </si>
  <si>
    <t>38440</t>
  </si>
  <si>
    <t>P4803005</t>
  </si>
  <si>
    <t>Cañas y otros artículos para pescar con sedal; redes de pesca, cazamariposas y redes similares; señuelos y artículos de caza o tiro similares</t>
  </si>
  <si>
    <t>38450</t>
  </si>
  <si>
    <t>PONDERACIÓN NACIONAL
2022</t>
  </si>
  <si>
    <t>PONDERACIÓN NACIONAL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</si>
</sst>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0.0%"/>
  </numFmts>
  <fonts count="8" x14ac:knownFonts="1">
    <font>
      <sz val="11"/>
      <color theme="1"/>
      <name val="Calibri"/>
      <family val="2"/>
      <scheme val="minor"/>
    </font>
    <font>
      <sz val="11"/>
      <color theme="1"/>
      <name val="Calibri"/>
      <family val="2"/>
      <scheme val="minor"/>
    </font>
    <font>
      <sz val="10"/>
      <name val="Century Gothic"/>
      <family val="2"/>
    </font>
    <font>
      <sz val="11"/>
      <name val="Calibri Light"/>
      <family val="2"/>
    </font>
    <font>
      <b/>
      <sz val="11"/>
      <color theme="1"/>
      <name val="Calibri Light"/>
      <family val="2"/>
    </font>
    <font>
      <b/>
      <sz val="11"/>
      <name val="Calibri Light"/>
      <family val="2"/>
    </font>
    <font>
      <b/>
      <sz val="10.5"/>
      <name val="Calibri Light"/>
      <family val="2"/>
    </font>
    <font>
      <sz val="11"/>
      <color rgb="FFFF0000"/>
      <name val="Calibri Light"/>
      <family val="2"/>
    </font>
  </fonts>
  <fills count="5">
    <fill>
      <patternFill patternType="none"/>
    </fill>
    <fill>
      <patternFill patternType="gray125"/>
    </fill>
    <fill>
      <patternFill patternType="solid">
        <fgColor theme="0" tint="-0.249977111117893"/>
        <bgColor indexed="64"/>
      </patternFill>
    </fill>
    <fill>
      <patternFill patternType="solid">
        <fgColor rgb="FFFFFFCC"/>
        <bgColor indexed="64"/>
      </patternFill>
    </fill>
    <fill>
      <patternFill patternType="solid">
        <fgColor rgb="FFFFFF00"/>
        <bgColor indexed="64"/>
      </patternFill>
    </fill>
  </fills>
  <borders count="31">
    <border>
      <left/>
      <right/>
      <top/>
      <bottom/>
      <diagonal/>
    </border>
    <border>
      <left style="medium">
        <color indexed="64"/>
      </left>
      <right style="thin">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indexed="64"/>
      </left>
      <right style="medium">
        <color indexed="64"/>
      </right>
      <top style="medium">
        <color auto="1"/>
      </top>
      <bottom style="medium">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auto="1"/>
      </right>
      <top/>
      <bottom/>
      <diagonal/>
    </border>
    <border>
      <left/>
      <right style="thin">
        <color indexed="64"/>
      </right>
      <top/>
      <bottom/>
      <diagonal/>
    </border>
    <border>
      <left style="thin">
        <color auto="1"/>
      </left>
      <right style="thin">
        <color auto="1"/>
      </right>
      <top/>
      <bottom/>
      <diagonal/>
    </border>
    <border>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bottom style="medium">
        <color indexed="64"/>
      </bottom>
      <diagonal/>
    </border>
    <border>
      <left/>
      <right style="medium">
        <color indexed="64"/>
      </right>
      <top/>
      <bottom style="medium">
        <color indexed="64"/>
      </bottom>
      <diagonal/>
    </border>
    <border>
      <left style="hair">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style="medium">
        <color indexed="64"/>
      </right>
      <top/>
      <bottom/>
      <diagonal/>
    </border>
    <border>
      <left style="thin">
        <color indexed="64"/>
      </left>
      <right style="medium">
        <color indexed="64"/>
      </right>
      <top/>
      <bottom/>
      <diagonal/>
    </border>
    <border>
      <left style="hair">
        <color indexed="64"/>
      </left>
      <right style="medium">
        <color indexed="64"/>
      </right>
      <top/>
      <bottom style="medium">
        <color indexed="64"/>
      </bottom>
      <diagonal/>
    </border>
    <border>
      <left style="thin">
        <color indexed="64"/>
      </left>
      <right style="medium">
        <color indexed="64"/>
      </right>
      <top/>
      <bottom style="medium">
        <color indexed="64"/>
      </bottom>
      <diagonal/>
    </border>
  </borders>
  <cellStyleXfs count="5">
    <xf numFmtId="0" fontId="0" fillId="0" borderId="0"/>
    <xf numFmtId="164" fontId="1"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74">
    <xf numFmtId="0" fontId="0" fillId="0" borderId="0" xfId="0"/>
    <xf numFmtId="0" fontId="5" fillId="2" borderId="1" xfId="4" applyFont="1" applyFill="1" applyBorder="1" applyAlignment="1">
      <alignment horizontal="center" vertical="center"/>
    </xf>
    <xf numFmtId="0" fontId="5" fillId="2" borderId="2" xfId="4" applyFont="1" applyFill="1" applyBorder="1" applyAlignment="1">
      <alignment horizontal="center" vertical="center" wrapText="1"/>
    </xf>
    <xf numFmtId="49" fontId="5" fillId="2" borderId="2" xfId="4" applyNumberFormat="1" applyFont="1" applyFill="1" applyBorder="1" applyAlignment="1">
      <alignment horizontal="center" vertical="center"/>
    </xf>
    <xf numFmtId="0" fontId="5" fillId="2" borderId="2" xfId="4" applyFont="1" applyFill="1" applyBorder="1" applyAlignment="1">
      <alignment horizontal="center" vertical="center"/>
    </xf>
    <xf numFmtId="49" fontId="6" fillId="2" borderId="2" xfId="4" applyNumberFormat="1" applyFont="1" applyFill="1" applyBorder="1" applyAlignment="1">
      <alignment horizontal="center" vertical="center" wrapText="1"/>
    </xf>
    <xf numFmtId="49" fontId="6" fillId="2" borderId="3" xfId="4" applyNumberFormat="1" applyFont="1" applyFill="1" applyBorder="1" applyAlignment="1">
      <alignment horizontal="center" vertical="center" wrapText="1"/>
    </xf>
    <xf numFmtId="0" fontId="3" fillId="0" borderId="0" xfId="3" applyFont="1" applyAlignment="1">
      <alignment vertical="center"/>
    </xf>
    <xf numFmtId="0" fontId="5" fillId="2" borderId="3" xfId="4" applyFont="1" applyFill="1" applyBorder="1" applyAlignment="1">
      <alignment horizontal="center" vertical="center"/>
    </xf>
    <xf numFmtId="49" fontId="6" fillId="2" borderId="1" xfId="4" applyNumberFormat="1" applyFont="1" applyFill="1" applyBorder="1" applyAlignment="1">
      <alignment horizontal="center" vertical="center" wrapText="1"/>
    </xf>
    <xf numFmtId="0" fontId="4" fillId="0" borderId="0" xfId="4" applyFont="1" applyAlignment="1">
      <alignment horizontal="left" vertical="center"/>
    </xf>
    <xf numFmtId="0" fontId="0" fillId="0" borderId="0" xfId="0" applyAlignment="1">
      <alignment vertical="center"/>
    </xf>
    <xf numFmtId="49" fontId="5" fillId="3" borderId="4" xfId="3" applyNumberFormat="1" applyFont="1" applyFill="1" applyBorder="1" applyAlignment="1">
      <alignment horizontal="center" vertical="center"/>
    </xf>
    <xf numFmtId="49" fontId="5" fillId="3" borderId="5" xfId="3" applyNumberFormat="1" applyFont="1" applyFill="1" applyBorder="1" applyAlignment="1">
      <alignment horizontal="left" vertical="center"/>
    </xf>
    <xf numFmtId="0" fontId="5" fillId="3" borderId="6" xfId="3" applyFont="1" applyFill="1" applyBorder="1" applyAlignment="1">
      <alignment horizontal="center" vertical="center"/>
    </xf>
    <xf numFmtId="0" fontId="5" fillId="3" borderId="7" xfId="3" applyFont="1" applyFill="1" applyBorder="1" applyAlignment="1">
      <alignment horizontal="center" vertical="center"/>
    </xf>
    <xf numFmtId="0" fontId="5" fillId="3" borderId="8" xfId="3" applyFont="1" applyFill="1" applyBorder="1" applyAlignment="1">
      <alignment horizontal="center" vertical="center"/>
    </xf>
    <xf numFmtId="165" fontId="4" fillId="3" borderId="9" xfId="2" applyNumberFormat="1" applyFont="1" applyFill="1" applyBorder="1" applyAlignment="1">
      <alignment vertical="center"/>
    </xf>
    <xf numFmtId="165" fontId="4" fillId="3" borderId="10" xfId="2" applyNumberFormat="1" applyFont="1" applyFill="1" applyBorder="1" applyAlignment="1">
      <alignment vertical="center"/>
    </xf>
    <xf numFmtId="49" fontId="3" fillId="0" borderId="11" xfId="3" applyNumberFormat="1" applyFont="1" applyBorder="1" applyAlignment="1">
      <alignment horizontal="center" vertical="center"/>
    </xf>
    <xf numFmtId="49" fontId="3" fillId="0" borderId="12" xfId="3" applyNumberFormat="1" applyFont="1" applyBorder="1" applyAlignment="1">
      <alignment horizontal="left" vertical="center"/>
    </xf>
    <xf numFmtId="49" fontId="3" fillId="0" borderId="13" xfId="3" applyNumberFormat="1" applyFont="1" applyBorder="1" applyAlignment="1">
      <alignment horizontal="left" vertical="center"/>
    </xf>
    <xf numFmtId="0" fontId="3" fillId="0" borderId="14" xfId="3" applyFont="1" applyBorder="1" applyAlignment="1">
      <alignment horizontal="center" vertical="center"/>
    </xf>
    <xf numFmtId="0" fontId="3" fillId="0" borderId="15" xfId="3" applyFont="1" applyBorder="1" applyAlignment="1">
      <alignment horizontal="center" vertical="center"/>
    </xf>
    <xf numFmtId="0" fontId="3" fillId="0" borderId="16" xfId="3" applyFont="1" applyBorder="1" applyAlignment="1">
      <alignment horizontal="center" vertical="center"/>
    </xf>
    <xf numFmtId="165" fontId="3" fillId="0" borderId="12" xfId="2" applyNumberFormat="1" applyFont="1" applyBorder="1" applyAlignment="1">
      <alignment vertical="center"/>
    </xf>
    <xf numFmtId="165" fontId="3" fillId="0" borderId="17" xfId="2" applyNumberFormat="1" applyFont="1" applyBorder="1" applyAlignment="1">
      <alignment vertical="center"/>
    </xf>
    <xf numFmtId="165" fontId="0" fillId="0" borderId="0" xfId="0" applyNumberFormat="1" applyAlignment="1">
      <alignment vertical="center"/>
    </xf>
    <xf numFmtId="49" fontId="3" fillId="0" borderId="18" xfId="3" applyNumberFormat="1" applyFont="1" applyBorder="1" applyAlignment="1">
      <alignment horizontal="center" vertical="center"/>
    </xf>
    <xf numFmtId="49" fontId="3" fillId="0" borderId="19" xfId="3" applyNumberFormat="1" applyFont="1" applyBorder="1" applyAlignment="1">
      <alignment horizontal="left" vertical="center"/>
    </xf>
    <xf numFmtId="49" fontId="3" fillId="0" borderId="20" xfId="3" applyNumberFormat="1" applyFont="1" applyBorder="1" applyAlignment="1">
      <alignment horizontal="left" vertical="center"/>
    </xf>
    <xf numFmtId="0" fontId="3" fillId="0" borderId="21" xfId="3" applyFont="1" applyBorder="1" applyAlignment="1">
      <alignment horizontal="center" vertical="center"/>
    </xf>
    <xf numFmtId="0" fontId="3" fillId="0" borderId="22" xfId="3" applyFont="1" applyBorder="1" applyAlignment="1">
      <alignment horizontal="center" vertical="center"/>
    </xf>
    <xf numFmtId="0" fontId="3" fillId="0" borderId="23" xfId="3" applyFont="1" applyBorder="1" applyAlignment="1">
      <alignment horizontal="center" vertical="center"/>
    </xf>
    <xf numFmtId="165" fontId="3" fillId="0" borderId="19" xfId="2" applyNumberFormat="1" applyFont="1" applyBorder="1" applyAlignment="1">
      <alignment vertical="center"/>
    </xf>
    <xf numFmtId="165" fontId="3" fillId="0" borderId="24" xfId="2" applyNumberFormat="1" applyFont="1" applyBorder="1" applyAlignment="1">
      <alignment vertical="center"/>
    </xf>
    <xf numFmtId="164" fontId="0" fillId="0" borderId="0" xfId="1" applyFont="1" applyAlignment="1">
      <alignment vertical="center"/>
    </xf>
    <xf numFmtId="0" fontId="5" fillId="3" borderId="25" xfId="3" applyFont="1" applyFill="1" applyBorder="1" applyAlignment="1">
      <alignment horizontal="center" vertical="center"/>
    </xf>
    <xf numFmtId="165" fontId="4" fillId="3" borderId="4" xfId="2" applyNumberFormat="1" applyFont="1" applyFill="1" applyBorder="1" applyAlignment="1">
      <alignment vertical="center"/>
    </xf>
    <xf numFmtId="165" fontId="4" fillId="3" borderId="26" xfId="2" applyNumberFormat="1" applyFont="1" applyFill="1" applyBorder="1" applyAlignment="1">
      <alignment vertical="center"/>
    </xf>
    <xf numFmtId="9" fontId="0" fillId="0" borderId="0" xfId="2" applyFont="1" applyAlignment="1">
      <alignment vertical="center"/>
    </xf>
    <xf numFmtId="0" fontId="3" fillId="0" borderId="27" xfId="3" applyFont="1" applyBorder="1" applyAlignment="1">
      <alignment horizontal="center" vertical="center"/>
    </xf>
    <xf numFmtId="165" fontId="3" fillId="0" borderId="11" xfId="2" applyNumberFormat="1" applyFont="1" applyBorder="1" applyAlignment="1">
      <alignment vertical="center"/>
    </xf>
    <xf numFmtId="165" fontId="3" fillId="0" borderId="28" xfId="2" applyNumberFormat="1" applyFont="1" applyBorder="1" applyAlignment="1">
      <alignment vertical="center"/>
    </xf>
    <xf numFmtId="165" fontId="3" fillId="0" borderId="11" xfId="2" applyNumberFormat="1" applyFont="1" applyFill="1" applyBorder="1" applyAlignment="1">
      <alignment vertical="center"/>
    </xf>
    <xf numFmtId="165" fontId="3" fillId="0" borderId="28" xfId="2" applyNumberFormat="1" applyFont="1" applyFill="1" applyBorder="1" applyAlignment="1">
      <alignment vertical="center"/>
    </xf>
    <xf numFmtId="165" fontId="3" fillId="0" borderId="17" xfId="2" applyNumberFormat="1" applyFont="1" applyFill="1" applyBorder="1" applyAlignment="1">
      <alignment vertical="center"/>
    </xf>
    <xf numFmtId="0" fontId="3" fillId="0" borderId="29" xfId="3" applyFont="1" applyBorder="1" applyAlignment="1">
      <alignment horizontal="center" vertical="center"/>
    </xf>
    <xf numFmtId="165" fontId="3" fillId="0" borderId="18" xfId="2" applyNumberFormat="1" applyFont="1" applyBorder="1" applyAlignment="1">
      <alignment vertical="center"/>
    </xf>
    <xf numFmtId="165" fontId="3" fillId="0" borderId="30" xfId="2" applyNumberFormat="1" applyFont="1" applyBorder="1" applyAlignment="1">
      <alignment vertical="center"/>
    </xf>
    <xf numFmtId="0" fontId="5" fillId="3" borderId="6" xfId="3" applyFont="1" applyFill="1" applyBorder="1" applyAlignment="1">
      <alignment horizontal="left" vertical="center"/>
    </xf>
    <xf numFmtId="165" fontId="0" fillId="0" borderId="0" xfId="2" applyNumberFormat="1" applyFont="1" applyAlignment="1">
      <alignment vertical="center"/>
    </xf>
    <xf numFmtId="49" fontId="7" fillId="0" borderId="13" xfId="3" applyNumberFormat="1" applyFont="1" applyBorder="1" applyAlignment="1">
      <alignment horizontal="left" vertical="center"/>
    </xf>
    <xf numFmtId="0" fontId="7" fillId="0" borderId="14" xfId="3" applyFont="1" applyBorder="1" applyAlignment="1">
      <alignment horizontal="center" vertical="center"/>
    </xf>
    <xf numFmtId="0" fontId="7" fillId="0" borderId="15" xfId="3" applyFont="1" applyBorder="1" applyAlignment="1">
      <alignment horizontal="center" vertical="center"/>
    </xf>
    <xf numFmtId="0" fontId="7" fillId="0" borderId="27" xfId="3" applyFont="1" applyBorder="1" applyAlignment="1">
      <alignment horizontal="center" vertical="center"/>
    </xf>
    <xf numFmtId="165" fontId="7" fillId="0" borderId="11" xfId="2" applyNumberFormat="1" applyFont="1" applyBorder="1" applyAlignment="1">
      <alignment vertical="center"/>
    </xf>
    <xf numFmtId="165" fontId="7" fillId="0" borderId="17" xfId="2" applyNumberFormat="1" applyFont="1" applyBorder="1" applyAlignment="1">
      <alignment vertical="center"/>
    </xf>
    <xf numFmtId="165" fontId="7" fillId="0" borderId="28" xfId="2" applyNumberFormat="1" applyFont="1" applyBorder="1" applyAlignment="1">
      <alignment vertical="center"/>
    </xf>
    <xf numFmtId="49" fontId="3" fillId="4" borderId="13" xfId="3" applyNumberFormat="1" applyFont="1" applyFill="1" applyBorder="1" applyAlignment="1">
      <alignment horizontal="left" vertical="center"/>
    </xf>
    <xf numFmtId="0" fontId="3" fillId="4" borderId="14" xfId="3" applyFont="1" applyFill="1" applyBorder="1" applyAlignment="1">
      <alignment horizontal="center" vertical="center"/>
    </xf>
    <xf numFmtId="0" fontId="3" fillId="4" borderId="15" xfId="3" applyFont="1" applyFill="1" applyBorder="1" applyAlignment="1">
      <alignment horizontal="center" vertical="center"/>
    </xf>
    <xf numFmtId="0" fontId="3" fillId="4" borderId="27" xfId="3" applyFont="1" applyFill="1" applyBorder="1" applyAlignment="1">
      <alignment horizontal="center" vertical="center"/>
    </xf>
    <xf numFmtId="165" fontId="3" fillId="4" borderId="11" xfId="2" applyNumberFormat="1" applyFont="1" applyFill="1" applyBorder="1" applyAlignment="1">
      <alignment vertical="center"/>
    </xf>
    <xf numFmtId="165" fontId="3" fillId="4" borderId="17" xfId="2" applyNumberFormat="1" applyFont="1" applyFill="1" applyBorder="1" applyAlignment="1">
      <alignment vertical="center"/>
    </xf>
    <xf numFmtId="165" fontId="3" fillId="4" borderId="28" xfId="2" applyNumberFormat="1" applyFont="1" applyFill="1" applyBorder="1" applyAlignment="1">
      <alignment vertical="center"/>
    </xf>
    <xf numFmtId="1" fontId="0" fillId="0" borderId="0" xfId="2" applyNumberFormat="1" applyFont="1" applyAlignment="1">
      <alignment vertical="center"/>
    </xf>
    <xf numFmtId="1" fontId="0" fillId="0" borderId="0" xfId="1" applyNumberFormat="1" applyFont="1" applyAlignment="1">
      <alignment vertical="center"/>
    </xf>
    <xf numFmtId="49" fontId="7" fillId="0" borderId="12" xfId="3" applyNumberFormat="1" applyFont="1" applyBorder="1" applyAlignment="1">
      <alignment horizontal="left" vertical="center"/>
    </xf>
    <xf numFmtId="0" fontId="7" fillId="0" borderId="16" xfId="3" applyFont="1" applyBorder="1" applyAlignment="1">
      <alignment horizontal="center" vertical="center"/>
    </xf>
    <xf numFmtId="165" fontId="7" fillId="0" borderId="12" xfId="2" applyNumberFormat="1" applyFont="1" applyBorder="1" applyAlignment="1">
      <alignment vertical="center"/>
    </xf>
    <xf numFmtId="165" fontId="7" fillId="0" borderId="17" xfId="2" applyNumberFormat="1" applyFont="1" applyFill="1" applyBorder="1" applyAlignment="1">
      <alignment vertical="center"/>
    </xf>
    <xf numFmtId="165" fontId="7" fillId="0" borderId="11" xfId="2" applyNumberFormat="1" applyFont="1" applyFill="1" applyBorder="1" applyAlignment="1">
      <alignment vertical="center"/>
    </xf>
    <xf numFmtId="165" fontId="7" fillId="0" borderId="28" xfId="2" applyNumberFormat="1" applyFont="1" applyFill="1" applyBorder="1" applyAlignment="1">
      <alignment vertical="center"/>
    </xf>
  </cellXfs>
  <cellStyles count="5">
    <cellStyle name="Comma" xfId="1" builtinId="3"/>
    <cellStyle name="Normal" xfId="0" builtinId="0"/>
    <cellStyle name="Normal 2 4" xfId="4" xr:uid="{0DE5AE8D-D6FA-4085-B156-6706705C3E0A}"/>
    <cellStyle name="Normal 9 2" xfId="3" xr:uid="{46C9C08A-B01E-40D7-89E7-E8C6ACD8731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eco\Documents%20and%20Settings\mmmc\Mis%20documentos\Mis%20documentos\NOMENCLATURAS%20COGNOS\2004\Consultor&#237;a%20julio%202004\PRODUCTO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Detalle"/>
    </sheetNames>
    <sheetDataSet>
      <sheetData sheetId="0"/>
      <sheetData sheetId="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5A7AD-5160-493E-8388-BE7A0E16BD81}">
  <dimension ref="A1:L51"/>
  <sheetViews>
    <sheetView showGridLines="0" tabSelected="1" workbookViewId="0">
      <pane ySplit="6" topLeftCell="A7" activePane="bottomLeft" state="frozen"/>
      <selection activeCell="L27" sqref="L27:M27"/>
      <selection pane="bottomLeft" activeCell="C16" sqref="C16:D17"/>
    </sheetView>
  </sheetViews>
  <sheetFormatPr defaultColWidth="11.453125" defaultRowHeight="14.5" x14ac:dyDescent="0.35"/>
  <cols>
    <col min="1" max="1" width="2" style="7" customWidth="1"/>
    <col min="2" max="2" width="6.26953125" style="11" customWidth="1"/>
    <col min="3" max="3" width="11.453125" style="11"/>
    <col min="4" max="4" width="48.81640625" style="11" customWidth="1"/>
    <col min="5" max="5" width="11.453125" style="11"/>
    <col min="6" max="6" width="13" style="11" bestFit="1" customWidth="1"/>
    <col min="7" max="7" width="22.54296875" style="11" bestFit="1" customWidth="1"/>
    <col min="8" max="9" width="17" style="11" bestFit="1" customWidth="1"/>
    <col min="10" max="16384" width="11.453125" style="11"/>
  </cols>
  <sheetData>
    <row r="1" spans="2:12" x14ac:dyDescent="0.35">
      <c r="B1" s="10" t="s">
        <v>0</v>
      </c>
    </row>
    <row r="2" spans="2:12" x14ac:dyDescent="0.35">
      <c r="B2" s="10" t="s">
        <v>1</v>
      </c>
    </row>
    <row r="3" spans="2:12" x14ac:dyDescent="0.35">
      <c r="B3" s="10" t="s">
        <v>2</v>
      </c>
    </row>
    <row r="4" spans="2:12" x14ac:dyDescent="0.35">
      <c r="B4" s="10" t="s">
        <v>3</v>
      </c>
    </row>
    <row r="5" spans="2:12" ht="15" thickBot="1" x14ac:dyDescent="0.4"/>
    <row r="6" spans="2:12" ht="29.5" thickBot="1" x14ac:dyDescent="0.4">
      <c r="B6" s="1" t="s">
        <v>4</v>
      </c>
      <c r="C6" s="2" t="s">
        <v>5</v>
      </c>
      <c r="D6" s="3" t="s">
        <v>6</v>
      </c>
      <c r="E6" s="4" t="s">
        <v>7</v>
      </c>
      <c r="F6" s="4" t="s">
        <v>8</v>
      </c>
      <c r="G6" s="4" t="s">
        <v>9</v>
      </c>
      <c r="H6" s="5" t="s">
        <v>10</v>
      </c>
      <c r="I6" s="6" t="s">
        <v>11</v>
      </c>
    </row>
    <row r="7" spans="2:12" ht="15" customHeight="1" x14ac:dyDescent="0.35">
      <c r="B7" s="12">
        <v>5</v>
      </c>
      <c r="C7" s="13" t="s">
        <v>12</v>
      </c>
      <c r="D7" s="13" t="s">
        <v>13</v>
      </c>
      <c r="E7" s="14" t="s">
        <v>14</v>
      </c>
      <c r="F7" s="15"/>
      <c r="G7" s="16"/>
      <c r="H7" s="17">
        <f>SUM(H8:H9)</f>
        <v>1</v>
      </c>
      <c r="I7" s="18">
        <f>SUM(I8:I9)</f>
        <v>1</v>
      </c>
      <c r="J7" s="51"/>
    </row>
    <row r="8" spans="2:12" ht="15" customHeight="1" x14ac:dyDescent="0.35">
      <c r="B8" s="19">
        <v>8</v>
      </c>
      <c r="C8" s="20" t="s">
        <v>15</v>
      </c>
      <c r="D8" s="21" t="s">
        <v>16</v>
      </c>
      <c r="E8" s="22" t="s">
        <v>17</v>
      </c>
      <c r="F8" s="23" t="s">
        <v>18</v>
      </c>
      <c r="G8" s="24" t="s">
        <v>19</v>
      </c>
      <c r="H8" s="25">
        <v>0.77787365977352785</v>
      </c>
      <c r="I8" s="26">
        <v>0.77183741203897116</v>
      </c>
      <c r="J8" s="51"/>
      <c r="K8" s="27"/>
      <c r="L8" s="27"/>
    </row>
    <row r="9" spans="2:12" ht="15" customHeight="1" x14ac:dyDescent="0.35">
      <c r="B9" s="19">
        <v>8</v>
      </c>
      <c r="C9" s="20" t="s">
        <v>20</v>
      </c>
      <c r="D9" s="21" t="s">
        <v>21</v>
      </c>
      <c r="E9" s="22" t="s">
        <v>17</v>
      </c>
      <c r="F9" s="23" t="s">
        <v>22</v>
      </c>
      <c r="G9" s="24" t="s">
        <v>19</v>
      </c>
      <c r="H9" s="25">
        <v>0.22212634022647226</v>
      </c>
      <c r="I9" s="26">
        <v>0.2281625879610289</v>
      </c>
      <c r="J9" s="51"/>
      <c r="K9" s="27"/>
      <c r="L9" s="27"/>
    </row>
    <row r="10" spans="2:12" ht="15" customHeight="1" x14ac:dyDescent="0.35">
      <c r="B10" s="12">
        <v>5</v>
      </c>
      <c r="C10" s="13" t="s">
        <v>23</v>
      </c>
      <c r="D10" s="13" t="s">
        <v>24</v>
      </c>
      <c r="E10" s="14" t="s">
        <v>25</v>
      </c>
      <c r="F10" s="15"/>
      <c r="G10" s="16"/>
      <c r="H10" s="17">
        <f>SUM(H11)</f>
        <v>1</v>
      </c>
      <c r="I10" s="18">
        <f>SUM(I11)</f>
        <v>1</v>
      </c>
      <c r="J10" s="51"/>
      <c r="K10" s="27"/>
      <c r="L10" s="27"/>
    </row>
    <row r="11" spans="2:12" ht="15" customHeight="1" x14ac:dyDescent="0.35">
      <c r="B11" s="19">
        <v>8</v>
      </c>
      <c r="C11" s="20" t="s">
        <v>26</v>
      </c>
      <c r="D11" s="21" t="s">
        <v>27</v>
      </c>
      <c r="E11" s="22" t="s">
        <v>25</v>
      </c>
      <c r="F11" s="23" t="s">
        <v>28</v>
      </c>
      <c r="G11" s="24" t="s">
        <v>29</v>
      </c>
      <c r="H11" s="25">
        <v>1</v>
      </c>
      <c r="I11" s="26">
        <v>1</v>
      </c>
      <c r="J11" s="51"/>
      <c r="K11" s="27"/>
      <c r="L11" s="27"/>
    </row>
    <row r="12" spans="2:12" ht="15" customHeight="1" x14ac:dyDescent="0.35">
      <c r="B12" s="12">
        <v>5</v>
      </c>
      <c r="C12" s="13" t="s">
        <v>30</v>
      </c>
      <c r="D12" s="13" t="s">
        <v>31</v>
      </c>
      <c r="E12" s="14" t="s">
        <v>32</v>
      </c>
      <c r="F12" s="15"/>
      <c r="G12" s="16"/>
      <c r="H12" s="17">
        <f>SUM(H13:H13)</f>
        <v>1</v>
      </c>
      <c r="I12" s="18">
        <f>SUM(I13:I13)</f>
        <v>1</v>
      </c>
      <c r="J12" s="51"/>
      <c r="K12" s="27"/>
      <c r="L12" s="27"/>
    </row>
    <row r="13" spans="2:12" ht="15" customHeight="1" x14ac:dyDescent="0.35">
      <c r="B13" s="19">
        <v>8</v>
      </c>
      <c r="C13" s="20" t="s">
        <v>33</v>
      </c>
      <c r="D13" s="21" t="s">
        <v>34</v>
      </c>
      <c r="E13" s="22" t="s">
        <v>32</v>
      </c>
      <c r="F13" s="23" t="s">
        <v>35</v>
      </c>
      <c r="G13" s="24">
        <v>1920</v>
      </c>
      <c r="H13" s="25">
        <v>1</v>
      </c>
      <c r="I13" s="26">
        <v>1</v>
      </c>
      <c r="J13" s="51"/>
      <c r="K13" s="27"/>
      <c r="L13" s="27"/>
    </row>
    <row r="14" spans="2:12" ht="15" customHeight="1" x14ac:dyDescent="0.35">
      <c r="B14" s="12">
        <v>5</v>
      </c>
      <c r="C14" s="13" t="s">
        <v>36</v>
      </c>
      <c r="D14" s="13" t="s">
        <v>37</v>
      </c>
      <c r="E14" s="14" t="s">
        <v>32</v>
      </c>
      <c r="F14" s="15"/>
      <c r="G14" s="16"/>
      <c r="H14" s="17">
        <f>SUM(H15)</f>
        <v>1</v>
      </c>
      <c r="I14" s="18">
        <f>SUM(I15)</f>
        <v>1</v>
      </c>
      <c r="J14" s="51"/>
      <c r="K14" s="27"/>
      <c r="L14" s="27"/>
    </row>
    <row r="15" spans="2:12" ht="15" customHeight="1" x14ac:dyDescent="0.35">
      <c r="B15" s="19">
        <v>8</v>
      </c>
      <c r="C15" s="20" t="s">
        <v>38</v>
      </c>
      <c r="D15" s="21" t="s">
        <v>39</v>
      </c>
      <c r="E15" s="22" t="s">
        <v>32</v>
      </c>
      <c r="F15" s="23" t="s">
        <v>40</v>
      </c>
      <c r="G15" s="24" t="s">
        <v>41</v>
      </c>
      <c r="H15" s="25">
        <v>1</v>
      </c>
      <c r="I15" s="26">
        <v>1</v>
      </c>
      <c r="J15" s="51"/>
      <c r="K15" s="27"/>
      <c r="L15" s="27"/>
    </row>
    <row r="16" spans="2:12" ht="15" customHeight="1" x14ac:dyDescent="0.35">
      <c r="B16" s="12">
        <v>5</v>
      </c>
      <c r="C16" s="13" t="s">
        <v>42</v>
      </c>
      <c r="D16" s="13" t="s">
        <v>43</v>
      </c>
      <c r="E16" s="14" t="s">
        <v>32</v>
      </c>
      <c r="F16" s="15"/>
      <c r="G16" s="16"/>
      <c r="H16" s="17">
        <f>SUM(H17)</f>
        <v>1</v>
      </c>
      <c r="I16" s="18">
        <f>SUM(I17)</f>
        <v>1</v>
      </c>
      <c r="J16" s="51"/>
      <c r="K16" s="27"/>
      <c r="L16" s="27"/>
    </row>
    <row r="17" spans="2:12" ht="15" customHeight="1" x14ac:dyDescent="0.35">
      <c r="B17" s="19">
        <v>8</v>
      </c>
      <c r="C17" s="20" t="s">
        <v>44</v>
      </c>
      <c r="D17" s="21" t="s">
        <v>45</v>
      </c>
      <c r="E17" s="22" t="s">
        <v>32</v>
      </c>
      <c r="F17" s="23" t="s">
        <v>46</v>
      </c>
      <c r="G17" s="24" t="s">
        <v>41</v>
      </c>
      <c r="H17" s="25">
        <v>1</v>
      </c>
      <c r="I17" s="26">
        <v>1</v>
      </c>
      <c r="J17" s="51"/>
      <c r="K17" s="27"/>
      <c r="L17" s="27"/>
    </row>
    <row r="18" spans="2:12" ht="15" customHeight="1" x14ac:dyDescent="0.35">
      <c r="B18" s="12">
        <v>5</v>
      </c>
      <c r="C18" s="13" t="s">
        <v>47</v>
      </c>
      <c r="D18" s="13" t="s">
        <v>48</v>
      </c>
      <c r="E18" s="14" t="s">
        <v>32</v>
      </c>
      <c r="F18" s="15"/>
      <c r="G18" s="16"/>
      <c r="H18" s="17">
        <f>SUM(H19:H19)</f>
        <v>1</v>
      </c>
      <c r="I18" s="18">
        <f>SUM(I19:I19)</f>
        <v>1</v>
      </c>
      <c r="J18" s="51"/>
      <c r="K18" s="27"/>
      <c r="L18" s="27"/>
    </row>
    <row r="19" spans="2:12" ht="15" customHeight="1" x14ac:dyDescent="0.35">
      <c r="B19" s="19">
        <v>8</v>
      </c>
      <c r="C19" s="20" t="s">
        <v>49</v>
      </c>
      <c r="D19" s="21" t="s">
        <v>50</v>
      </c>
      <c r="E19" s="22" t="s">
        <v>32</v>
      </c>
      <c r="F19" s="23" t="s">
        <v>51</v>
      </c>
      <c r="G19" s="24" t="s">
        <v>41</v>
      </c>
      <c r="H19" s="25">
        <v>1</v>
      </c>
      <c r="I19" s="26">
        <v>1</v>
      </c>
      <c r="J19" s="51"/>
      <c r="K19" s="27"/>
      <c r="L19" s="27"/>
    </row>
    <row r="20" spans="2:12" ht="15" customHeight="1" x14ac:dyDescent="0.35">
      <c r="B20" s="12">
        <v>5</v>
      </c>
      <c r="C20" s="13" t="s">
        <v>52</v>
      </c>
      <c r="D20" s="13" t="s">
        <v>53</v>
      </c>
      <c r="E20" s="50" t="s">
        <v>54</v>
      </c>
      <c r="F20" s="15"/>
      <c r="G20" s="16"/>
      <c r="H20" s="17">
        <f>SUM(H21:H27)</f>
        <v>1.0000000000000002</v>
      </c>
      <c r="I20" s="18">
        <f>SUM(I21:I27)</f>
        <v>1</v>
      </c>
      <c r="J20" s="51"/>
      <c r="K20" s="27"/>
      <c r="L20" s="27"/>
    </row>
    <row r="21" spans="2:12" ht="15" customHeight="1" x14ac:dyDescent="0.35">
      <c r="B21" s="19">
        <v>8</v>
      </c>
      <c r="C21" s="68" t="s">
        <v>55</v>
      </c>
      <c r="D21" s="52" t="s">
        <v>56</v>
      </c>
      <c r="E21" s="53" t="s">
        <v>57</v>
      </c>
      <c r="F21" s="54" t="s">
        <v>58</v>
      </c>
      <c r="G21" s="69" t="s">
        <v>59</v>
      </c>
      <c r="H21" s="70">
        <v>0.46348493963302539</v>
      </c>
      <c r="I21" s="57">
        <v>0.413199113214749</v>
      </c>
      <c r="J21" s="51"/>
      <c r="K21" s="27"/>
      <c r="L21" s="27"/>
    </row>
    <row r="22" spans="2:12" ht="15" customHeight="1" x14ac:dyDescent="0.35">
      <c r="B22" s="19">
        <v>8</v>
      </c>
      <c r="C22" s="20" t="s">
        <v>60</v>
      </c>
      <c r="D22" s="21" t="s">
        <v>61</v>
      </c>
      <c r="E22" s="22" t="s">
        <v>57</v>
      </c>
      <c r="F22" s="23" t="s">
        <v>62</v>
      </c>
      <c r="G22" s="24" t="s">
        <v>59</v>
      </c>
      <c r="H22" s="25">
        <v>4.9468668693900292E-2</v>
      </c>
      <c r="I22" s="26">
        <v>6.7735182492085655E-2</v>
      </c>
      <c r="J22" s="51"/>
      <c r="K22" s="27"/>
      <c r="L22" s="27"/>
    </row>
    <row r="23" spans="2:12" ht="15" customHeight="1" x14ac:dyDescent="0.35">
      <c r="B23" s="19">
        <v>8</v>
      </c>
      <c r="C23" s="68" t="s">
        <v>63</v>
      </c>
      <c r="D23" s="52" t="s">
        <v>64</v>
      </c>
      <c r="E23" s="53" t="s">
        <v>57</v>
      </c>
      <c r="F23" s="54" t="s">
        <v>65</v>
      </c>
      <c r="G23" s="69" t="s">
        <v>59</v>
      </c>
      <c r="H23" s="70">
        <v>0.17622146002202885</v>
      </c>
      <c r="I23" s="57">
        <v>0.19506869973173319</v>
      </c>
      <c r="J23" s="51"/>
      <c r="K23" s="27"/>
      <c r="L23" s="27"/>
    </row>
    <row r="24" spans="2:12" ht="15" customHeight="1" x14ac:dyDescent="0.35">
      <c r="B24" s="19">
        <v>8</v>
      </c>
      <c r="C24" s="68" t="s">
        <v>66</v>
      </c>
      <c r="D24" s="52" t="s">
        <v>67</v>
      </c>
      <c r="E24" s="53" t="s">
        <v>57</v>
      </c>
      <c r="F24" s="54" t="s">
        <v>68</v>
      </c>
      <c r="G24" s="69" t="s">
        <v>59</v>
      </c>
      <c r="H24" s="70">
        <v>0.1270684213946037</v>
      </c>
      <c r="I24" s="57">
        <v>0.13450837283805639</v>
      </c>
      <c r="J24" s="51"/>
      <c r="K24" s="27"/>
      <c r="L24" s="27"/>
    </row>
    <row r="25" spans="2:12" ht="15" customHeight="1" x14ac:dyDescent="0.35">
      <c r="B25" s="19">
        <v>8</v>
      </c>
      <c r="C25" s="68" t="s">
        <v>69</v>
      </c>
      <c r="D25" s="52" t="s">
        <v>70</v>
      </c>
      <c r="E25" s="53" t="s">
        <v>57</v>
      </c>
      <c r="F25" s="54" t="s">
        <v>71</v>
      </c>
      <c r="G25" s="69" t="s">
        <v>59</v>
      </c>
      <c r="H25" s="70">
        <v>0.17041505435452473</v>
      </c>
      <c r="I25" s="57">
        <v>0.17766185389216557</v>
      </c>
      <c r="J25" s="51"/>
      <c r="K25" s="27"/>
      <c r="L25" s="27"/>
    </row>
    <row r="26" spans="2:12" ht="15" customHeight="1" x14ac:dyDescent="0.35">
      <c r="B26" s="19">
        <v>8</v>
      </c>
      <c r="C26" s="20" t="s">
        <v>72</v>
      </c>
      <c r="D26" s="21" t="s">
        <v>73</v>
      </c>
      <c r="E26" s="22" t="s">
        <v>57</v>
      </c>
      <c r="F26" s="23" t="s">
        <v>74</v>
      </c>
      <c r="G26" s="24" t="s">
        <v>59</v>
      </c>
      <c r="H26" s="25">
        <v>1.3341455901917218E-2</v>
      </c>
      <c r="I26" s="26">
        <v>0</v>
      </c>
      <c r="J26" s="51"/>
      <c r="K26" s="27"/>
      <c r="L26" s="27"/>
    </row>
    <row r="27" spans="2:12" ht="15" customHeight="1" x14ac:dyDescent="0.35">
      <c r="B27" s="19">
        <v>8</v>
      </c>
      <c r="C27" s="20" t="s">
        <v>75</v>
      </c>
      <c r="D27" s="21" t="s">
        <v>76</v>
      </c>
      <c r="E27" s="22" t="s">
        <v>57</v>
      </c>
      <c r="F27" s="23" t="s">
        <v>77</v>
      </c>
      <c r="G27" s="24" t="s">
        <v>59</v>
      </c>
      <c r="H27" s="25">
        <v>0</v>
      </c>
      <c r="I27" s="26">
        <v>1.1826777831210195E-2</v>
      </c>
      <c r="J27" s="51"/>
      <c r="K27" s="27"/>
      <c r="L27" s="27"/>
    </row>
    <row r="28" spans="2:12" ht="15" customHeight="1" x14ac:dyDescent="0.35">
      <c r="B28" s="12">
        <v>5</v>
      </c>
      <c r="C28" s="13" t="s">
        <v>78</v>
      </c>
      <c r="D28" s="13" t="s">
        <v>79</v>
      </c>
      <c r="E28" s="14" t="s">
        <v>57</v>
      </c>
      <c r="F28" s="15"/>
      <c r="G28" s="16"/>
      <c r="H28" s="17">
        <f>SUM(H29:H40)</f>
        <v>0.99999999999999989</v>
      </c>
      <c r="I28" s="18">
        <f>SUM(I29:I40)</f>
        <v>1.0000000000000002</v>
      </c>
      <c r="J28" s="51"/>
      <c r="K28" s="27"/>
      <c r="L28" s="27"/>
    </row>
    <row r="29" spans="2:12" ht="15" customHeight="1" x14ac:dyDescent="0.35">
      <c r="B29" s="19">
        <v>8</v>
      </c>
      <c r="C29" s="20" t="s">
        <v>80</v>
      </c>
      <c r="D29" s="21" t="s">
        <v>81</v>
      </c>
      <c r="E29" s="22" t="s">
        <v>57</v>
      </c>
      <c r="F29" s="23" t="s">
        <v>82</v>
      </c>
      <c r="G29" s="24" t="s">
        <v>83</v>
      </c>
      <c r="H29" s="25">
        <v>2.4741256904384615E-2</v>
      </c>
      <c r="I29" s="26">
        <v>1.7585016869903308E-2</v>
      </c>
      <c r="J29" s="51"/>
      <c r="K29" s="27"/>
      <c r="L29" s="27"/>
    </row>
    <row r="30" spans="2:12" ht="15" customHeight="1" x14ac:dyDescent="0.35">
      <c r="B30" s="19">
        <v>8</v>
      </c>
      <c r="C30" s="20" t="s">
        <v>84</v>
      </c>
      <c r="D30" s="21" t="s">
        <v>85</v>
      </c>
      <c r="E30" s="22" t="s">
        <v>57</v>
      </c>
      <c r="F30" s="23" t="s">
        <v>86</v>
      </c>
      <c r="G30" s="24" t="s">
        <v>83</v>
      </c>
      <c r="H30" s="25">
        <v>1.4697111680454091E-2</v>
      </c>
      <c r="I30" s="26">
        <v>1.830817950510048E-2</v>
      </c>
      <c r="J30" s="51"/>
      <c r="K30" s="27"/>
      <c r="L30" s="27"/>
    </row>
    <row r="31" spans="2:12" ht="15" customHeight="1" x14ac:dyDescent="0.35">
      <c r="B31" s="19">
        <v>8</v>
      </c>
      <c r="C31" s="20" t="s">
        <v>87</v>
      </c>
      <c r="D31" s="21" t="s">
        <v>88</v>
      </c>
      <c r="E31" s="22" t="s">
        <v>57</v>
      </c>
      <c r="F31" s="23" t="s">
        <v>89</v>
      </c>
      <c r="G31" s="24" t="s">
        <v>83</v>
      </c>
      <c r="H31" s="25">
        <v>2.1785369273894128E-2</v>
      </c>
      <c r="I31" s="26">
        <v>2.7479101893552096E-2</v>
      </c>
      <c r="J31" s="51"/>
      <c r="K31" s="27"/>
      <c r="L31" s="27"/>
    </row>
    <row r="32" spans="2:12" ht="15" customHeight="1" x14ac:dyDescent="0.35">
      <c r="B32" s="19">
        <v>8</v>
      </c>
      <c r="C32" s="68" t="s">
        <v>90</v>
      </c>
      <c r="D32" s="52" t="s">
        <v>91</v>
      </c>
      <c r="E32" s="22" t="s">
        <v>57</v>
      </c>
      <c r="F32" s="23" t="s">
        <v>92</v>
      </c>
      <c r="G32" s="24" t="s">
        <v>93</v>
      </c>
      <c r="H32" s="70">
        <v>0.43562407406133186</v>
      </c>
      <c r="I32" s="57">
        <v>0.42927705560074758</v>
      </c>
      <c r="J32" s="51">
        <f>H32</f>
        <v>0.43562407406133186</v>
      </c>
      <c r="K32" s="27"/>
      <c r="L32" s="27"/>
    </row>
    <row r="33" spans="2:12" ht="15" customHeight="1" x14ac:dyDescent="0.35">
      <c r="B33" s="19">
        <v>8</v>
      </c>
      <c r="C33" s="20" t="s">
        <v>94</v>
      </c>
      <c r="D33" s="21" t="s">
        <v>95</v>
      </c>
      <c r="E33" s="22" t="s">
        <v>57</v>
      </c>
      <c r="F33" s="23" t="s">
        <v>96</v>
      </c>
      <c r="G33" s="24" t="s">
        <v>93</v>
      </c>
      <c r="H33" s="25">
        <v>4.3225879105119838E-2</v>
      </c>
      <c r="I33" s="26">
        <v>4.267232209210426E-2</v>
      </c>
      <c r="J33" s="51"/>
      <c r="K33" s="27"/>
      <c r="L33" s="27"/>
    </row>
    <row r="34" spans="2:12" ht="15" customHeight="1" x14ac:dyDescent="0.35">
      <c r="B34" s="19">
        <v>8</v>
      </c>
      <c r="C34" s="68" t="s">
        <v>97</v>
      </c>
      <c r="D34" s="52" t="s">
        <v>98</v>
      </c>
      <c r="E34" s="22" t="s">
        <v>57</v>
      </c>
      <c r="F34" s="23" t="s">
        <v>99</v>
      </c>
      <c r="G34" s="24" t="s">
        <v>93</v>
      </c>
      <c r="H34" s="70">
        <v>6.2307315301087352E-2</v>
      </c>
      <c r="I34" s="26">
        <v>5.1626988452192837E-2</v>
      </c>
      <c r="J34" s="51">
        <f>H34</f>
        <v>6.2307315301087352E-2</v>
      </c>
      <c r="K34" s="27"/>
      <c r="L34" s="27"/>
    </row>
    <row r="35" spans="2:12" ht="15" customHeight="1" x14ac:dyDescent="0.35">
      <c r="B35" s="19">
        <v>8</v>
      </c>
      <c r="C35" s="68" t="s">
        <v>100</v>
      </c>
      <c r="D35" s="52" t="s">
        <v>101</v>
      </c>
      <c r="E35" s="22" t="s">
        <v>57</v>
      </c>
      <c r="F35" s="23" t="s">
        <v>102</v>
      </c>
      <c r="G35" s="24" t="s">
        <v>93</v>
      </c>
      <c r="H35" s="70">
        <v>0.14017013291612038</v>
      </c>
      <c r="I35" s="26">
        <v>0.12971048438630406</v>
      </c>
      <c r="J35" s="51">
        <f>H35</f>
        <v>0.14017013291612038</v>
      </c>
      <c r="K35" s="27"/>
      <c r="L35" s="27"/>
    </row>
    <row r="36" spans="2:12" ht="15" customHeight="1" x14ac:dyDescent="0.35">
      <c r="B36" s="19">
        <v>8</v>
      </c>
      <c r="C36" s="68" t="s">
        <v>103</v>
      </c>
      <c r="D36" s="52" t="s">
        <v>104</v>
      </c>
      <c r="E36" s="22" t="s">
        <v>57</v>
      </c>
      <c r="F36" s="23" t="s">
        <v>105</v>
      </c>
      <c r="G36" s="24" t="s">
        <v>93</v>
      </c>
      <c r="H36" s="70">
        <v>8.1008121505344435E-2</v>
      </c>
      <c r="I36" s="26">
        <v>8.8055217211833084E-2</v>
      </c>
      <c r="J36" s="51">
        <f>H36</f>
        <v>8.1008121505344435E-2</v>
      </c>
      <c r="K36" s="27"/>
      <c r="L36" s="27"/>
    </row>
    <row r="37" spans="2:12" ht="15" customHeight="1" x14ac:dyDescent="0.35">
      <c r="B37" s="19">
        <v>8</v>
      </c>
      <c r="C37" s="20" t="s">
        <v>106</v>
      </c>
      <c r="D37" s="21" t="s">
        <v>107</v>
      </c>
      <c r="E37" s="22" t="s">
        <v>57</v>
      </c>
      <c r="F37" s="23" t="s">
        <v>108</v>
      </c>
      <c r="G37" s="24" t="s">
        <v>93</v>
      </c>
      <c r="H37" s="25">
        <v>4.3301155811322579E-2</v>
      </c>
      <c r="I37" s="26">
        <v>4.4200671911609452E-2</v>
      </c>
      <c r="J37" s="51"/>
      <c r="K37" s="27"/>
      <c r="L37" s="27"/>
    </row>
    <row r="38" spans="2:12" ht="15" customHeight="1" x14ac:dyDescent="0.35">
      <c r="B38" s="19">
        <v>8</v>
      </c>
      <c r="C38" s="68" t="s">
        <v>109</v>
      </c>
      <c r="D38" s="52" t="s">
        <v>110</v>
      </c>
      <c r="E38" s="22" t="s">
        <v>57</v>
      </c>
      <c r="F38" s="23" t="s">
        <v>111</v>
      </c>
      <c r="G38" s="24" t="s">
        <v>93</v>
      </c>
      <c r="H38" s="70">
        <v>4.7223957955456176E-2</v>
      </c>
      <c r="I38" s="26">
        <v>5.2179844428582929E-2</v>
      </c>
      <c r="J38" s="51">
        <f t="shared" ref="J38:J39" si="0">H38</f>
        <v>4.7223957955456176E-2</v>
      </c>
      <c r="K38" s="27"/>
      <c r="L38" s="27"/>
    </row>
    <row r="39" spans="2:12" ht="15" customHeight="1" x14ac:dyDescent="0.35">
      <c r="B39" s="19">
        <v>8</v>
      </c>
      <c r="C39" s="68" t="s">
        <v>112</v>
      </c>
      <c r="D39" s="52" t="s">
        <v>113</v>
      </c>
      <c r="E39" s="22" t="s">
        <v>57</v>
      </c>
      <c r="F39" s="23" t="s">
        <v>114</v>
      </c>
      <c r="G39" s="24" t="s">
        <v>93</v>
      </c>
      <c r="H39" s="70">
        <v>4.7467945051741699E-2</v>
      </c>
      <c r="I39" s="26">
        <v>5.1863128903927441E-2</v>
      </c>
      <c r="J39" s="51">
        <f t="shared" si="0"/>
        <v>4.7467945051741699E-2</v>
      </c>
      <c r="K39" s="27"/>
      <c r="L39" s="27"/>
    </row>
    <row r="40" spans="2:12" ht="15" customHeight="1" x14ac:dyDescent="0.35">
      <c r="B40" s="19">
        <v>8</v>
      </c>
      <c r="C40" s="20" t="s">
        <v>115</v>
      </c>
      <c r="D40" s="21" t="s">
        <v>116</v>
      </c>
      <c r="E40" s="22" t="s">
        <v>57</v>
      </c>
      <c r="F40" s="23" t="s">
        <v>117</v>
      </c>
      <c r="G40" s="24" t="s">
        <v>93</v>
      </c>
      <c r="H40" s="25">
        <v>3.8447680433742783E-2</v>
      </c>
      <c r="I40" s="26">
        <v>4.7041988744142567E-2</v>
      </c>
      <c r="J40" s="51"/>
      <c r="K40" s="27"/>
      <c r="L40" s="27"/>
    </row>
    <row r="41" spans="2:12" ht="15" customHeight="1" x14ac:dyDescent="0.35">
      <c r="B41" s="12">
        <v>5</v>
      </c>
      <c r="C41" s="13" t="s">
        <v>118</v>
      </c>
      <c r="D41" s="13" t="s">
        <v>119</v>
      </c>
      <c r="E41" s="50" t="s">
        <v>120</v>
      </c>
      <c r="F41" s="15"/>
      <c r="G41" s="16"/>
      <c r="H41" s="17">
        <f>SUM(H42:H51)</f>
        <v>1.0000000000000002</v>
      </c>
      <c r="I41" s="18">
        <f>SUM(I42:I51)</f>
        <v>0.99999999999999967</v>
      </c>
      <c r="J41" s="51"/>
      <c r="K41" s="27"/>
      <c r="L41" s="27"/>
    </row>
    <row r="42" spans="2:12" ht="15" customHeight="1" x14ac:dyDescent="0.35">
      <c r="B42" s="19">
        <v>8</v>
      </c>
      <c r="C42" s="20" t="s">
        <v>121</v>
      </c>
      <c r="D42" s="21" t="s">
        <v>122</v>
      </c>
      <c r="E42" s="22" t="s">
        <v>57</v>
      </c>
      <c r="F42" s="23" t="s">
        <v>123</v>
      </c>
      <c r="G42" s="24" t="s">
        <v>124</v>
      </c>
      <c r="H42" s="25">
        <v>1.2853398003606617E-2</v>
      </c>
      <c r="I42" s="26">
        <v>1.3442103524496903E-2</v>
      </c>
      <c r="J42" s="51"/>
      <c r="K42" s="27"/>
      <c r="L42" s="27"/>
    </row>
    <row r="43" spans="2:12" ht="15" customHeight="1" x14ac:dyDescent="0.35">
      <c r="B43" s="19">
        <v>8</v>
      </c>
      <c r="C43" s="20" t="s">
        <v>125</v>
      </c>
      <c r="D43" s="21" t="s">
        <v>126</v>
      </c>
      <c r="E43" s="22" t="s">
        <v>57</v>
      </c>
      <c r="F43" s="23" t="s">
        <v>127</v>
      </c>
      <c r="G43" s="24" t="s">
        <v>128</v>
      </c>
      <c r="H43" s="25">
        <v>1.5639940764541022E-2</v>
      </c>
      <c r="I43" s="26">
        <v>1.6521756685383034E-2</v>
      </c>
      <c r="J43" s="51"/>
      <c r="K43" s="27"/>
      <c r="L43" s="27"/>
    </row>
    <row r="44" spans="2:12" ht="15" customHeight="1" x14ac:dyDescent="0.35">
      <c r="B44" s="19">
        <v>8</v>
      </c>
      <c r="C44" s="68" t="s">
        <v>129</v>
      </c>
      <c r="D44" s="52" t="s">
        <v>130</v>
      </c>
      <c r="E44" s="53" t="s">
        <v>57</v>
      </c>
      <c r="F44" s="54" t="s">
        <v>131</v>
      </c>
      <c r="G44" s="69" t="s">
        <v>132</v>
      </c>
      <c r="H44" s="70">
        <v>0.7101390723617691</v>
      </c>
      <c r="I44" s="57">
        <v>0.70257554372991271</v>
      </c>
      <c r="J44" s="51"/>
      <c r="K44" s="27"/>
      <c r="L44" s="27"/>
    </row>
    <row r="45" spans="2:12" ht="15" customHeight="1" x14ac:dyDescent="0.35">
      <c r="B45" s="19">
        <v>8</v>
      </c>
      <c r="C45" s="20" t="s">
        <v>133</v>
      </c>
      <c r="D45" s="21" t="s">
        <v>134</v>
      </c>
      <c r="E45" s="22" t="s">
        <v>57</v>
      </c>
      <c r="F45" s="23" t="s">
        <v>135</v>
      </c>
      <c r="G45" s="24" t="s">
        <v>136</v>
      </c>
      <c r="H45" s="25">
        <v>1.6871260488196187E-2</v>
      </c>
      <c r="I45" s="26">
        <v>1.2827817309871816E-2</v>
      </c>
      <c r="J45" s="51"/>
      <c r="K45" s="27"/>
      <c r="L45" s="27"/>
    </row>
    <row r="46" spans="2:12" ht="15" customHeight="1" x14ac:dyDescent="0.35">
      <c r="B46" s="19">
        <v>8</v>
      </c>
      <c r="C46" s="68" t="s">
        <v>137</v>
      </c>
      <c r="D46" s="52" t="s">
        <v>138</v>
      </c>
      <c r="E46" s="53" t="s">
        <v>57</v>
      </c>
      <c r="F46" s="54" t="s">
        <v>139</v>
      </c>
      <c r="G46" s="69" t="s">
        <v>136</v>
      </c>
      <c r="H46" s="70">
        <v>0.13133666274245814</v>
      </c>
      <c r="I46" s="57">
        <v>0.12147237944068358</v>
      </c>
      <c r="J46" s="51"/>
      <c r="K46" s="27"/>
      <c r="L46" s="27"/>
    </row>
    <row r="47" spans="2:12" ht="15" customHeight="1" x14ac:dyDescent="0.35">
      <c r="B47" s="19">
        <v>8</v>
      </c>
      <c r="C47" s="20" t="s">
        <v>140</v>
      </c>
      <c r="D47" s="21" t="s">
        <v>141</v>
      </c>
      <c r="E47" s="22" t="s">
        <v>57</v>
      </c>
      <c r="F47" s="23" t="s">
        <v>142</v>
      </c>
      <c r="G47" s="24" t="s">
        <v>93</v>
      </c>
      <c r="H47" s="25">
        <v>1.8673821873985978E-2</v>
      </c>
      <c r="I47" s="26">
        <v>1.6425870171685529E-2</v>
      </c>
      <c r="J47" s="51"/>
      <c r="K47" s="27"/>
      <c r="L47" s="27"/>
    </row>
    <row r="48" spans="2:12" ht="15" customHeight="1" x14ac:dyDescent="0.35">
      <c r="B48" s="19">
        <v>8</v>
      </c>
      <c r="C48" s="68" t="s">
        <v>143</v>
      </c>
      <c r="D48" s="52" t="s">
        <v>144</v>
      </c>
      <c r="E48" s="53" t="s">
        <v>57</v>
      </c>
      <c r="F48" s="54" t="s">
        <v>145</v>
      </c>
      <c r="G48" s="69" t="s">
        <v>136</v>
      </c>
      <c r="H48" s="70">
        <v>4.9037005458006454E-2</v>
      </c>
      <c r="I48" s="57">
        <v>5.3104664785660706E-2</v>
      </c>
      <c r="J48" s="51"/>
      <c r="K48" s="27"/>
      <c r="L48" s="27"/>
    </row>
    <row r="49" spans="2:12" ht="15" customHeight="1" x14ac:dyDescent="0.35">
      <c r="B49" s="19">
        <v>8</v>
      </c>
      <c r="C49" s="68" t="s">
        <v>146</v>
      </c>
      <c r="D49" s="52" t="s">
        <v>147</v>
      </c>
      <c r="E49" s="53" t="s">
        <v>57</v>
      </c>
      <c r="F49" s="54" t="s">
        <v>148</v>
      </c>
      <c r="G49" s="69" t="s">
        <v>149</v>
      </c>
      <c r="H49" s="70">
        <v>3.0402101036372458E-2</v>
      </c>
      <c r="I49" s="57">
        <v>3.5442094211580878E-2</v>
      </c>
      <c r="J49" s="51"/>
      <c r="K49" s="27"/>
      <c r="L49" s="27"/>
    </row>
    <row r="50" spans="2:12" ht="15" customHeight="1" x14ac:dyDescent="0.35">
      <c r="B50" s="19">
        <v>8</v>
      </c>
      <c r="C50" s="20" t="s">
        <v>150</v>
      </c>
      <c r="D50" s="21" t="s">
        <v>151</v>
      </c>
      <c r="E50" s="22" t="s">
        <v>57</v>
      </c>
      <c r="F50" s="23" t="s">
        <v>152</v>
      </c>
      <c r="G50" s="24" t="s">
        <v>93</v>
      </c>
      <c r="H50" s="25">
        <v>0</v>
      </c>
      <c r="I50" s="26">
        <v>1.1784249947682329E-2</v>
      </c>
      <c r="J50" s="51"/>
      <c r="K50" s="27"/>
      <c r="L50" s="27"/>
    </row>
    <row r="51" spans="2:12" ht="15" customHeight="1" thickBot="1" x14ac:dyDescent="0.4">
      <c r="B51" s="28">
        <v>8</v>
      </c>
      <c r="C51" s="29" t="s">
        <v>153</v>
      </c>
      <c r="D51" s="30" t="s">
        <v>154</v>
      </c>
      <c r="E51" s="31" t="s">
        <v>57</v>
      </c>
      <c r="F51" s="32" t="s">
        <v>155</v>
      </c>
      <c r="G51" s="33" t="s">
        <v>124</v>
      </c>
      <c r="H51" s="34">
        <v>1.5046737271064186E-2</v>
      </c>
      <c r="I51" s="35">
        <v>1.6403520193042267E-2</v>
      </c>
      <c r="J51" s="51"/>
      <c r="K51" s="27"/>
      <c r="L51" s="27"/>
    </row>
  </sheetData>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B1CAF-0C5D-40B7-BAC1-2EE53E30CE54}">
  <dimension ref="A1:Q211"/>
  <sheetViews>
    <sheetView showGridLines="0" zoomScale="90" zoomScaleNormal="90" workbookViewId="0">
      <pane xSplit="2" ySplit="6" topLeftCell="C121" activePane="bottomRight" state="frozen"/>
      <selection activeCell="L27" sqref="L27:M27"/>
      <selection pane="topRight" activeCell="L27" sqref="L27:M27"/>
      <selection pane="bottomLeft" activeCell="L27" sqref="L27:M27"/>
      <selection pane="bottomRight" activeCell="C1" sqref="C1:C1048576"/>
    </sheetView>
  </sheetViews>
  <sheetFormatPr defaultColWidth="11.453125" defaultRowHeight="14.5" x14ac:dyDescent="0.35"/>
  <cols>
    <col min="1" max="1" width="2" style="7" customWidth="1"/>
    <col min="2" max="2" width="6.26953125" style="11" customWidth="1"/>
    <col min="3" max="3" width="11.453125" style="11"/>
    <col min="4" max="4" width="102.90625" style="11" customWidth="1"/>
    <col min="5" max="5" width="11.453125" style="11" customWidth="1"/>
    <col min="6" max="6" width="13" style="11" customWidth="1"/>
    <col min="7" max="7" width="6.90625" style="11" customWidth="1"/>
    <col min="8" max="8" width="10.08984375" style="11" hidden="1" customWidth="1"/>
    <col min="9" max="9" width="10.08984375" style="11" customWidth="1"/>
    <col min="10" max="10" width="16.7265625" style="11" hidden="1" customWidth="1"/>
    <col min="11" max="11" width="16.7265625" style="11" customWidth="1"/>
    <col min="12" max="12" width="4.54296875" style="67" customWidth="1"/>
    <col min="13" max="13" width="12.81640625" style="36" customWidth="1"/>
    <col min="14" max="14" width="11.453125" style="36" customWidth="1"/>
    <col min="15" max="15" width="11.453125" style="11" customWidth="1"/>
    <col min="16" max="16384" width="11.453125" style="11"/>
  </cols>
  <sheetData>
    <row r="1" spans="2:17" hidden="1" x14ac:dyDescent="0.35">
      <c r="B1" s="10" t="s">
        <v>0</v>
      </c>
    </row>
    <row r="2" spans="2:17" hidden="1" x14ac:dyDescent="0.35">
      <c r="B2" s="10" t="s">
        <v>1</v>
      </c>
    </row>
    <row r="3" spans="2:17" hidden="1" x14ac:dyDescent="0.35">
      <c r="B3" s="10" t="s">
        <v>2</v>
      </c>
    </row>
    <row r="4" spans="2:17" hidden="1" x14ac:dyDescent="0.35">
      <c r="B4" s="10" t="s">
        <v>3</v>
      </c>
    </row>
    <row r="5" spans="2:17" ht="15" hidden="1" thickBot="1" x14ac:dyDescent="0.4"/>
    <row r="6" spans="2:17" ht="56.5" thickBot="1" x14ac:dyDescent="0.4">
      <c r="B6" s="1" t="s">
        <v>4</v>
      </c>
      <c r="C6" s="2" t="s">
        <v>5</v>
      </c>
      <c r="D6" s="3" t="s">
        <v>6</v>
      </c>
      <c r="E6" s="4" t="s">
        <v>7</v>
      </c>
      <c r="F6" s="4" t="s">
        <v>8</v>
      </c>
      <c r="G6" s="8" t="s">
        <v>9</v>
      </c>
      <c r="H6" s="9" t="s">
        <v>10</v>
      </c>
      <c r="I6" s="6" t="s">
        <v>11</v>
      </c>
      <c r="J6" s="9" t="s">
        <v>814</v>
      </c>
      <c r="K6" s="6" t="s">
        <v>815</v>
      </c>
    </row>
    <row r="7" spans="2:17" ht="15" customHeight="1" x14ac:dyDescent="0.35">
      <c r="B7" s="12">
        <v>5</v>
      </c>
      <c r="C7" s="13" t="s">
        <v>156</v>
      </c>
      <c r="D7" s="13" t="s">
        <v>157</v>
      </c>
      <c r="E7" s="50" t="s">
        <v>158</v>
      </c>
      <c r="F7" s="15"/>
      <c r="G7" s="37"/>
      <c r="H7" s="38">
        <f t="shared" ref="H7:I7" si="0">SUM(H8:H10)</f>
        <v>1</v>
      </c>
      <c r="I7" s="18">
        <f t="shared" si="0"/>
        <v>1</v>
      </c>
      <c r="J7" s="38">
        <f t="shared" ref="J7:K7" si="1">SUM(J8:J10)</f>
        <v>1</v>
      </c>
      <c r="K7" s="39">
        <f t="shared" si="1"/>
        <v>1</v>
      </c>
      <c r="L7" s="66"/>
      <c r="M7" s="51"/>
      <c r="O7" s="40"/>
      <c r="P7" s="40"/>
      <c r="Q7" s="40"/>
    </row>
    <row r="8" spans="2:17" ht="15" customHeight="1" x14ac:dyDescent="0.35">
      <c r="B8" s="19">
        <v>8</v>
      </c>
      <c r="C8" s="20" t="s">
        <v>159</v>
      </c>
      <c r="D8" s="21" t="s">
        <v>160</v>
      </c>
      <c r="E8" s="22" t="s">
        <v>161</v>
      </c>
      <c r="F8" s="23" t="s">
        <v>162</v>
      </c>
      <c r="G8" s="41" t="s">
        <v>163</v>
      </c>
      <c r="H8" s="42">
        <v>0.51047099422637709</v>
      </c>
      <c r="I8" s="26">
        <v>0.49719422403184049</v>
      </c>
      <c r="J8" s="42">
        <v>0.54532420518244296</v>
      </c>
      <c r="K8" s="43">
        <v>0.54532420518244296</v>
      </c>
      <c r="L8" s="66"/>
      <c r="M8" s="51"/>
      <c r="O8" s="40"/>
      <c r="P8" s="40"/>
      <c r="Q8" s="40"/>
    </row>
    <row r="9" spans="2:17" ht="15" customHeight="1" x14ac:dyDescent="0.35">
      <c r="B9" s="19">
        <v>8</v>
      </c>
      <c r="C9" s="20" t="s">
        <v>164</v>
      </c>
      <c r="D9" s="21" t="s">
        <v>160</v>
      </c>
      <c r="E9" s="22" t="s">
        <v>17</v>
      </c>
      <c r="F9" s="23" t="s">
        <v>162</v>
      </c>
      <c r="G9" s="41" t="s">
        <v>163</v>
      </c>
      <c r="H9" s="42">
        <v>2.1092295668234857E-2</v>
      </c>
      <c r="I9" s="26">
        <v>3.2697990709333817E-2</v>
      </c>
      <c r="J9" s="42">
        <v>0.31411473680187335</v>
      </c>
      <c r="K9" s="43">
        <v>0.31411473680187335</v>
      </c>
      <c r="L9" s="66"/>
      <c r="M9" s="51"/>
      <c r="O9" s="40"/>
      <c r="P9" s="40"/>
      <c r="Q9" s="40"/>
    </row>
    <row r="10" spans="2:17" ht="15" customHeight="1" x14ac:dyDescent="0.35">
      <c r="B10" s="19">
        <v>8</v>
      </c>
      <c r="C10" s="20" t="s">
        <v>165</v>
      </c>
      <c r="D10" s="21" t="s">
        <v>166</v>
      </c>
      <c r="E10" s="22" t="s">
        <v>167</v>
      </c>
      <c r="F10" s="23" t="s">
        <v>168</v>
      </c>
      <c r="G10" s="41" t="s">
        <v>169</v>
      </c>
      <c r="H10" s="42">
        <v>0.46843671010538801</v>
      </c>
      <c r="I10" s="26">
        <v>0.47010778525882568</v>
      </c>
      <c r="J10" s="42">
        <v>0.14056105801568383</v>
      </c>
      <c r="K10" s="43">
        <v>0.14056105801568383</v>
      </c>
      <c r="L10" s="66"/>
      <c r="M10" s="51"/>
      <c r="O10" s="40"/>
      <c r="P10" s="40"/>
      <c r="Q10" s="40"/>
    </row>
    <row r="11" spans="2:17" ht="15" customHeight="1" x14ac:dyDescent="0.35">
      <c r="B11" s="12">
        <v>5</v>
      </c>
      <c r="C11" s="13" t="s">
        <v>170</v>
      </c>
      <c r="D11" s="13" t="s">
        <v>171</v>
      </c>
      <c r="E11" s="14" t="s">
        <v>172</v>
      </c>
      <c r="F11" s="15"/>
      <c r="G11" s="37"/>
      <c r="H11" s="38">
        <f t="shared" ref="H11:I11" si="2">SUM(H12:H15)</f>
        <v>1</v>
      </c>
      <c r="I11" s="18">
        <f t="shared" si="2"/>
        <v>1</v>
      </c>
      <c r="J11" s="38">
        <f t="shared" ref="J11:K11" si="3">SUM(J12:J15)</f>
        <v>1</v>
      </c>
      <c r="K11" s="39">
        <f t="shared" si="3"/>
        <v>1</v>
      </c>
      <c r="L11" s="66"/>
      <c r="M11" s="51"/>
      <c r="O11" s="40"/>
      <c r="P11" s="40"/>
      <c r="Q11" s="40"/>
    </row>
    <row r="12" spans="2:17" ht="15" customHeight="1" x14ac:dyDescent="0.35">
      <c r="B12" s="19">
        <v>8</v>
      </c>
      <c r="C12" s="20" t="s">
        <v>173</v>
      </c>
      <c r="D12" s="21" t="s">
        <v>174</v>
      </c>
      <c r="E12" s="22" t="s">
        <v>172</v>
      </c>
      <c r="F12" s="23" t="s">
        <v>175</v>
      </c>
      <c r="G12" s="41" t="s">
        <v>176</v>
      </c>
      <c r="H12" s="42">
        <v>0.11994159131530581</v>
      </c>
      <c r="I12" s="26">
        <v>0.13459792304331752</v>
      </c>
      <c r="J12" s="42">
        <v>6.0402496264068226E-2</v>
      </c>
      <c r="K12" s="43">
        <v>6.0402496264068226E-2</v>
      </c>
      <c r="L12" s="66"/>
      <c r="M12" s="51"/>
      <c r="O12" s="40"/>
      <c r="P12" s="40"/>
      <c r="Q12" s="40"/>
    </row>
    <row r="13" spans="2:17" ht="15" customHeight="1" x14ac:dyDescent="0.35">
      <c r="B13" s="19">
        <v>8</v>
      </c>
      <c r="C13" s="20" t="s">
        <v>177</v>
      </c>
      <c r="D13" s="21" t="s">
        <v>178</v>
      </c>
      <c r="E13" s="22" t="s">
        <v>172</v>
      </c>
      <c r="F13" s="23" t="s">
        <v>179</v>
      </c>
      <c r="G13" s="41" t="s">
        <v>176</v>
      </c>
      <c r="H13" s="42">
        <v>0.80456653247177423</v>
      </c>
      <c r="I13" s="26">
        <v>0.74089410111785414</v>
      </c>
      <c r="J13" s="42">
        <v>0.60492480771261414</v>
      </c>
      <c r="K13" s="43">
        <v>0.60492480771261414</v>
      </c>
      <c r="L13" s="66"/>
      <c r="M13" s="51"/>
      <c r="O13" s="40"/>
      <c r="P13" s="40"/>
      <c r="Q13" s="40"/>
    </row>
    <row r="14" spans="2:17" ht="15" customHeight="1" x14ac:dyDescent="0.35">
      <c r="B14" s="19" t="s">
        <v>180</v>
      </c>
      <c r="C14" s="20" t="s">
        <v>181</v>
      </c>
      <c r="D14" s="21" t="s">
        <v>182</v>
      </c>
      <c r="E14" s="22" t="s">
        <v>172</v>
      </c>
      <c r="F14" s="23" t="s">
        <v>183</v>
      </c>
      <c r="G14" s="41" t="s">
        <v>176</v>
      </c>
      <c r="H14" s="42">
        <v>2.8344988283545952E-2</v>
      </c>
      <c r="I14" s="26">
        <v>7.8793114110618526E-2</v>
      </c>
      <c r="J14" s="42">
        <v>0</v>
      </c>
      <c r="K14" s="43">
        <v>0</v>
      </c>
      <c r="L14" s="66"/>
      <c r="M14" s="51"/>
      <c r="O14" s="40"/>
      <c r="P14" s="40"/>
      <c r="Q14" s="40"/>
    </row>
    <row r="15" spans="2:17" ht="15" customHeight="1" x14ac:dyDescent="0.35">
      <c r="B15" s="19">
        <v>8</v>
      </c>
      <c r="C15" s="20" t="s">
        <v>184</v>
      </c>
      <c r="D15" s="21" t="s">
        <v>185</v>
      </c>
      <c r="E15" s="22" t="s">
        <v>172</v>
      </c>
      <c r="F15" s="23" t="s">
        <v>186</v>
      </c>
      <c r="G15" s="41" t="s">
        <v>176</v>
      </c>
      <c r="H15" s="42">
        <v>4.7146887929374069E-2</v>
      </c>
      <c r="I15" s="26">
        <v>4.5714861728209787E-2</v>
      </c>
      <c r="J15" s="42">
        <v>0.33467269602331767</v>
      </c>
      <c r="K15" s="43">
        <v>0.33467269602331767</v>
      </c>
      <c r="L15" s="66"/>
      <c r="M15" s="51"/>
      <c r="O15" s="40"/>
      <c r="P15" s="40"/>
      <c r="Q15" s="40"/>
    </row>
    <row r="16" spans="2:17" ht="15" customHeight="1" x14ac:dyDescent="0.35">
      <c r="B16" s="12">
        <v>5</v>
      </c>
      <c r="C16" s="13" t="s">
        <v>187</v>
      </c>
      <c r="D16" s="13" t="s">
        <v>188</v>
      </c>
      <c r="E16" s="14" t="s">
        <v>32</v>
      </c>
      <c r="F16" s="15"/>
      <c r="G16" s="37"/>
      <c r="H16" s="38">
        <f t="shared" ref="H16:K16" si="4">SUM(H17)</f>
        <v>1</v>
      </c>
      <c r="I16" s="18">
        <f t="shared" si="4"/>
        <v>1</v>
      </c>
      <c r="J16" s="38">
        <f t="shared" si="4"/>
        <v>1</v>
      </c>
      <c r="K16" s="39">
        <f t="shared" si="4"/>
        <v>1</v>
      </c>
      <c r="L16" s="66"/>
      <c r="M16" s="51"/>
      <c r="O16" s="40"/>
      <c r="P16" s="40"/>
      <c r="Q16" s="40"/>
    </row>
    <row r="17" spans="2:17" ht="15" customHeight="1" x14ac:dyDescent="0.35">
      <c r="B17" s="19">
        <v>8</v>
      </c>
      <c r="C17" s="20" t="s">
        <v>189</v>
      </c>
      <c r="D17" s="21" t="s">
        <v>190</v>
      </c>
      <c r="E17" s="22" t="s">
        <v>32</v>
      </c>
      <c r="F17" s="23" t="s">
        <v>191</v>
      </c>
      <c r="G17" s="41" t="s">
        <v>41</v>
      </c>
      <c r="H17" s="42">
        <v>1</v>
      </c>
      <c r="I17" s="26">
        <v>1</v>
      </c>
      <c r="J17" s="42">
        <v>1</v>
      </c>
      <c r="K17" s="43">
        <v>1</v>
      </c>
      <c r="L17" s="66"/>
      <c r="M17" s="51"/>
      <c r="O17" s="40"/>
      <c r="P17" s="40"/>
      <c r="Q17" s="40"/>
    </row>
    <row r="18" spans="2:17" ht="15" customHeight="1" x14ac:dyDescent="0.35">
      <c r="B18" s="12">
        <v>5</v>
      </c>
      <c r="C18" s="13" t="s">
        <v>192</v>
      </c>
      <c r="D18" s="13" t="s">
        <v>193</v>
      </c>
      <c r="E18" s="14" t="s">
        <v>32</v>
      </c>
      <c r="F18" s="15"/>
      <c r="G18" s="37"/>
      <c r="H18" s="38">
        <f t="shared" ref="H18:I18" si="5">SUM(H19:H21)</f>
        <v>1</v>
      </c>
      <c r="I18" s="18">
        <f t="shared" si="5"/>
        <v>1</v>
      </c>
      <c r="J18" s="38">
        <f t="shared" ref="J18:K18" si="6">SUM(J19:J21)</f>
        <v>1</v>
      </c>
      <c r="K18" s="39">
        <f t="shared" si="6"/>
        <v>1</v>
      </c>
      <c r="L18" s="66"/>
      <c r="M18" s="51"/>
      <c r="O18" s="40"/>
      <c r="P18" s="40"/>
      <c r="Q18" s="40"/>
    </row>
    <row r="19" spans="2:17" ht="15" customHeight="1" x14ac:dyDescent="0.35">
      <c r="B19" s="19">
        <v>8</v>
      </c>
      <c r="C19" s="20" t="s">
        <v>194</v>
      </c>
      <c r="D19" s="21" t="s">
        <v>195</v>
      </c>
      <c r="E19" s="22" t="s">
        <v>32</v>
      </c>
      <c r="F19" s="23" t="s">
        <v>196</v>
      </c>
      <c r="G19" s="41" t="s">
        <v>41</v>
      </c>
      <c r="H19" s="42">
        <v>0.340569446337741</v>
      </c>
      <c r="I19" s="26">
        <v>0.42103474074667113</v>
      </c>
      <c r="J19" s="44">
        <v>0</v>
      </c>
      <c r="K19" s="45">
        <v>0</v>
      </c>
      <c r="L19" s="66"/>
      <c r="M19" s="51"/>
      <c r="O19" s="40"/>
      <c r="P19" s="40"/>
      <c r="Q19" s="40"/>
    </row>
    <row r="20" spans="2:17" ht="15" customHeight="1" x14ac:dyDescent="0.35">
      <c r="B20" s="19">
        <v>8</v>
      </c>
      <c r="C20" s="20" t="s">
        <v>197</v>
      </c>
      <c r="D20" s="21" t="s">
        <v>198</v>
      </c>
      <c r="E20" s="22" t="s">
        <v>32</v>
      </c>
      <c r="F20" s="23" t="s">
        <v>40</v>
      </c>
      <c r="G20" s="41" t="s">
        <v>41</v>
      </c>
      <c r="H20" s="42">
        <v>1.8026320744787171E-2</v>
      </c>
      <c r="I20" s="26">
        <v>2.0255822104188474E-2</v>
      </c>
      <c r="J20" s="44">
        <v>0</v>
      </c>
      <c r="K20" s="45">
        <v>0</v>
      </c>
      <c r="L20" s="66"/>
      <c r="M20" s="51"/>
      <c r="O20" s="40"/>
      <c r="P20" s="40"/>
      <c r="Q20" s="40"/>
    </row>
    <row r="21" spans="2:17" ht="15" customHeight="1" x14ac:dyDescent="0.35">
      <c r="B21" s="19">
        <v>8</v>
      </c>
      <c r="C21" s="20" t="s">
        <v>199</v>
      </c>
      <c r="D21" s="21" t="s">
        <v>200</v>
      </c>
      <c r="E21" s="22" t="s">
        <v>32</v>
      </c>
      <c r="F21" s="23" t="s">
        <v>201</v>
      </c>
      <c r="G21" s="41" t="s">
        <v>41</v>
      </c>
      <c r="H21" s="42">
        <v>0.64140423291747184</v>
      </c>
      <c r="I21" s="26">
        <v>0.55870943714914034</v>
      </c>
      <c r="J21" s="44">
        <v>1</v>
      </c>
      <c r="K21" s="45">
        <v>1</v>
      </c>
      <c r="L21" s="66"/>
      <c r="M21" s="51"/>
      <c r="O21" s="40"/>
      <c r="P21" s="40"/>
      <c r="Q21" s="40"/>
    </row>
    <row r="22" spans="2:17" ht="15" customHeight="1" x14ac:dyDescent="0.35">
      <c r="B22" s="12">
        <v>5</v>
      </c>
      <c r="C22" s="13" t="s">
        <v>202</v>
      </c>
      <c r="D22" s="13" t="s">
        <v>203</v>
      </c>
      <c r="E22" s="14" t="s">
        <v>14</v>
      </c>
      <c r="F22" s="15"/>
      <c r="G22" s="37"/>
      <c r="H22" s="38">
        <f t="shared" ref="H22:I22" si="7">SUM(H23:H28)</f>
        <v>1</v>
      </c>
      <c r="I22" s="18">
        <f t="shared" si="7"/>
        <v>1.0000000000000002</v>
      </c>
      <c r="J22" s="38">
        <f t="shared" ref="J22:K22" si="8">SUM(J23:J28)</f>
        <v>1</v>
      </c>
      <c r="K22" s="39">
        <f t="shared" si="8"/>
        <v>1</v>
      </c>
      <c r="L22" s="66"/>
      <c r="M22" s="51"/>
      <c r="O22" s="40"/>
      <c r="P22" s="40"/>
      <c r="Q22" s="40"/>
    </row>
    <row r="23" spans="2:17" ht="15" customHeight="1" x14ac:dyDescent="0.35">
      <c r="B23" s="19">
        <v>8</v>
      </c>
      <c r="C23" s="20" t="s">
        <v>204</v>
      </c>
      <c r="D23" s="52" t="s">
        <v>205</v>
      </c>
      <c r="E23" s="22" t="s">
        <v>14</v>
      </c>
      <c r="F23" s="23" t="s">
        <v>206</v>
      </c>
      <c r="G23" s="41" t="s">
        <v>207</v>
      </c>
      <c r="H23" s="42">
        <v>0.38245790595602425</v>
      </c>
      <c r="I23" s="57">
        <v>0.40211342632695607</v>
      </c>
      <c r="J23" s="42">
        <v>0</v>
      </c>
      <c r="K23" s="43">
        <v>0</v>
      </c>
      <c r="L23" s="66"/>
      <c r="M23" s="51"/>
      <c r="O23" s="40"/>
      <c r="P23" s="40"/>
      <c r="Q23" s="40"/>
    </row>
    <row r="24" spans="2:17" ht="15" customHeight="1" x14ac:dyDescent="0.35">
      <c r="B24" s="19">
        <v>8</v>
      </c>
      <c r="C24" s="20" t="s">
        <v>208</v>
      </c>
      <c r="D24" s="21" t="s">
        <v>209</v>
      </c>
      <c r="E24" s="22" t="s">
        <v>14</v>
      </c>
      <c r="F24" s="23" t="s">
        <v>210</v>
      </c>
      <c r="G24" s="41" t="s">
        <v>207</v>
      </c>
      <c r="H24" s="42">
        <v>4.0205759488796566E-2</v>
      </c>
      <c r="I24" s="26">
        <v>4.1196575514936579E-2</v>
      </c>
      <c r="J24" s="42">
        <v>4.300000000000001E-2</v>
      </c>
      <c r="K24" s="43">
        <v>4.300000000000001E-2</v>
      </c>
      <c r="L24" s="66"/>
      <c r="M24" s="51"/>
      <c r="O24" s="40"/>
      <c r="P24" s="40"/>
      <c r="Q24" s="40"/>
    </row>
    <row r="25" spans="2:17" ht="15" customHeight="1" x14ac:dyDescent="0.35">
      <c r="B25" s="19">
        <v>8</v>
      </c>
      <c r="C25" s="20" t="s">
        <v>211</v>
      </c>
      <c r="D25" s="52" t="s">
        <v>212</v>
      </c>
      <c r="E25" s="22" t="s">
        <v>14</v>
      </c>
      <c r="F25" s="23" t="s">
        <v>213</v>
      </c>
      <c r="G25" s="41" t="s">
        <v>207</v>
      </c>
      <c r="H25" s="42">
        <v>0.12741048943963007</v>
      </c>
      <c r="I25" s="57">
        <v>0.11954051438475585</v>
      </c>
      <c r="J25" s="42">
        <v>0.48268227774671368</v>
      </c>
      <c r="K25" s="43">
        <v>0.48268227774671368</v>
      </c>
      <c r="L25" s="66"/>
      <c r="M25" s="51"/>
      <c r="O25" s="40"/>
      <c r="P25" s="40"/>
      <c r="Q25" s="40"/>
    </row>
    <row r="26" spans="2:17" ht="15" customHeight="1" x14ac:dyDescent="0.35">
      <c r="B26" s="19">
        <v>8</v>
      </c>
      <c r="C26" s="20" t="s">
        <v>214</v>
      </c>
      <c r="D26" s="21" t="s">
        <v>215</v>
      </c>
      <c r="E26" s="22" t="s">
        <v>14</v>
      </c>
      <c r="F26" s="23" t="s">
        <v>216</v>
      </c>
      <c r="G26" s="41" t="s">
        <v>207</v>
      </c>
      <c r="H26" s="42">
        <v>0.14370927778750875</v>
      </c>
      <c r="I26" s="26">
        <v>0.14069638031320161</v>
      </c>
      <c r="J26" s="42">
        <v>0</v>
      </c>
      <c r="K26" s="43">
        <v>0</v>
      </c>
      <c r="L26" s="66"/>
      <c r="M26" s="51"/>
      <c r="O26" s="40"/>
      <c r="P26" s="40"/>
      <c r="Q26" s="40"/>
    </row>
    <row r="27" spans="2:17" ht="15" customHeight="1" x14ac:dyDescent="0.35">
      <c r="B27" s="19">
        <v>8</v>
      </c>
      <c r="C27" s="20" t="s">
        <v>217</v>
      </c>
      <c r="D27" s="52" t="s">
        <v>218</v>
      </c>
      <c r="E27" s="22" t="s">
        <v>14</v>
      </c>
      <c r="F27" s="23" t="s">
        <v>219</v>
      </c>
      <c r="G27" s="41" t="s">
        <v>207</v>
      </c>
      <c r="H27" s="42">
        <v>0.29493401355174376</v>
      </c>
      <c r="I27" s="57">
        <v>0.28300490191335076</v>
      </c>
      <c r="J27" s="42">
        <v>0.47431772225328633</v>
      </c>
      <c r="K27" s="43">
        <v>0.47431772225328633</v>
      </c>
      <c r="L27" s="66"/>
      <c r="M27" s="51"/>
      <c r="O27" s="40"/>
      <c r="P27" s="40"/>
      <c r="Q27" s="40"/>
    </row>
    <row r="28" spans="2:17" ht="15" customHeight="1" x14ac:dyDescent="0.35">
      <c r="B28" s="19">
        <v>8</v>
      </c>
      <c r="C28" s="20" t="s">
        <v>220</v>
      </c>
      <c r="D28" s="21" t="s">
        <v>221</v>
      </c>
      <c r="E28" s="22" t="s">
        <v>14</v>
      </c>
      <c r="F28" s="23" t="s">
        <v>222</v>
      </c>
      <c r="G28" s="41" t="s">
        <v>207</v>
      </c>
      <c r="H28" s="42">
        <v>1.1282553776296602E-2</v>
      </c>
      <c r="I28" s="26">
        <v>1.3448201546799297E-2</v>
      </c>
      <c r="J28" s="42">
        <v>0</v>
      </c>
      <c r="K28" s="43">
        <v>0</v>
      </c>
      <c r="L28" s="66"/>
      <c r="M28" s="51"/>
      <c r="O28" s="40"/>
      <c r="P28" s="40"/>
      <c r="Q28" s="40"/>
    </row>
    <row r="29" spans="2:17" ht="15" customHeight="1" x14ac:dyDescent="0.35">
      <c r="B29" s="12">
        <v>5</v>
      </c>
      <c r="C29" s="13" t="s">
        <v>223</v>
      </c>
      <c r="D29" s="13" t="s">
        <v>224</v>
      </c>
      <c r="E29" s="14" t="s">
        <v>225</v>
      </c>
      <c r="F29" s="15"/>
      <c r="G29" s="37"/>
      <c r="H29" s="38">
        <f t="shared" ref="H29:I29" si="9">SUM(H30:H50)</f>
        <v>1.0000000000000002</v>
      </c>
      <c r="I29" s="18">
        <f t="shared" si="9"/>
        <v>1</v>
      </c>
      <c r="J29" s="38">
        <f t="shared" ref="J29:K29" si="10">SUM(J30:J50)</f>
        <v>1</v>
      </c>
      <c r="K29" s="39">
        <f t="shared" si="10"/>
        <v>1</v>
      </c>
      <c r="L29" s="66"/>
      <c r="M29" s="51"/>
      <c r="O29" s="40"/>
      <c r="P29" s="40"/>
      <c r="Q29" s="40"/>
    </row>
    <row r="30" spans="2:17" ht="15" customHeight="1" x14ac:dyDescent="0.35">
      <c r="B30" s="19" t="s">
        <v>180</v>
      </c>
      <c r="C30" s="20" t="s">
        <v>226</v>
      </c>
      <c r="D30" s="21" t="s">
        <v>227</v>
      </c>
      <c r="E30" s="22" t="s">
        <v>225</v>
      </c>
      <c r="F30" s="23" t="s">
        <v>228</v>
      </c>
      <c r="G30" s="41" t="s">
        <v>229</v>
      </c>
      <c r="H30" s="42">
        <v>4.548306732022999E-2</v>
      </c>
      <c r="I30" s="26">
        <v>5.1186671526867948E-2</v>
      </c>
      <c r="J30" s="44">
        <v>2.2306403994728146E-2</v>
      </c>
      <c r="K30" s="45">
        <v>2.2306403994728146E-2</v>
      </c>
      <c r="L30" s="66"/>
      <c r="M30" s="51"/>
      <c r="O30" s="40"/>
      <c r="P30" s="40"/>
      <c r="Q30" s="40"/>
    </row>
    <row r="31" spans="2:17" ht="15" customHeight="1" x14ac:dyDescent="0.35">
      <c r="B31" s="19" t="s">
        <v>180</v>
      </c>
      <c r="C31" s="20" t="s">
        <v>230</v>
      </c>
      <c r="D31" s="21" t="s">
        <v>231</v>
      </c>
      <c r="E31" s="22" t="s">
        <v>225</v>
      </c>
      <c r="F31" s="23" t="s">
        <v>232</v>
      </c>
      <c r="G31" s="41" t="s">
        <v>229</v>
      </c>
      <c r="H31" s="42">
        <v>0</v>
      </c>
      <c r="I31" s="26">
        <v>0</v>
      </c>
      <c r="J31" s="44">
        <v>3.7121039293692891E-2</v>
      </c>
      <c r="K31" s="45">
        <v>3.7121039293692891E-2</v>
      </c>
      <c r="L31" s="66"/>
      <c r="M31" s="51"/>
      <c r="O31" s="40"/>
      <c r="P31" s="40"/>
      <c r="Q31" s="40"/>
    </row>
    <row r="32" spans="2:17" ht="15" customHeight="1" x14ac:dyDescent="0.35">
      <c r="B32" s="19" t="s">
        <v>180</v>
      </c>
      <c r="C32" s="68" t="s">
        <v>233</v>
      </c>
      <c r="D32" s="21" t="s">
        <v>234</v>
      </c>
      <c r="E32" s="22" t="s">
        <v>225</v>
      </c>
      <c r="F32" s="23" t="s">
        <v>235</v>
      </c>
      <c r="G32" s="41" t="s">
        <v>229</v>
      </c>
      <c r="H32" s="42">
        <v>0.16986603875348136</v>
      </c>
      <c r="I32" s="57">
        <v>0.11356671658365743</v>
      </c>
      <c r="J32" s="44">
        <v>0</v>
      </c>
      <c r="K32" s="45">
        <v>0</v>
      </c>
      <c r="L32" s="66">
        <f>I32</f>
        <v>0.11356671658365743</v>
      </c>
      <c r="M32" s="51">
        <f>I32</f>
        <v>0.11356671658365743</v>
      </c>
      <c r="O32" s="40"/>
      <c r="P32" s="40"/>
      <c r="Q32" s="40"/>
    </row>
    <row r="33" spans="2:17" ht="15" customHeight="1" x14ac:dyDescent="0.35">
      <c r="B33" s="19" t="s">
        <v>180</v>
      </c>
      <c r="C33" s="20" t="s">
        <v>236</v>
      </c>
      <c r="D33" s="52" t="s">
        <v>237</v>
      </c>
      <c r="E33" s="22" t="s">
        <v>225</v>
      </c>
      <c r="F33" s="23" t="s">
        <v>238</v>
      </c>
      <c r="G33" s="41" t="s">
        <v>229</v>
      </c>
      <c r="H33" s="42">
        <v>6.7203722104752714E-2</v>
      </c>
      <c r="I33" s="57">
        <v>6.8081264620618032E-2</v>
      </c>
      <c r="J33" s="44">
        <v>0</v>
      </c>
      <c r="K33" s="45">
        <v>0</v>
      </c>
      <c r="L33" s="66"/>
      <c r="M33" s="51">
        <f>I33</f>
        <v>6.8081264620618032E-2</v>
      </c>
      <c r="O33" s="40"/>
      <c r="P33" s="40"/>
      <c r="Q33" s="40"/>
    </row>
    <row r="34" spans="2:17" ht="15" customHeight="1" x14ac:dyDescent="0.35">
      <c r="B34" s="19" t="s">
        <v>180</v>
      </c>
      <c r="C34" s="20" t="s">
        <v>239</v>
      </c>
      <c r="D34" s="52" t="s">
        <v>240</v>
      </c>
      <c r="E34" s="22" t="s">
        <v>225</v>
      </c>
      <c r="F34" s="23" t="s">
        <v>241</v>
      </c>
      <c r="G34" s="41" t="s">
        <v>229</v>
      </c>
      <c r="H34" s="42">
        <v>0.17421986519286842</v>
      </c>
      <c r="I34" s="57">
        <v>0.19575201986903229</v>
      </c>
      <c r="J34" s="44">
        <v>0</v>
      </c>
      <c r="K34" s="45">
        <v>0</v>
      </c>
      <c r="L34" s="66">
        <f>I34</f>
        <v>0.19575201986903229</v>
      </c>
      <c r="M34" s="51">
        <f>I34</f>
        <v>0.19575201986903229</v>
      </c>
      <c r="O34" s="40"/>
      <c r="P34" s="40"/>
      <c r="Q34" s="40"/>
    </row>
    <row r="35" spans="2:17" ht="15" customHeight="1" x14ac:dyDescent="0.35">
      <c r="B35" s="19" t="s">
        <v>180</v>
      </c>
      <c r="C35" s="20" t="s">
        <v>242</v>
      </c>
      <c r="D35" s="52" t="s">
        <v>243</v>
      </c>
      <c r="E35" s="22" t="s">
        <v>225</v>
      </c>
      <c r="F35" s="23" t="s">
        <v>244</v>
      </c>
      <c r="G35" s="41" t="s">
        <v>229</v>
      </c>
      <c r="H35" s="42">
        <v>6.8884874862917778E-2</v>
      </c>
      <c r="I35" s="57">
        <v>7.7924447635893457E-2</v>
      </c>
      <c r="J35" s="44">
        <v>0</v>
      </c>
      <c r="K35" s="45">
        <v>0</v>
      </c>
      <c r="L35" s="66"/>
      <c r="M35" s="51">
        <f>I35</f>
        <v>7.7924447635893457E-2</v>
      </c>
      <c r="O35" s="40"/>
      <c r="P35" s="40"/>
      <c r="Q35" s="40"/>
    </row>
    <row r="36" spans="2:17" ht="15" customHeight="1" x14ac:dyDescent="0.35">
      <c r="B36" s="19" t="s">
        <v>180</v>
      </c>
      <c r="C36" s="20" t="s">
        <v>245</v>
      </c>
      <c r="D36" s="21" t="s">
        <v>246</v>
      </c>
      <c r="E36" s="22" t="s">
        <v>225</v>
      </c>
      <c r="F36" s="23" t="s">
        <v>247</v>
      </c>
      <c r="G36" s="41" t="s">
        <v>229</v>
      </c>
      <c r="H36" s="42">
        <v>0</v>
      </c>
      <c r="I36" s="26">
        <v>0</v>
      </c>
      <c r="J36" s="44">
        <v>0.18936251988926109</v>
      </c>
      <c r="K36" s="45">
        <v>0.18936251988926109</v>
      </c>
      <c r="L36" s="66"/>
      <c r="M36" s="51"/>
      <c r="O36" s="40"/>
      <c r="P36" s="40"/>
      <c r="Q36" s="40"/>
    </row>
    <row r="37" spans="2:17" ht="15" customHeight="1" x14ac:dyDescent="0.35">
      <c r="B37" s="19" t="s">
        <v>180</v>
      </c>
      <c r="C37" s="20" t="s">
        <v>248</v>
      </c>
      <c r="D37" s="21" t="s">
        <v>249</v>
      </c>
      <c r="E37" s="22" t="s">
        <v>225</v>
      </c>
      <c r="F37" s="23" t="s">
        <v>250</v>
      </c>
      <c r="G37" s="41" t="s">
        <v>229</v>
      </c>
      <c r="H37" s="42">
        <v>1.2915824821771631E-2</v>
      </c>
      <c r="I37" s="26">
        <v>1.3439777624190574E-2</v>
      </c>
      <c r="J37" s="44">
        <v>4.6736428326536225E-2</v>
      </c>
      <c r="K37" s="45">
        <v>4.6736428326536225E-2</v>
      </c>
      <c r="L37" s="66"/>
      <c r="M37" s="51"/>
      <c r="O37" s="40"/>
      <c r="P37" s="40"/>
      <c r="Q37" s="40"/>
    </row>
    <row r="38" spans="2:17" ht="15" customHeight="1" x14ac:dyDescent="0.35">
      <c r="B38" s="19" t="s">
        <v>180</v>
      </c>
      <c r="C38" s="20" t="s">
        <v>251</v>
      </c>
      <c r="D38" s="52" t="s">
        <v>252</v>
      </c>
      <c r="E38" s="22" t="s">
        <v>225</v>
      </c>
      <c r="F38" s="23" t="s">
        <v>253</v>
      </c>
      <c r="G38" s="41" t="s">
        <v>229</v>
      </c>
      <c r="H38" s="42">
        <v>6.0441670187774584E-2</v>
      </c>
      <c r="I38" s="57">
        <v>6.5502058302823601E-2</v>
      </c>
      <c r="J38" s="44">
        <v>4.4800766862396625E-2</v>
      </c>
      <c r="K38" s="45">
        <v>4.4800766862396625E-2</v>
      </c>
      <c r="L38" s="66"/>
      <c r="M38" s="51">
        <f>I38</f>
        <v>6.5502058302823601E-2</v>
      </c>
      <c r="O38" s="40"/>
      <c r="P38" s="40"/>
      <c r="Q38" s="40"/>
    </row>
    <row r="39" spans="2:17" ht="15" customHeight="1" x14ac:dyDescent="0.35">
      <c r="B39" s="19" t="s">
        <v>180</v>
      </c>
      <c r="C39" s="20" t="s">
        <v>254</v>
      </c>
      <c r="D39" s="21" t="s">
        <v>255</v>
      </c>
      <c r="E39" s="22" t="s">
        <v>225</v>
      </c>
      <c r="F39" s="23" t="s">
        <v>256</v>
      </c>
      <c r="G39" s="41" t="s">
        <v>229</v>
      </c>
      <c r="H39" s="42">
        <v>1.2887037594261408E-2</v>
      </c>
      <c r="I39" s="26">
        <v>0</v>
      </c>
      <c r="J39" s="44">
        <v>1.145393572386332E-2</v>
      </c>
      <c r="K39" s="45">
        <v>1.145393572386332E-2</v>
      </c>
      <c r="L39" s="66"/>
      <c r="M39" s="51"/>
      <c r="O39" s="40"/>
      <c r="P39" s="40"/>
      <c r="Q39" s="40"/>
    </row>
    <row r="40" spans="2:17" ht="15" customHeight="1" x14ac:dyDescent="0.35">
      <c r="B40" s="19" t="s">
        <v>180</v>
      </c>
      <c r="C40" s="20" t="s">
        <v>257</v>
      </c>
      <c r="D40" s="52" t="s">
        <v>258</v>
      </c>
      <c r="E40" s="22" t="s">
        <v>225</v>
      </c>
      <c r="F40" s="23" t="s">
        <v>259</v>
      </c>
      <c r="G40" s="41" t="s">
        <v>229</v>
      </c>
      <c r="H40" s="42">
        <v>0.18100172289284241</v>
      </c>
      <c r="I40" s="57">
        <v>0.1572648552040265</v>
      </c>
      <c r="J40" s="44">
        <v>0.24622808130806087</v>
      </c>
      <c r="K40" s="45">
        <v>0.24622808130806087</v>
      </c>
      <c r="L40" s="66"/>
      <c r="M40" s="51">
        <f>I40</f>
        <v>0.1572648552040265</v>
      </c>
      <c r="O40" s="40"/>
      <c r="P40" s="40"/>
      <c r="Q40" s="40"/>
    </row>
    <row r="41" spans="2:17" ht="15" customHeight="1" x14ac:dyDescent="0.35">
      <c r="B41" s="19" t="s">
        <v>180</v>
      </c>
      <c r="C41" s="20" t="s">
        <v>260</v>
      </c>
      <c r="D41" s="52" t="s">
        <v>261</v>
      </c>
      <c r="E41" s="22" t="s">
        <v>225</v>
      </c>
      <c r="F41" s="23" t="s">
        <v>262</v>
      </c>
      <c r="G41" s="41" t="s">
        <v>229</v>
      </c>
      <c r="H41" s="42">
        <v>3.2938687339321746E-2</v>
      </c>
      <c r="I41" s="57">
        <v>7.6466757197294399E-2</v>
      </c>
      <c r="J41" s="44">
        <v>0</v>
      </c>
      <c r="K41" s="45">
        <v>0</v>
      </c>
      <c r="L41" s="66"/>
      <c r="M41" s="51">
        <f>I41</f>
        <v>7.6466757197294399E-2</v>
      </c>
      <c r="O41" s="40"/>
      <c r="P41" s="40"/>
      <c r="Q41" s="40"/>
    </row>
    <row r="42" spans="2:17" ht="15" customHeight="1" x14ac:dyDescent="0.35">
      <c r="B42" s="19" t="s">
        <v>180</v>
      </c>
      <c r="C42" s="20" t="s">
        <v>263</v>
      </c>
      <c r="D42" s="21" t="s">
        <v>264</v>
      </c>
      <c r="E42" s="22" t="s">
        <v>225</v>
      </c>
      <c r="F42" s="23" t="s">
        <v>265</v>
      </c>
      <c r="G42" s="41" t="s">
        <v>229</v>
      </c>
      <c r="H42" s="42">
        <v>1.2005383090214565E-2</v>
      </c>
      <c r="I42" s="26">
        <v>1.1120610314910842E-2</v>
      </c>
      <c r="J42" s="44">
        <v>9.9823075145276177E-2</v>
      </c>
      <c r="K42" s="45">
        <v>9.9823075145276177E-2</v>
      </c>
      <c r="L42" s="66"/>
      <c r="M42" s="51"/>
      <c r="O42" s="40"/>
      <c r="P42" s="40"/>
      <c r="Q42" s="40"/>
    </row>
    <row r="43" spans="2:17" ht="15" customHeight="1" x14ac:dyDescent="0.35">
      <c r="B43" s="19" t="s">
        <v>180</v>
      </c>
      <c r="C43" s="20" t="s">
        <v>266</v>
      </c>
      <c r="D43" s="52" t="s">
        <v>267</v>
      </c>
      <c r="E43" s="22" t="s">
        <v>225</v>
      </c>
      <c r="F43" s="23" t="s">
        <v>268</v>
      </c>
      <c r="G43" s="41" t="s">
        <v>229</v>
      </c>
      <c r="H43" s="42">
        <v>6.8594128066116422E-2</v>
      </c>
      <c r="I43" s="57">
        <v>6.3644175019512902E-2</v>
      </c>
      <c r="J43" s="44">
        <v>0.12188450098191494</v>
      </c>
      <c r="K43" s="45">
        <v>0.12188450098191494</v>
      </c>
      <c r="L43" s="66"/>
      <c r="M43" s="51">
        <f>I43</f>
        <v>6.3644175019512902E-2</v>
      </c>
      <c r="O43" s="40"/>
      <c r="P43" s="40"/>
      <c r="Q43" s="40"/>
    </row>
    <row r="44" spans="2:17" ht="15" customHeight="1" x14ac:dyDescent="0.35">
      <c r="B44" s="19" t="s">
        <v>180</v>
      </c>
      <c r="C44" s="20" t="s">
        <v>269</v>
      </c>
      <c r="D44" s="21" t="s">
        <v>270</v>
      </c>
      <c r="E44" s="22" t="s">
        <v>225</v>
      </c>
      <c r="F44" s="23" t="s">
        <v>271</v>
      </c>
      <c r="G44" s="41" t="s">
        <v>229</v>
      </c>
      <c r="H44" s="42">
        <v>1.426114226938064E-2</v>
      </c>
      <c r="I44" s="26">
        <v>1.8486401755582256E-2</v>
      </c>
      <c r="J44" s="44">
        <v>1.3096074738294891E-2</v>
      </c>
      <c r="K44" s="45">
        <v>1.3096074738294891E-2</v>
      </c>
      <c r="L44" s="66"/>
      <c r="M44" s="51"/>
      <c r="O44" s="40"/>
      <c r="P44" s="40"/>
      <c r="Q44" s="40"/>
    </row>
    <row r="45" spans="2:17" ht="15" customHeight="1" x14ac:dyDescent="0.35">
      <c r="B45" s="19" t="s">
        <v>180</v>
      </c>
      <c r="C45" s="20" t="s">
        <v>272</v>
      </c>
      <c r="D45" s="52" t="s">
        <v>273</v>
      </c>
      <c r="E45" s="22" t="s">
        <v>225</v>
      </c>
      <c r="F45" s="23" t="s">
        <v>274</v>
      </c>
      <c r="G45" s="41" t="s">
        <v>229</v>
      </c>
      <c r="H45" s="42">
        <v>6.3425138252870661E-2</v>
      </c>
      <c r="I45" s="57">
        <v>6.349564877961858E-2</v>
      </c>
      <c r="J45" s="44">
        <v>8.1979051449740881E-2</v>
      </c>
      <c r="K45" s="45">
        <v>8.1979051449740881E-2</v>
      </c>
      <c r="L45" s="66"/>
      <c r="M45" s="51">
        <f>I45</f>
        <v>6.349564877961858E-2</v>
      </c>
      <c r="O45" s="40"/>
      <c r="P45" s="40"/>
      <c r="Q45" s="40"/>
    </row>
    <row r="46" spans="2:17" ht="15" customHeight="1" x14ac:dyDescent="0.35">
      <c r="B46" s="19" t="s">
        <v>180</v>
      </c>
      <c r="C46" s="20" t="s">
        <v>275</v>
      </c>
      <c r="D46" s="21" t="s">
        <v>276</v>
      </c>
      <c r="E46" s="22" t="s">
        <v>225</v>
      </c>
      <c r="F46" s="23" t="s">
        <v>277</v>
      </c>
      <c r="G46" s="41" t="s">
        <v>229</v>
      </c>
      <c r="H46" s="42">
        <v>0</v>
      </c>
      <c r="I46" s="26">
        <v>0</v>
      </c>
      <c r="J46" s="44">
        <v>1.1326998954672797E-2</v>
      </c>
      <c r="K46" s="45">
        <v>1.1326998954672797E-2</v>
      </c>
      <c r="L46" s="66"/>
      <c r="M46" s="51"/>
      <c r="O46" s="40"/>
      <c r="P46" s="40"/>
      <c r="Q46" s="40"/>
    </row>
    <row r="47" spans="2:17" ht="15" customHeight="1" x14ac:dyDescent="0.35">
      <c r="B47" s="19" t="s">
        <v>180</v>
      </c>
      <c r="C47" s="20" t="s">
        <v>278</v>
      </c>
      <c r="D47" s="21" t="s">
        <v>279</v>
      </c>
      <c r="E47" s="22" t="s">
        <v>225</v>
      </c>
      <c r="F47" s="23" t="s">
        <v>280</v>
      </c>
      <c r="G47" s="41" t="s">
        <v>229</v>
      </c>
      <c r="H47" s="42">
        <v>0</v>
      </c>
      <c r="I47" s="26">
        <v>0</v>
      </c>
      <c r="J47" s="44">
        <v>4.3635792911939981E-2</v>
      </c>
      <c r="K47" s="45">
        <v>4.3635792911939981E-2</v>
      </c>
      <c r="L47" s="66"/>
      <c r="M47" s="51"/>
      <c r="O47" s="40"/>
      <c r="P47" s="40"/>
      <c r="Q47" s="40"/>
    </row>
    <row r="48" spans="2:17" ht="15" customHeight="1" x14ac:dyDescent="0.35">
      <c r="B48" s="19" t="s">
        <v>180</v>
      </c>
      <c r="C48" s="20" t="s">
        <v>281</v>
      </c>
      <c r="D48" s="21" t="s">
        <v>282</v>
      </c>
      <c r="E48" s="22" t="s">
        <v>225</v>
      </c>
      <c r="F48" s="23" t="s">
        <v>283</v>
      </c>
      <c r="G48" s="41" t="s">
        <v>229</v>
      </c>
      <c r="H48" s="42">
        <v>0</v>
      </c>
      <c r="I48" s="26">
        <v>1.3090983163402469E-2</v>
      </c>
      <c r="J48" s="44">
        <v>0</v>
      </c>
      <c r="K48" s="45">
        <v>0</v>
      </c>
      <c r="L48" s="66"/>
      <c r="M48" s="51"/>
      <c r="O48" s="40"/>
      <c r="P48" s="40"/>
      <c r="Q48" s="40"/>
    </row>
    <row r="49" spans="2:17" ht="15" customHeight="1" x14ac:dyDescent="0.35">
      <c r="B49" s="19" t="s">
        <v>180</v>
      </c>
      <c r="C49" s="20" t="s">
        <v>284</v>
      </c>
      <c r="D49" s="21" t="s">
        <v>285</v>
      </c>
      <c r="E49" s="22" t="s">
        <v>225</v>
      </c>
      <c r="F49" s="23" t="s">
        <v>286</v>
      </c>
      <c r="G49" s="41" t="s">
        <v>287</v>
      </c>
      <c r="H49" s="42">
        <v>0</v>
      </c>
      <c r="I49" s="26">
        <v>0</v>
      </c>
      <c r="J49" s="44">
        <v>1.7117481912546924E-2</v>
      </c>
      <c r="K49" s="45">
        <v>1.7117481912546924E-2</v>
      </c>
      <c r="L49" s="66"/>
      <c r="M49" s="51"/>
      <c r="O49" s="40"/>
      <c r="P49" s="40"/>
      <c r="Q49" s="40"/>
    </row>
    <row r="50" spans="2:17" ht="15" customHeight="1" x14ac:dyDescent="0.35">
      <c r="B50" s="19" t="s">
        <v>180</v>
      </c>
      <c r="C50" s="20" t="s">
        <v>288</v>
      </c>
      <c r="D50" s="21" t="s">
        <v>289</v>
      </c>
      <c r="E50" s="22" t="s">
        <v>225</v>
      </c>
      <c r="F50" s="23" t="s">
        <v>290</v>
      </c>
      <c r="G50" s="41" t="s">
        <v>291</v>
      </c>
      <c r="H50" s="42">
        <v>1.5871697251195891E-2</v>
      </c>
      <c r="I50" s="26">
        <v>1.097761240256882E-2</v>
      </c>
      <c r="J50" s="44">
        <v>1.3127848507074345E-2</v>
      </c>
      <c r="K50" s="45">
        <v>1.3127848507074345E-2</v>
      </c>
      <c r="L50" s="66"/>
      <c r="M50" s="51"/>
      <c r="O50" s="40"/>
      <c r="P50" s="40"/>
      <c r="Q50" s="40"/>
    </row>
    <row r="51" spans="2:17" ht="15" customHeight="1" x14ac:dyDescent="0.35">
      <c r="B51" s="12">
        <v>5</v>
      </c>
      <c r="C51" s="13" t="s">
        <v>292</v>
      </c>
      <c r="D51" s="13" t="s">
        <v>293</v>
      </c>
      <c r="E51" s="14" t="s">
        <v>225</v>
      </c>
      <c r="F51" s="15"/>
      <c r="G51" s="37"/>
      <c r="H51" s="38">
        <f t="shared" ref="H51:I51" si="11">SUM(H52:H60)</f>
        <v>1</v>
      </c>
      <c r="I51" s="18">
        <f t="shared" si="11"/>
        <v>1</v>
      </c>
      <c r="J51" s="38">
        <f t="shared" ref="J51:K51" si="12">SUM(J52:J60)</f>
        <v>1</v>
      </c>
      <c r="K51" s="39">
        <f t="shared" si="12"/>
        <v>1</v>
      </c>
      <c r="L51" s="66"/>
      <c r="M51" s="51"/>
      <c r="O51" s="40"/>
      <c r="P51" s="40"/>
      <c r="Q51" s="40"/>
    </row>
    <row r="52" spans="2:17" ht="15" customHeight="1" x14ac:dyDescent="0.35">
      <c r="B52" s="19">
        <v>8</v>
      </c>
      <c r="C52" s="20" t="s">
        <v>294</v>
      </c>
      <c r="D52" s="52" t="s">
        <v>295</v>
      </c>
      <c r="E52" s="22" t="s">
        <v>225</v>
      </c>
      <c r="F52" s="23" t="s">
        <v>296</v>
      </c>
      <c r="G52" s="41" t="s">
        <v>287</v>
      </c>
      <c r="H52" s="42">
        <v>0.3042091139371918</v>
      </c>
      <c r="I52" s="57">
        <v>0.35875511249528375</v>
      </c>
      <c r="J52" s="44">
        <v>6.2869840718664749E-2</v>
      </c>
      <c r="K52" s="45">
        <v>6.6863922342899035E-2</v>
      </c>
      <c r="L52" s="66"/>
      <c r="M52" s="51"/>
      <c r="O52" s="40"/>
      <c r="P52" s="40"/>
      <c r="Q52" s="40"/>
    </row>
    <row r="53" spans="2:17" ht="15" customHeight="1" x14ac:dyDescent="0.35">
      <c r="B53" s="19">
        <v>8</v>
      </c>
      <c r="C53" s="20" t="s">
        <v>297</v>
      </c>
      <c r="D53" s="52" t="s">
        <v>298</v>
      </c>
      <c r="E53" s="22" t="s">
        <v>225</v>
      </c>
      <c r="F53" s="23" t="s">
        <v>299</v>
      </c>
      <c r="G53" s="41" t="s">
        <v>287</v>
      </c>
      <c r="H53" s="42">
        <v>7.5974944245818965E-2</v>
      </c>
      <c r="I53" s="57">
        <v>8.2988638234753262E-2</v>
      </c>
      <c r="J53" s="44">
        <v>0.43540061765571086</v>
      </c>
      <c r="K53" s="45">
        <v>0.43491142005331496</v>
      </c>
      <c r="L53" s="66"/>
      <c r="M53" s="51"/>
      <c r="O53" s="40"/>
      <c r="P53" s="40"/>
      <c r="Q53" s="40"/>
    </row>
    <row r="54" spans="2:17" ht="15" customHeight="1" x14ac:dyDescent="0.35">
      <c r="B54" s="19">
        <v>8</v>
      </c>
      <c r="C54" s="20" t="s">
        <v>300</v>
      </c>
      <c r="D54" s="21" t="s">
        <v>301</v>
      </c>
      <c r="E54" s="22" t="s">
        <v>225</v>
      </c>
      <c r="F54" s="23" t="s">
        <v>302</v>
      </c>
      <c r="G54" s="41" t="s">
        <v>287</v>
      </c>
      <c r="H54" s="42">
        <v>4.9561581191569941E-2</v>
      </c>
      <c r="I54" s="26">
        <v>4.2775593262408165E-2</v>
      </c>
      <c r="J54" s="44">
        <v>1.5865616994949247E-2</v>
      </c>
      <c r="K54" s="45">
        <v>1.5865616994949247E-2</v>
      </c>
      <c r="L54" s="66"/>
      <c r="M54" s="51"/>
      <c r="O54" s="40"/>
      <c r="P54" s="40"/>
      <c r="Q54" s="40"/>
    </row>
    <row r="55" spans="2:17" ht="15" customHeight="1" x14ac:dyDescent="0.35">
      <c r="B55" s="19">
        <v>8</v>
      </c>
      <c r="C55" s="20" t="s">
        <v>303</v>
      </c>
      <c r="D55" s="52" t="s">
        <v>304</v>
      </c>
      <c r="E55" s="22" t="s">
        <v>225</v>
      </c>
      <c r="F55" s="23" t="s">
        <v>305</v>
      </c>
      <c r="G55" s="41" t="s">
        <v>306</v>
      </c>
      <c r="H55" s="42">
        <v>9.9459722545137741E-2</v>
      </c>
      <c r="I55" s="57">
        <v>0.1056798602628477</v>
      </c>
      <c r="J55" s="44">
        <v>0</v>
      </c>
      <c r="K55" s="45">
        <v>0</v>
      </c>
      <c r="L55" s="66"/>
      <c r="M55" s="51"/>
      <c r="O55" s="40"/>
      <c r="P55" s="40"/>
      <c r="Q55" s="40"/>
    </row>
    <row r="56" spans="2:17" ht="15" customHeight="1" x14ac:dyDescent="0.35">
      <c r="B56" s="19">
        <v>8</v>
      </c>
      <c r="C56" s="20" t="s">
        <v>307</v>
      </c>
      <c r="D56" s="21" t="s">
        <v>308</v>
      </c>
      <c r="E56" s="22" t="s">
        <v>225</v>
      </c>
      <c r="F56" s="23" t="s">
        <v>309</v>
      </c>
      <c r="G56" s="41" t="s">
        <v>287</v>
      </c>
      <c r="H56" s="42">
        <v>0</v>
      </c>
      <c r="I56" s="26">
        <v>0</v>
      </c>
      <c r="J56" s="44">
        <v>0.11295709188618383</v>
      </c>
      <c r="K56" s="45">
        <v>0.11295709188618383</v>
      </c>
      <c r="L56" s="66"/>
      <c r="M56" s="51"/>
      <c r="O56" s="40"/>
      <c r="P56" s="40"/>
      <c r="Q56" s="40"/>
    </row>
    <row r="57" spans="2:17" ht="15" customHeight="1" x14ac:dyDescent="0.35">
      <c r="B57" s="19">
        <v>8</v>
      </c>
      <c r="C57" s="20" t="s">
        <v>310</v>
      </c>
      <c r="D57" s="21" t="s">
        <v>311</v>
      </c>
      <c r="E57" s="22" t="s">
        <v>225</v>
      </c>
      <c r="F57" s="23" t="s">
        <v>312</v>
      </c>
      <c r="G57" s="41" t="s">
        <v>287</v>
      </c>
      <c r="H57" s="42">
        <v>2.7634016610086583E-2</v>
      </c>
      <c r="I57" s="26">
        <v>2.628478864260925E-2</v>
      </c>
      <c r="J57" s="44">
        <v>9.6517525207897442E-2</v>
      </c>
      <c r="K57" s="45">
        <v>9.6517525207897442E-2</v>
      </c>
      <c r="L57" s="66"/>
      <c r="M57" s="51"/>
      <c r="O57" s="40"/>
      <c r="P57" s="40"/>
      <c r="Q57" s="40"/>
    </row>
    <row r="58" spans="2:17" ht="15" customHeight="1" x14ac:dyDescent="0.35">
      <c r="B58" s="19">
        <v>8</v>
      </c>
      <c r="C58" s="20" t="s">
        <v>313</v>
      </c>
      <c r="D58" s="52" t="s">
        <v>314</v>
      </c>
      <c r="E58" s="22" t="s">
        <v>225</v>
      </c>
      <c r="F58" s="23" t="s">
        <v>315</v>
      </c>
      <c r="G58" s="41" t="s">
        <v>287</v>
      </c>
      <c r="H58" s="42">
        <v>0.26674046762408959</v>
      </c>
      <c r="I58" s="57">
        <v>0.26818227879454676</v>
      </c>
      <c r="J58" s="44">
        <v>0.19165658015114015</v>
      </c>
      <c r="K58" s="45">
        <v>0.17268421667957934</v>
      </c>
      <c r="L58" s="66"/>
      <c r="M58" s="51"/>
      <c r="O58" s="40"/>
      <c r="P58" s="40"/>
      <c r="Q58" s="40"/>
    </row>
    <row r="59" spans="2:17" ht="15" customHeight="1" x14ac:dyDescent="0.35">
      <c r="B59" s="19">
        <v>8</v>
      </c>
      <c r="C59" s="20" t="s">
        <v>316</v>
      </c>
      <c r="D59" s="21" t="s">
        <v>317</v>
      </c>
      <c r="E59" s="22" t="s">
        <v>225</v>
      </c>
      <c r="F59" s="23" t="s">
        <v>318</v>
      </c>
      <c r="G59" s="41" t="s">
        <v>319</v>
      </c>
      <c r="H59" s="42">
        <v>4.7829496747538995E-2</v>
      </c>
      <c r="I59" s="26">
        <v>3.0179500343444649E-2</v>
      </c>
      <c r="J59" s="44">
        <v>4.5184659149939334E-2</v>
      </c>
      <c r="K59" s="45">
        <v>5.0642957091329981E-2</v>
      </c>
      <c r="L59" s="66"/>
      <c r="M59" s="51"/>
      <c r="O59" s="40"/>
      <c r="P59" s="40"/>
      <c r="Q59" s="40"/>
    </row>
    <row r="60" spans="2:17" ht="15" customHeight="1" x14ac:dyDescent="0.35">
      <c r="B60" s="19">
        <v>8</v>
      </c>
      <c r="C60" s="20" t="s">
        <v>320</v>
      </c>
      <c r="D60" s="21" t="s">
        <v>321</v>
      </c>
      <c r="E60" s="22" t="s">
        <v>225</v>
      </c>
      <c r="F60" s="23" t="s">
        <v>322</v>
      </c>
      <c r="G60" s="41" t="s">
        <v>319</v>
      </c>
      <c r="H60" s="42">
        <v>0.1285906570985664</v>
      </c>
      <c r="I60" s="26">
        <v>8.5154227964106433E-2</v>
      </c>
      <c r="J60" s="44">
        <v>3.9548068235514398E-2</v>
      </c>
      <c r="K60" s="45">
        <v>4.955724974384617E-2</v>
      </c>
      <c r="L60" s="66"/>
      <c r="M60" s="51"/>
      <c r="O60" s="40"/>
      <c r="P60" s="40"/>
      <c r="Q60" s="40"/>
    </row>
    <row r="61" spans="2:17" ht="15" customHeight="1" x14ac:dyDescent="0.35">
      <c r="B61" s="12">
        <v>5</v>
      </c>
      <c r="C61" s="13" t="s">
        <v>323</v>
      </c>
      <c r="D61" s="13" t="s">
        <v>324</v>
      </c>
      <c r="E61" s="14" t="s">
        <v>325</v>
      </c>
      <c r="F61" s="15"/>
      <c r="G61" s="37"/>
      <c r="H61" s="38">
        <f t="shared" ref="H61:I61" si="13">SUM(H62:H70)</f>
        <v>0.99999999999999989</v>
      </c>
      <c r="I61" s="18">
        <f t="shared" si="13"/>
        <v>1</v>
      </c>
      <c r="J61" s="38">
        <f t="shared" ref="J61:K61" si="14">SUM(J62:J70)</f>
        <v>0.99999999999999978</v>
      </c>
      <c r="K61" s="39">
        <f t="shared" si="14"/>
        <v>0.99999999999999978</v>
      </c>
      <c r="L61" s="66"/>
      <c r="M61" s="51"/>
      <c r="O61" s="40"/>
      <c r="P61" s="40"/>
      <c r="Q61" s="40"/>
    </row>
    <row r="62" spans="2:17" ht="15" customHeight="1" x14ac:dyDescent="0.35">
      <c r="B62" s="19">
        <v>8</v>
      </c>
      <c r="C62" s="20" t="s">
        <v>326</v>
      </c>
      <c r="D62" s="21" t="s">
        <v>327</v>
      </c>
      <c r="E62" s="22" t="s">
        <v>325</v>
      </c>
      <c r="F62" s="23" t="s">
        <v>328</v>
      </c>
      <c r="G62" s="41" t="s">
        <v>329</v>
      </c>
      <c r="H62" s="42">
        <v>0</v>
      </c>
      <c r="I62" s="26">
        <v>0</v>
      </c>
      <c r="J62" s="42">
        <v>0.20482710120573183</v>
      </c>
      <c r="K62" s="43">
        <v>0.20482710120573183</v>
      </c>
      <c r="L62" s="66"/>
      <c r="M62" s="51"/>
      <c r="O62" s="40"/>
      <c r="P62" s="40"/>
      <c r="Q62" s="40"/>
    </row>
    <row r="63" spans="2:17" ht="15" customHeight="1" x14ac:dyDescent="0.35">
      <c r="B63" s="19">
        <v>8</v>
      </c>
      <c r="C63" s="20" t="s">
        <v>330</v>
      </c>
      <c r="D63" s="21" t="s">
        <v>331</v>
      </c>
      <c r="E63" s="22" t="s">
        <v>325</v>
      </c>
      <c r="F63" s="23" t="s">
        <v>332</v>
      </c>
      <c r="G63" s="41" t="s">
        <v>329</v>
      </c>
      <c r="H63" s="42">
        <v>7.7898384412473834E-2</v>
      </c>
      <c r="I63" s="26">
        <v>8.0760182628976079E-2</v>
      </c>
      <c r="J63" s="42">
        <v>0</v>
      </c>
      <c r="K63" s="43">
        <v>0</v>
      </c>
      <c r="L63" s="66"/>
      <c r="M63" s="51"/>
      <c r="O63" s="40"/>
      <c r="P63" s="40"/>
      <c r="Q63" s="40"/>
    </row>
    <row r="64" spans="2:17" ht="15" customHeight="1" x14ac:dyDescent="0.35">
      <c r="B64" s="19">
        <v>8</v>
      </c>
      <c r="C64" s="20" t="s">
        <v>333</v>
      </c>
      <c r="D64" s="21" t="s">
        <v>334</v>
      </c>
      <c r="E64" s="22" t="s">
        <v>325</v>
      </c>
      <c r="F64" s="23" t="s">
        <v>335</v>
      </c>
      <c r="G64" s="41" t="s">
        <v>329</v>
      </c>
      <c r="H64" s="42">
        <v>0</v>
      </c>
      <c r="I64" s="26">
        <v>0</v>
      </c>
      <c r="J64" s="42">
        <v>0.35986219701094002</v>
      </c>
      <c r="K64" s="43">
        <v>0.35986219701094002</v>
      </c>
      <c r="L64" s="66"/>
      <c r="M64" s="51"/>
      <c r="O64" s="40"/>
      <c r="P64" s="40"/>
      <c r="Q64" s="40"/>
    </row>
    <row r="65" spans="2:17" ht="15" customHeight="1" x14ac:dyDescent="0.35">
      <c r="B65" s="19">
        <v>8</v>
      </c>
      <c r="C65" s="20" t="s">
        <v>336</v>
      </c>
      <c r="D65" s="21" t="s">
        <v>337</v>
      </c>
      <c r="E65" s="22" t="s">
        <v>325</v>
      </c>
      <c r="F65" s="23" t="s">
        <v>338</v>
      </c>
      <c r="G65" s="41" t="s">
        <v>329</v>
      </c>
      <c r="H65" s="42">
        <v>3.5809447461913085E-2</v>
      </c>
      <c r="I65" s="26">
        <v>4.1433078974617739E-2</v>
      </c>
      <c r="J65" s="42">
        <v>0</v>
      </c>
      <c r="K65" s="43">
        <v>0</v>
      </c>
      <c r="L65" s="66"/>
      <c r="M65" s="51"/>
      <c r="O65" s="40"/>
      <c r="P65" s="40"/>
      <c r="Q65" s="40"/>
    </row>
    <row r="66" spans="2:17" ht="15" customHeight="1" x14ac:dyDescent="0.35">
      <c r="B66" s="19">
        <v>8</v>
      </c>
      <c r="C66" s="20" t="s">
        <v>339</v>
      </c>
      <c r="D66" s="21" t="s">
        <v>340</v>
      </c>
      <c r="E66" s="22" t="s">
        <v>325</v>
      </c>
      <c r="F66" s="23" t="s">
        <v>341</v>
      </c>
      <c r="G66" s="41" t="s">
        <v>329</v>
      </c>
      <c r="H66" s="42">
        <v>8.9717975822941581E-2</v>
      </c>
      <c r="I66" s="26">
        <v>0.10662925840941696</v>
      </c>
      <c r="J66" s="42">
        <v>0</v>
      </c>
      <c r="K66" s="43">
        <v>0</v>
      </c>
      <c r="L66" s="66"/>
      <c r="M66" s="51"/>
      <c r="O66" s="40"/>
      <c r="P66" s="40"/>
      <c r="Q66" s="40"/>
    </row>
    <row r="67" spans="2:17" ht="15" customHeight="1" x14ac:dyDescent="0.35">
      <c r="B67" s="19">
        <v>8</v>
      </c>
      <c r="C67" s="20" t="s">
        <v>342</v>
      </c>
      <c r="D67" s="21" t="s">
        <v>343</v>
      </c>
      <c r="E67" s="22" t="s">
        <v>325</v>
      </c>
      <c r="F67" s="23" t="s">
        <v>344</v>
      </c>
      <c r="G67" s="41" t="s">
        <v>329</v>
      </c>
      <c r="H67" s="42">
        <v>0.67421130999045165</v>
      </c>
      <c r="I67" s="26">
        <v>0.64599860736895443</v>
      </c>
      <c r="J67" s="42">
        <v>0</v>
      </c>
      <c r="K67" s="43">
        <v>0</v>
      </c>
      <c r="L67" s="66"/>
      <c r="M67" s="51"/>
      <c r="O67" s="40"/>
      <c r="P67" s="40"/>
      <c r="Q67" s="40"/>
    </row>
    <row r="68" spans="2:17" ht="15" customHeight="1" x14ac:dyDescent="0.35">
      <c r="B68" s="19">
        <v>8</v>
      </c>
      <c r="C68" s="20" t="s">
        <v>345</v>
      </c>
      <c r="D68" s="21" t="s">
        <v>346</v>
      </c>
      <c r="E68" s="22" t="s">
        <v>325</v>
      </c>
      <c r="F68" s="23" t="s">
        <v>347</v>
      </c>
      <c r="G68" s="41" t="s">
        <v>329</v>
      </c>
      <c r="H68" s="42">
        <v>0.10590736962208483</v>
      </c>
      <c r="I68" s="26">
        <v>0.10441621300034036</v>
      </c>
      <c r="J68" s="42">
        <v>0.41070352275569927</v>
      </c>
      <c r="K68" s="43">
        <v>0.41070352275569927</v>
      </c>
      <c r="L68" s="66"/>
      <c r="M68" s="51"/>
      <c r="O68" s="40"/>
      <c r="P68" s="40"/>
      <c r="Q68" s="40"/>
    </row>
    <row r="69" spans="2:17" ht="15" customHeight="1" x14ac:dyDescent="0.35">
      <c r="B69" s="19">
        <v>8</v>
      </c>
      <c r="C69" s="20" t="s">
        <v>348</v>
      </c>
      <c r="D69" s="21" t="s">
        <v>349</v>
      </c>
      <c r="E69" s="22" t="s">
        <v>325</v>
      </c>
      <c r="F69" s="23" t="s">
        <v>350</v>
      </c>
      <c r="G69" s="41" t="s">
        <v>329</v>
      </c>
      <c r="H69" s="42">
        <v>1.645551269013492E-2</v>
      </c>
      <c r="I69" s="26">
        <v>2.0762659617694506E-2</v>
      </c>
      <c r="J69" s="42">
        <v>0</v>
      </c>
      <c r="K69" s="43">
        <v>0</v>
      </c>
      <c r="L69" s="66"/>
      <c r="M69" s="51"/>
      <c r="O69" s="40"/>
      <c r="P69" s="40"/>
      <c r="Q69" s="40"/>
    </row>
    <row r="70" spans="2:17" ht="15" customHeight="1" x14ac:dyDescent="0.35">
      <c r="B70" s="19">
        <v>8</v>
      </c>
      <c r="C70" s="20" t="s">
        <v>351</v>
      </c>
      <c r="D70" s="21" t="s">
        <v>352</v>
      </c>
      <c r="E70" s="22" t="s">
        <v>325</v>
      </c>
      <c r="F70" s="23" t="s">
        <v>353</v>
      </c>
      <c r="G70" s="41" t="s">
        <v>329</v>
      </c>
      <c r="H70" s="42">
        <v>0</v>
      </c>
      <c r="I70" s="26">
        <v>0</v>
      </c>
      <c r="J70" s="42">
        <v>2.4607179027628767E-2</v>
      </c>
      <c r="K70" s="43">
        <v>2.4607179027628767E-2</v>
      </c>
      <c r="L70" s="66"/>
      <c r="M70" s="51"/>
      <c r="O70" s="40"/>
      <c r="P70" s="40"/>
      <c r="Q70" s="40"/>
    </row>
    <row r="71" spans="2:17" ht="15" customHeight="1" x14ac:dyDescent="0.35">
      <c r="B71" s="12">
        <v>5</v>
      </c>
      <c r="C71" s="13" t="s">
        <v>354</v>
      </c>
      <c r="D71" s="13" t="s">
        <v>355</v>
      </c>
      <c r="E71" s="14" t="s">
        <v>57</v>
      </c>
      <c r="F71" s="15"/>
      <c r="G71" s="37"/>
      <c r="H71" s="38">
        <f>SUM(H72:H100)</f>
        <v>0.99999999999999967</v>
      </c>
      <c r="I71" s="18">
        <f>SUM(I72:I100)</f>
        <v>0.99999999999999989</v>
      </c>
      <c r="J71" s="38">
        <f>SUM(J72:J100)</f>
        <v>1</v>
      </c>
      <c r="K71" s="39">
        <f>SUM(K72:K100)</f>
        <v>1.0000000000000002</v>
      </c>
      <c r="L71" s="66"/>
      <c r="M71" s="51"/>
      <c r="O71" s="40"/>
      <c r="P71" s="40"/>
      <c r="Q71" s="40"/>
    </row>
    <row r="72" spans="2:17" ht="15" customHeight="1" x14ac:dyDescent="0.35">
      <c r="B72" s="19">
        <v>8</v>
      </c>
      <c r="C72" s="20" t="s">
        <v>356</v>
      </c>
      <c r="D72" s="21" t="s">
        <v>357</v>
      </c>
      <c r="E72" s="22" t="s">
        <v>57</v>
      </c>
      <c r="F72" s="23" t="s">
        <v>358</v>
      </c>
      <c r="G72" s="41" t="s">
        <v>359</v>
      </c>
      <c r="H72" s="44">
        <v>2.6927681651777002E-2</v>
      </c>
      <c r="I72" s="46">
        <v>2.0823345087405541E-2</v>
      </c>
      <c r="J72" s="44">
        <v>0</v>
      </c>
      <c r="K72" s="45">
        <v>0</v>
      </c>
      <c r="L72" s="66"/>
      <c r="M72" s="51"/>
      <c r="O72" s="40"/>
      <c r="P72" s="40"/>
      <c r="Q72" s="40"/>
    </row>
    <row r="73" spans="2:17" ht="15" customHeight="1" x14ac:dyDescent="0.35">
      <c r="B73" s="19">
        <v>8</v>
      </c>
      <c r="C73" s="20" t="s">
        <v>360</v>
      </c>
      <c r="D73" s="52" t="s">
        <v>361</v>
      </c>
      <c r="E73" s="22" t="s">
        <v>57</v>
      </c>
      <c r="F73" s="23" t="s">
        <v>362</v>
      </c>
      <c r="G73" s="41" t="s">
        <v>359</v>
      </c>
      <c r="H73" s="44">
        <v>0</v>
      </c>
      <c r="I73" s="46">
        <v>0</v>
      </c>
      <c r="J73" s="44">
        <v>4.5791289158784498E-2</v>
      </c>
      <c r="K73" s="73">
        <v>4.6456733631646895E-2</v>
      </c>
      <c r="L73" s="66"/>
      <c r="M73" s="51"/>
      <c r="O73" s="40"/>
      <c r="P73" s="40"/>
      <c r="Q73" s="40"/>
    </row>
    <row r="74" spans="2:17" ht="15" customHeight="1" x14ac:dyDescent="0.35">
      <c r="B74" s="19">
        <v>8</v>
      </c>
      <c r="C74" s="20" t="s">
        <v>363</v>
      </c>
      <c r="D74" s="52" t="s">
        <v>364</v>
      </c>
      <c r="E74" s="22" t="s">
        <v>57</v>
      </c>
      <c r="F74" s="23" t="s">
        <v>365</v>
      </c>
      <c r="G74" s="41" t="s">
        <v>366</v>
      </c>
      <c r="H74" s="44">
        <v>9.2559482231077808E-2</v>
      </c>
      <c r="I74" s="71">
        <v>7.549332821311748E-2</v>
      </c>
      <c r="J74" s="44">
        <v>0</v>
      </c>
      <c r="K74" s="45">
        <v>0</v>
      </c>
      <c r="L74" s="66"/>
      <c r="M74" s="51"/>
      <c r="O74" s="40"/>
      <c r="P74" s="40"/>
      <c r="Q74" s="40"/>
    </row>
    <row r="75" spans="2:17" ht="15" customHeight="1" x14ac:dyDescent="0.35">
      <c r="B75" s="19">
        <v>8</v>
      </c>
      <c r="C75" s="20" t="s">
        <v>367</v>
      </c>
      <c r="D75" s="52" t="s">
        <v>368</v>
      </c>
      <c r="E75" s="22" t="s">
        <v>57</v>
      </c>
      <c r="F75" s="23" t="s">
        <v>369</v>
      </c>
      <c r="G75" s="41" t="s">
        <v>370</v>
      </c>
      <c r="H75" s="44">
        <v>9.1496823946242631E-2</v>
      </c>
      <c r="I75" s="71">
        <v>7.8666586939170377E-2</v>
      </c>
      <c r="J75" s="44">
        <v>0</v>
      </c>
      <c r="K75" s="45">
        <v>0</v>
      </c>
      <c r="L75" s="66"/>
      <c r="M75" s="51"/>
      <c r="O75" s="40"/>
      <c r="P75" s="40"/>
      <c r="Q75" s="40"/>
    </row>
    <row r="76" spans="2:17" ht="15" customHeight="1" x14ac:dyDescent="0.35">
      <c r="B76" s="19">
        <v>8</v>
      </c>
      <c r="C76" s="20" t="s">
        <v>371</v>
      </c>
      <c r="D76" s="52" t="s">
        <v>372</v>
      </c>
      <c r="E76" s="22" t="s">
        <v>57</v>
      </c>
      <c r="F76" s="23" t="s">
        <v>373</v>
      </c>
      <c r="G76" s="41" t="s">
        <v>370</v>
      </c>
      <c r="H76" s="44">
        <v>5.7217440676482267E-2</v>
      </c>
      <c r="I76" s="71">
        <v>5.4093911506174853E-2</v>
      </c>
      <c r="J76" s="44">
        <v>0</v>
      </c>
      <c r="K76" s="45">
        <v>0</v>
      </c>
      <c r="L76" s="66"/>
      <c r="M76" s="51"/>
      <c r="O76" s="40"/>
      <c r="P76" s="40"/>
      <c r="Q76" s="40"/>
    </row>
    <row r="77" spans="2:17" ht="15" customHeight="1" x14ac:dyDescent="0.35">
      <c r="B77" s="19">
        <v>8</v>
      </c>
      <c r="C77" s="20" t="s">
        <v>374</v>
      </c>
      <c r="D77" s="52" t="s">
        <v>375</v>
      </c>
      <c r="E77" s="22" t="s">
        <v>57</v>
      </c>
      <c r="F77" s="23" t="s">
        <v>376</v>
      </c>
      <c r="G77" s="41" t="s">
        <v>370</v>
      </c>
      <c r="H77" s="44">
        <v>9.7352727563331257E-2</v>
      </c>
      <c r="I77" s="71">
        <v>8.0630333759718217E-2</v>
      </c>
      <c r="J77" s="44">
        <v>0</v>
      </c>
      <c r="K77" s="45">
        <v>0</v>
      </c>
      <c r="L77" s="66"/>
      <c r="M77" s="51"/>
      <c r="O77" s="40"/>
      <c r="P77" s="40"/>
      <c r="Q77" s="40"/>
    </row>
    <row r="78" spans="2:17" ht="15" customHeight="1" x14ac:dyDescent="0.35">
      <c r="B78" s="19">
        <v>8</v>
      </c>
      <c r="C78" s="20" t="s">
        <v>377</v>
      </c>
      <c r="D78" s="21" t="s">
        <v>378</v>
      </c>
      <c r="E78" s="22" t="s">
        <v>57</v>
      </c>
      <c r="F78" s="23" t="s">
        <v>379</v>
      </c>
      <c r="G78" s="41" t="s">
        <v>370</v>
      </c>
      <c r="H78" s="44">
        <v>1.8571423424987379E-2</v>
      </c>
      <c r="I78" s="46">
        <v>1.5200658339705091E-2</v>
      </c>
      <c r="J78" s="44">
        <v>0</v>
      </c>
      <c r="K78" s="45">
        <v>0</v>
      </c>
      <c r="L78" s="66"/>
      <c r="M78" s="51"/>
      <c r="O78" s="40"/>
      <c r="P78" s="40"/>
      <c r="Q78" s="40"/>
    </row>
    <row r="79" spans="2:17" ht="15" customHeight="1" x14ac:dyDescent="0.35">
      <c r="B79" s="19">
        <v>8</v>
      </c>
      <c r="C79" s="20" t="s">
        <v>380</v>
      </c>
      <c r="D79" s="21" t="s">
        <v>381</v>
      </c>
      <c r="E79" s="22" t="s">
        <v>57</v>
      </c>
      <c r="F79" s="23" t="s">
        <v>382</v>
      </c>
      <c r="G79" s="41" t="s">
        <v>383</v>
      </c>
      <c r="H79" s="44">
        <v>4.1918135329746108E-2</v>
      </c>
      <c r="I79" s="46">
        <v>3.1269680215160751E-2</v>
      </c>
      <c r="J79" s="44">
        <v>0</v>
      </c>
      <c r="K79" s="45">
        <v>0</v>
      </c>
      <c r="L79" s="66"/>
      <c r="M79" s="51"/>
      <c r="O79" s="40"/>
      <c r="P79" s="40"/>
      <c r="Q79" s="40"/>
    </row>
    <row r="80" spans="2:17" ht="15" customHeight="1" x14ac:dyDescent="0.35">
      <c r="B80" s="19">
        <v>8</v>
      </c>
      <c r="C80" s="20" t="s">
        <v>384</v>
      </c>
      <c r="D80" s="52" t="s">
        <v>385</v>
      </c>
      <c r="E80" s="22" t="s">
        <v>57</v>
      </c>
      <c r="F80" s="23" t="s">
        <v>386</v>
      </c>
      <c r="G80" s="41" t="s">
        <v>383</v>
      </c>
      <c r="H80" s="44">
        <v>5.1216808460933294E-2</v>
      </c>
      <c r="I80" s="71">
        <v>4.5054415168139753E-2</v>
      </c>
      <c r="J80" s="44">
        <v>1.1358630570857437E-2</v>
      </c>
      <c r="K80" s="45">
        <v>0</v>
      </c>
      <c r="L80" s="66"/>
      <c r="M80" s="51"/>
      <c r="O80" s="40"/>
      <c r="P80" s="40"/>
      <c r="Q80" s="40"/>
    </row>
    <row r="81" spans="2:17" ht="15" customHeight="1" x14ac:dyDescent="0.35">
      <c r="B81" s="19">
        <v>8</v>
      </c>
      <c r="C81" s="20" t="s">
        <v>387</v>
      </c>
      <c r="D81" s="21" t="s">
        <v>388</v>
      </c>
      <c r="E81" s="22" t="s">
        <v>57</v>
      </c>
      <c r="F81" s="23" t="s">
        <v>389</v>
      </c>
      <c r="G81" s="41" t="s">
        <v>390</v>
      </c>
      <c r="H81" s="44">
        <v>0</v>
      </c>
      <c r="I81" s="46">
        <v>1.1712836468620917E-2</v>
      </c>
      <c r="J81" s="44">
        <v>0</v>
      </c>
      <c r="K81" s="45">
        <v>0</v>
      </c>
      <c r="L81" s="66"/>
      <c r="M81" s="51"/>
      <c r="O81" s="40"/>
      <c r="P81" s="40"/>
      <c r="Q81" s="40"/>
    </row>
    <row r="82" spans="2:17" ht="15" customHeight="1" x14ac:dyDescent="0.35">
      <c r="B82" s="19">
        <v>8</v>
      </c>
      <c r="C82" s="20" t="s">
        <v>391</v>
      </c>
      <c r="D82" s="52" t="s">
        <v>392</v>
      </c>
      <c r="E82" s="22" t="s">
        <v>57</v>
      </c>
      <c r="F82" s="23" t="s">
        <v>393</v>
      </c>
      <c r="G82" s="41" t="s">
        <v>394</v>
      </c>
      <c r="H82" s="44">
        <v>0</v>
      </c>
      <c r="I82" s="71">
        <v>3.2859470401990012E-2</v>
      </c>
      <c r="J82" s="44">
        <v>0</v>
      </c>
      <c r="K82" s="45">
        <v>0</v>
      </c>
      <c r="L82" s="66"/>
      <c r="M82" s="51"/>
      <c r="O82" s="40"/>
      <c r="P82" s="40"/>
      <c r="Q82" s="40"/>
    </row>
    <row r="83" spans="2:17" ht="15" customHeight="1" x14ac:dyDescent="0.35">
      <c r="B83" s="19">
        <v>8</v>
      </c>
      <c r="C83" s="20" t="s">
        <v>395</v>
      </c>
      <c r="D83" s="21" t="s">
        <v>396</v>
      </c>
      <c r="E83" s="22" t="s">
        <v>57</v>
      </c>
      <c r="F83" s="23" t="s">
        <v>397</v>
      </c>
      <c r="G83" s="41" t="s">
        <v>394</v>
      </c>
      <c r="H83" s="44">
        <v>2.0078025382247115E-2</v>
      </c>
      <c r="I83" s="46">
        <v>2.6948274804424723E-2</v>
      </c>
      <c r="J83" s="44">
        <v>0</v>
      </c>
      <c r="K83" s="45">
        <v>0</v>
      </c>
      <c r="L83" s="66"/>
      <c r="M83" s="51"/>
      <c r="O83" s="40"/>
      <c r="P83" s="40"/>
      <c r="Q83" s="40"/>
    </row>
    <row r="84" spans="2:17" ht="15" customHeight="1" x14ac:dyDescent="0.35">
      <c r="B84" s="19">
        <v>8</v>
      </c>
      <c r="C84" s="20" t="s">
        <v>398</v>
      </c>
      <c r="D84" s="21" t="s">
        <v>399</v>
      </c>
      <c r="E84" s="22" t="s">
        <v>57</v>
      </c>
      <c r="F84" s="23" t="s">
        <v>400</v>
      </c>
      <c r="G84" s="41" t="s">
        <v>394</v>
      </c>
      <c r="H84" s="44">
        <v>2.3913730580909953E-2</v>
      </c>
      <c r="I84" s="46">
        <v>2.510347477262272E-2</v>
      </c>
      <c r="J84" s="44">
        <v>0</v>
      </c>
      <c r="K84" s="45">
        <v>0</v>
      </c>
      <c r="L84" s="66"/>
      <c r="M84" s="51"/>
      <c r="O84" s="40"/>
      <c r="P84" s="40"/>
      <c r="Q84" s="40"/>
    </row>
    <row r="85" spans="2:17" ht="15" customHeight="1" x14ac:dyDescent="0.35">
      <c r="B85" s="19">
        <v>8</v>
      </c>
      <c r="C85" s="20" t="s">
        <v>401</v>
      </c>
      <c r="D85" s="52" t="s">
        <v>402</v>
      </c>
      <c r="E85" s="22" t="s">
        <v>57</v>
      </c>
      <c r="F85" s="23" t="s">
        <v>403</v>
      </c>
      <c r="G85" s="41" t="s">
        <v>394</v>
      </c>
      <c r="H85" s="44">
        <v>2.6234914235917221E-2</v>
      </c>
      <c r="I85" s="71">
        <v>3.3460954604199053E-2</v>
      </c>
      <c r="J85" s="44">
        <v>0</v>
      </c>
      <c r="K85" s="45">
        <v>0</v>
      </c>
      <c r="L85" s="66"/>
      <c r="M85" s="51"/>
      <c r="O85" s="40"/>
      <c r="P85" s="40"/>
      <c r="Q85" s="40"/>
    </row>
    <row r="86" spans="2:17" ht="15" customHeight="1" x14ac:dyDescent="0.35">
      <c r="B86" s="19">
        <v>8</v>
      </c>
      <c r="C86" s="20" t="s">
        <v>404</v>
      </c>
      <c r="D86" s="21" t="s">
        <v>405</v>
      </c>
      <c r="E86" s="22" t="s">
        <v>57</v>
      </c>
      <c r="F86" s="23" t="s">
        <v>406</v>
      </c>
      <c r="G86" s="41" t="s">
        <v>394</v>
      </c>
      <c r="H86" s="44">
        <v>2.4610768569359221E-2</v>
      </c>
      <c r="I86" s="46">
        <v>2.1341761252657604E-2</v>
      </c>
      <c r="J86" s="44">
        <v>0</v>
      </c>
      <c r="K86" s="45">
        <v>0</v>
      </c>
      <c r="L86" s="66"/>
      <c r="M86" s="51"/>
      <c r="O86" s="40"/>
      <c r="P86" s="40"/>
      <c r="Q86" s="40"/>
    </row>
    <row r="87" spans="2:17" ht="15" customHeight="1" x14ac:dyDescent="0.35">
      <c r="B87" s="19">
        <v>8</v>
      </c>
      <c r="C87" s="20" t="s">
        <v>407</v>
      </c>
      <c r="D87" s="52" t="s">
        <v>408</v>
      </c>
      <c r="E87" s="22" t="s">
        <v>57</v>
      </c>
      <c r="F87" s="23" t="s">
        <v>409</v>
      </c>
      <c r="G87" s="41" t="s">
        <v>410</v>
      </c>
      <c r="H87" s="44">
        <v>3.5656673857567739E-2</v>
      </c>
      <c r="I87" s="71">
        <v>3.7166511982293197E-2</v>
      </c>
      <c r="J87" s="44">
        <v>0</v>
      </c>
      <c r="K87" s="45">
        <v>0</v>
      </c>
      <c r="L87" s="66"/>
      <c r="M87" s="51"/>
      <c r="O87" s="40"/>
      <c r="P87" s="40"/>
      <c r="Q87" s="40"/>
    </row>
    <row r="88" spans="2:17" ht="15" customHeight="1" x14ac:dyDescent="0.35">
      <c r="B88" s="19">
        <v>8</v>
      </c>
      <c r="C88" s="20" t="s">
        <v>411</v>
      </c>
      <c r="D88" s="52" t="s">
        <v>412</v>
      </c>
      <c r="E88" s="22" t="s">
        <v>57</v>
      </c>
      <c r="F88" s="23" t="s">
        <v>413</v>
      </c>
      <c r="G88" s="41" t="s">
        <v>410</v>
      </c>
      <c r="H88" s="44">
        <v>5.284416784934054E-2</v>
      </c>
      <c r="I88" s="71">
        <v>5.8234864980169006E-2</v>
      </c>
      <c r="J88" s="72">
        <v>0.812182686223204</v>
      </c>
      <c r="K88" s="73">
        <v>0.81461274501269343</v>
      </c>
      <c r="L88" s="66"/>
      <c r="M88" s="51"/>
      <c r="O88" s="40"/>
      <c r="P88" s="40"/>
      <c r="Q88" s="40"/>
    </row>
    <row r="89" spans="2:17" ht="15" customHeight="1" x14ac:dyDescent="0.35">
      <c r="B89" s="19">
        <v>8</v>
      </c>
      <c r="C89" s="20" t="s">
        <v>414</v>
      </c>
      <c r="D89" s="52" t="s">
        <v>415</v>
      </c>
      <c r="E89" s="22" t="s">
        <v>57</v>
      </c>
      <c r="F89" s="23" t="s">
        <v>416</v>
      </c>
      <c r="G89" s="41" t="s">
        <v>410</v>
      </c>
      <c r="H89" s="44">
        <v>5.1983742295473465E-2</v>
      </c>
      <c r="I89" s="71">
        <v>5.3836836311743429E-2</v>
      </c>
      <c r="J89" s="72">
        <v>8.6444074299233217E-2</v>
      </c>
      <c r="K89" s="73">
        <v>9.4064543053273691E-2</v>
      </c>
      <c r="L89" s="66"/>
      <c r="M89" s="51"/>
      <c r="O89" s="40"/>
      <c r="P89" s="40"/>
      <c r="Q89" s="40"/>
    </row>
    <row r="90" spans="2:17" ht="15" customHeight="1" x14ac:dyDescent="0.35">
      <c r="B90" s="19">
        <v>8</v>
      </c>
      <c r="C90" s="20" t="s">
        <v>417</v>
      </c>
      <c r="D90" s="52" t="s">
        <v>418</v>
      </c>
      <c r="E90" s="22" t="s">
        <v>57</v>
      </c>
      <c r="F90" s="23" t="s">
        <v>419</v>
      </c>
      <c r="G90" s="41" t="s">
        <v>410</v>
      </c>
      <c r="H90" s="44">
        <v>5.420034884332349E-2</v>
      </c>
      <c r="I90" s="71">
        <v>4.470638327470243E-2</v>
      </c>
      <c r="J90" s="44">
        <v>0</v>
      </c>
      <c r="K90" s="45">
        <v>0</v>
      </c>
      <c r="L90" s="66"/>
      <c r="M90" s="51"/>
      <c r="O90" s="40"/>
      <c r="P90" s="40"/>
      <c r="Q90" s="40"/>
    </row>
    <row r="91" spans="2:17" ht="15" customHeight="1" x14ac:dyDescent="0.35">
      <c r="B91" s="19">
        <v>8</v>
      </c>
      <c r="C91" s="20" t="s">
        <v>420</v>
      </c>
      <c r="D91" s="52" t="s">
        <v>421</v>
      </c>
      <c r="E91" s="22" t="s">
        <v>57</v>
      </c>
      <c r="F91" s="23" t="s">
        <v>422</v>
      </c>
      <c r="G91" s="41" t="s">
        <v>410</v>
      </c>
      <c r="H91" s="44">
        <v>6.6462677988268631E-2</v>
      </c>
      <c r="I91" s="71">
        <v>8.6153932438163022E-2</v>
      </c>
      <c r="J91" s="44">
        <v>0</v>
      </c>
      <c r="K91" s="45">
        <v>0</v>
      </c>
      <c r="L91" s="66"/>
      <c r="M91" s="51"/>
      <c r="O91" s="40"/>
      <c r="P91" s="40"/>
      <c r="Q91" s="40"/>
    </row>
    <row r="92" spans="2:17" ht="15" customHeight="1" x14ac:dyDescent="0.35">
      <c r="B92" s="19">
        <v>8</v>
      </c>
      <c r="C92" s="20" t="s">
        <v>423</v>
      </c>
      <c r="D92" s="21" t="s">
        <v>424</v>
      </c>
      <c r="E92" s="22" t="s">
        <v>57</v>
      </c>
      <c r="F92" s="23" t="s">
        <v>425</v>
      </c>
      <c r="G92" s="41" t="s">
        <v>410</v>
      </c>
      <c r="H92" s="44">
        <v>0</v>
      </c>
      <c r="I92" s="46">
        <v>1.2649821354281216E-2</v>
      </c>
      <c r="J92" s="44">
        <v>0</v>
      </c>
      <c r="K92" s="45">
        <v>0</v>
      </c>
      <c r="L92" s="66"/>
      <c r="M92" s="51"/>
      <c r="O92" s="40"/>
      <c r="P92" s="40"/>
      <c r="Q92" s="40"/>
    </row>
    <row r="93" spans="2:17" ht="15" customHeight="1" x14ac:dyDescent="0.35">
      <c r="B93" s="19">
        <v>8</v>
      </c>
      <c r="C93" s="20" t="s">
        <v>426</v>
      </c>
      <c r="D93" s="21" t="s">
        <v>427</v>
      </c>
      <c r="E93" s="22" t="s">
        <v>57</v>
      </c>
      <c r="F93" s="23" t="s">
        <v>428</v>
      </c>
      <c r="G93" s="41" t="s">
        <v>410</v>
      </c>
      <c r="H93" s="44">
        <v>2.4200854801952269E-2</v>
      </c>
      <c r="I93" s="46">
        <v>2.0066215189025235E-2</v>
      </c>
      <c r="J93" s="44">
        <v>0</v>
      </c>
      <c r="K93" s="45">
        <v>0</v>
      </c>
      <c r="L93" s="66"/>
      <c r="M93" s="51"/>
      <c r="O93" s="40"/>
      <c r="P93" s="40"/>
      <c r="Q93" s="40"/>
    </row>
    <row r="94" spans="2:17" ht="15" customHeight="1" x14ac:dyDescent="0.35">
      <c r="B94" s="19">
        <v>8</v>
      </c>
      <c r="C94" s="20" t="s">
        <v>429</v>
      </c>
      <c r="D94" s="21" t="s">
        <v>430</v>
      </c>
      <c r="E94" s="22" t="s">
        <v>57</v>
      </c>
      <c r="F94" s="23" t="s">
        <v>431</v>
      </c>
      <c r="G94" s="41" t="s">
        <v>410</v>
      </c>
      <c r="H94" s="44">
        <v>2.9159260669779728E-2</v>
      </c>
      <c r="I94" s="46">
        <v>2.4525977056331309E-2</v>
      </c>
      <c r="J94" s="44">
        <v>0</v>
      </c>
      <c r="K94" s="45">
        <v>0</v>
      </c>
      <c r="L94" s="66"/>
      <c r="M94" s="51"/>
      <c r="O94" s="40"/>
      <c r="P94" s="40"/>
      <c r="Q94" s="40"/>
    </row>
    <row r="95" spans="2:17" ht="15" customHeight="1" x14ac:dyDescent="0.35">
      <c r="B95" s="19">
        <v>8</v>
      </c>
      <c r="C95" s="20" t="s">
        <v>432</v>
      </c>
      <c r="D95" s="21" t="s">
        <v>433</v>
      </c>
      <c r="E95" s="22" t="s">
        <v>57</v>
      </c>
      <c r="F95" s="23" t="s">
        <v>434</v>
      </c>
      <c r="G95" s="41" t="s">
        <v>410</v>
      </c>
      <c r="H95" s="44">
        <v>1.5908867108216349E-2</v>
      </c>
      <c r="I95" s="46">
        <v>1.6067467092028987E-2</v>
      </c>
      <c r="J95" s="44">
        <v>0</v>
      </c>
      <c r="K95" s="45">
        <v>0</v>
      </c>
      <c r="L95" s="66"/>
      <c r="M95" s="51"/>
      <c r="O95" s="40"/>
      <c r="P95" s="40"/>
      <c r="Q95" s="40"/>
    </row>
    <row r="96" spans="2:17" ht="15" customHeight="1" x14ac:dyDescent="0.35">
      <c r="B96" s="19">
        <v>8</v>
      </c>
      <c r="C96" s="20" t="s">
        <v>435</v>
      </c>
      <c r="D96" s="21" t="s">
        <v>436</v>
      </c>
      <c r="E96" s="22" t="s">
        <v>57</v>
      </c>
      <c r="F96" s="23" t="s">
        <v>437</v>
      </c>
      <c r="G96" s="41" t="s">
        <v>410</v>
      </c>
      <c r="H96" s="44">
        <v>0</v>
      </c>
      <c r="I96" s="46">
        <v>1.1767310150432864E-2</v>
      </c>
      <c r="J96" s="44">
        <v>0</v>
      </c>
      <c r="K96" s="45">
        <v>0</v>
      </c>
      <c r="L96" s="66"/>
      <c r="M96" s="51"/>
      <c r="O96" s="40"/>
      <c r="P96" s="40"/>
      <c r="Q96" s="40"/>
    </row>
    <row r="97" spans="2:17" ht="15" customHeight="1" x14ac:dyDescent="0.35">
      <c r="B97" s="19">
        <v>8</v>
      </c>
      <c r="C97" s="20" t="s">
        <v>438</v>
      </c>
      <c r="D97" s="21" t="s">
        <v>439</v>
      </c>
      <c r="E97" s="22" t="s">
        <v>57</v>
      </c>
      <c r="F97" s="23" t="s">
        <v>440</v>
      </c>
      <c r="G97" s="41" t="s">
        <v>410</v>
      </c>
      <c r="H97" s="44">
        <v>3.2492422718805702E-2</v>
      </c>
      <c r="I97" s="46">
        <v>2.6685613355857243E-2</v>
      </c>
      <c r="J97" s="44">
        <v>4.4223319747920889E-2</v>
      </c>
      <c r="K97" s="45">
        <v>4.4865978302386048E-2</v>
      </c>
      <c r="L97" s="66"/>
      <c r="M97" s="51"/>
      <c r="O97" s="40"/>
      <c r="P97" s="40"/>
      <c r="Q97" s="40"/>
    </row>
    <row r="98" spans="2:17" ht="15" customHeight="1" x14ac:dyDescent="0.35">
      <c r="B98" s="19">
        <v>8</v>
      </c>
      <c r="C98" s="20" t="s">
        <v>441</v>
      </c>
      <c r="D98" s="21" t="s">
        <v>442</v>
      </c>
      <c r="E98" s="22" t="s">
        <v>57</v>
      </c>
      <c r="F98" s="23" t="s">
        <v>443</v>
      </c>
      <c r="G98" s="41" t="s">
        <v>410</v>
      </c>
      <c r="H98" s="44">
        <v>1.4162625959144731E-2</v>
      </c>
      <c r="I98" s="46">
        <v>1.3645816336414159E-2</v>
      </c>
      <c r="J98" s="44">
        <v>0</v>
      </c>
      <c r="K98" s="45">
        <v>0</v>
      </c>
      <c r="L98" s="66"/>
      <c r="M98" s="51"/>
      <c r="O98" s="40"/>
      <c r="P98" s="40"/>
      <c r="Q98" s="40"/>
    </row>
    <row r="99" spans="2:17" ht="15" customHeight="1" x14ac:dyDescent="0.35">
      <c r="B99" s="19">
        <v>8</v>
      </c>
      <c r="C99" s="20" t="s">
        <v>444</v>
      </c>
      <c r="D99" s="21" t="s">
        <v>445</v>
      </c>
      <c r="E99" s="22" t="s">
        <v>57</v>
      </c>
      <c r="F99" s="23" t="s">
        <v>446</v>
      </c>
      <c r="G99" s="41" t="s">
        <v>410</v>
      </c>
      <c r="H99" s="44">
        <v>1.7599234646479063E-2</v>
      </c>
      <c r="I99" s="46">
        <v>1.4126061441744369E-2</v>
      </c>
      <c r="J99" s="44">
        <v>0</v>
      </c>
      <c r="K99" s="45">
        <v>0</v>
      </c>
      <c r="L99" s="66"/>
      <c r="M99" s="51"/>
      <c r="O99" s="40"/>
      <c r="P99" s="40"/>
      <c r="Q99" s="40"/>
    </row>
    <row r="100" spans="2:17" ht="15" customHeight="1" x14ac:dyDescent="0.35">
      <c r="B100" s="19">
        <v>8</v>
      </c>
      <c r="C100" s="20" t="s">
        <v>447</v>
      </c>
      <c r="D100" s="21" t="s">
        <v>448</v>
      </c>
      <c r="E100" s="22" t="s">
        <v>57</v>
      </c>
      <c r="F100" s="23" t="s">
        <v>449</v>
      </c>
      <c r="G100" s="41" t="s">
        <v>410</v>
      </c>
      <c r="H100" s="44">
        <v>3.3231161208636895E-2</v>
      </c>
      <c r="I100" s="46">
        <v>2.7708157503706476E-2</v>
      </c>
      <c r="J100" s="44">
        <v>0</v>
      </c>
      <c r="K100" s="45">
        <v>0</v>
      </c>
      <c r="L100" s="66"/>
      <c r="M100" s="51"/>
      <c r="O100" s="40"/>
      <c r="P100" s="40"/>
      <c r="Q100" s="40"/>
    </row>
    <row r="101" spans="2:17" ht="15" customHeight="1" x14ac:dyDescent="0.35">
      <c r="B101" s="12">
        <v>5</v>
      </c>
      <c r="C101" s="13" t="s">
        <v>450</v>
      </c>
      <c r="D101" s="13" t="s">
        <v>451</v>
      </c>
      <c r="E101" s="14" t="s">
        <v>57</v>
      </c>
      <c r="F101" s="15"/>
      <c r="G101" s="37"/>
      <c r="H101" s="38">
        <f>SUM(H102:H139)</f>
        <v>1</v>
      </c>
      <c r="I101" s="18">
        <f>SUM(I102:I139)</f>
        <v>1</v>
      </c>
      <c r="J101" s="38">
        <f>SUM(J102:J139)</f>
        <v>1</v>
      </c>
      <c r="K101" s="39">
        <f>SUM(K102:K139)</f>
        <v>1</v>
      </c>
      <c r="L101" s="66"/>
      <c r="M101" s="51"/>
      <c r="O101" s="40"/>
      <c r="P101" s="40"/>
      <c r="Q101" s="40"/>
    </row>
    <row r="102" spans="2:17" ht="15" customHeight="1" x14ac:dyDescent="0.35">
      <c r="B102" s="19">
        <v>8</v>
      </c>
      <c r="C102" s="20" t="s">
        <v>452</v>
      </c>
      <c r="D102" s="21" t="s">
        <v>453</v>
      </c>
      <c r="E102" s="22" t="s">
        <v>57</v>
      </c>
      <c r="F102" s="23" t="s">
        <v>454</v>
      </c>
      <c r="G102" s="41" t="s">
        <v>455</v>
      </c>
      <c r="H102" s="42">
        <v>1.4085894913621371E-2</v>
      </c>
      <c r="I102" s="26">
        <v>0</v>
      </c>
      <c r="J102" s="42">
        <v>0</v>
      </c>
      <c r="K102" s="43">
        <v>0</v>
      </c>
      <c r="L102" s="66"/>
      <c r="M102" s="51"/>
      <c r="O102" s="40"/>
      <c r="P102" s="40"/>
      <c r="Q102" s="40"/>
    </row>
    <row r="103" spans="2:17" ht="15" customHeight="1" x14ac:dyDescent="0.35">
      <c r="B103" s="19">
        <v>8</v>
      </c>
      <c r="C103" s="20" t="s">
        <v>456</v>
      </c>
      <c r="D103" s="52" t="s">
        <v>457</v>
      </c>
      <c r="E103" s="22" t="s">
        <v>57</v>
      </c>
      <c r="F103" s="23" t="s">
        <v>458</v>
      </c>
      <c r="G103" s="41" t="s">
        <v>455</v>
      </c>
      <c r="H103" s="42">
        <v>3.6946972953391902E-2</v>
      </c>
      <c r="I103" s="26">
        <v>3.6728296455979442E-2</v>
      </c>
      <c r="J103" s="42">
        <v>0</v>
      </c>
      <c r="K103" s="43">
        <v>0</v>
      </c>
      <c r="L103" s="66"/>
      <c r="M103" s="51"/>
      <c r="O103" s="40"/>
      <c r="P103" s="40"/>
      <c r="Q103" s="40"/>
    </row>
    <row r="104" spans="2:17" ht="15" customHeight="1" x14ac:dyDescent="0.35">
      <c r="B104" s="19">
        <v>8</v>
      </c>
      <c r="C104" s="20" t="s">
        <v>459</v>
      </c>
      <c r="D104" s="21" t="s">
        <v>460</v>
      </c>
      <c r="E104" s="22" t="s">
        <v>57</v>
      </c>
      <c r="F104" s="23" t="s">
        <v>461</v>
      </c>
      <c r="G104" s="41" t="s">
        <v>455</v>
      </c>
      <c r="H104" s="42">
        <v>1.6841031880684983E-2</v>
      </c>
      <c r="I104" s="26">
        <v>2.1006744604557346E-2</v>
      </c>
      <c r="J104" s="42">
        <v>0</v>
      </c>
      <c r="K104" s="43">
        <v>0</v>
      </c>
      <c r="L104" s="66"/>
      <c r="M104" s="51"/>
      <c r="O104" s="40"/>
      <c r="P104" s="40"/>
      <c r="Q104" s="40"/>
    </row>
    <row r="105" spans="2:17" ht="15" customHeight="1" x14ac:dyDescent="0.35">
      <c r="B105" s="19">
        <v>8</v>
      </c>
      <c r="C105" s="20" t="s">
        <v>462</v>
      </c>
      <c r="D105" s="52" t="s">
        <v>463</v>
      </c>
      <c r="E105" s="22" t="s">
        <v>57</v>
      </c>
      <c r="F105" s="23" t="s">
        <v>464</v>
      </c>
      <c r="G105" s="41" t="s">
        <v>455</v>
      </c>
      <c r="H105" s="42">
        <v>0</v>
      </c>
      <c r="I105" s="26">
        <v>0</v>
      </c>
      <c r="J105" s="42">
        <v>0.17970048364472613</v>
      </c>
      <c r="K105" s="58">
        <v>0.17970048364472613</v>
      </c>
      <c r="L105" s="66"/>
      <c r="M105" s="51"/>
      <c r="O105" s="40"/>
      <c r="P105" s="40"/>
      <c r="Q105" s="40"/>
    </row>
    <row r="106" spans="2:17" ht="15" customHeight="1" x14ac:dyDescent="0.35">
      <c r="B106" s="19">
        <v>8</v>
      </c>
      <c r="C106" s="20" t="s">
        <v>465</v>
      </c>
      <c r="D106" s="21" t="s">
        <v>466</v>
      </c>
      <c r="E106" s="22" t="s">
        <v>57</v>
      </c>
      <c r="F106" s="23" t="s">
        <v>467</v>
      </c>
      <c r="G106" s="41" t="s">
        <v>455</v>
      </c>
      <c r="H106" s="42">
        <v>0</v>
      </c>
      <c r="I106" s="26">
        <v>1.476377630686976E-2</v>
      </c>
      <c r="J106" s="42">
        <v>0</v>
      </c>
      <c r="K106" s="43">
        <v>0</v>
      </c>
      <c r="L106" s="66"/>
      <c r="M106" s="51"/>
      <c r="O106" s="40"/>
      <c r="P106" s="40"/>
      <c r="Q106" s="40"/>
    </row>
    <row r="107" spans="2:17" ht="15" customHeight="1" x14ac:dyDescent="0.35">
      <c r="B107" s="19">
        <v>8</v>
      </c>
      <c r="C107" s="20" t="s">
        <v>468</v>
      </c>
      <c r="D107" s="52" t="s">
        <v>469</v>
      </c>
      <c r="E107" s="22" t="s">
        <v>57</v>
      </c>
      <c r="F107" s="23" t="s">
        <v>470</v>
      </c>
      <c r="G107" s="41" t="s">
        <v>455</v>
      </c>
      <c r="H107" s="42">
        <v>0</v>
      </c>
      <c r="I107" s="26">
        <v>0</v>
      </c>
      <c r="J107" s="42">
        <v>0.13408002757453805</v>
      </c>
      <c r="K107" s="58">
        <v>0.13408002757453805</v>
      </c>
      <c r="L107" s="66"/>
      <c r="M107" s="51"/>
      <c r="O107" s="40"/>
      <c r="P107" s="40"/>
      <c r="Q107" s="40"/>
    </row>
    <row r="108" spans="2:17" ht="15" customHeight="1" x14ac:dyDescent="0.35">
      <c r="B108" s="19">
        <v>8</v>
      </c>
      <c r="C108" s="20" t="s">
        <v>471</v>
      </c>
      <c r="D108" s="21" t="s">
        <v>472</v>
      </c>
      <c r="E108" s="22" t="s">
        <v>57</v>
      </c>
      <c r="F108" s="23" t="s">
        <v>473</v>
      </c>
      <c r="G108" s="41" t="s">
        <v>474</v>
      </c>
      <c r="H108" s="42">
        <v>1.3880003130744088E-2</v>
      </c>
      <c r="I108" s="26">
        <v>0</v>
      </c>
      <c r="J108" s="42">
        <v>0</v>
      </c>
      <c r="K108" s="43">
        <v>0</v>
      </c>
      <c r="L108" s="66"/>
      <c r="M108" s="51"/>
      <c r="O108" s="40"/>
      <c r="P108" s="40"/>
      <c r="Q108" s="40"/>
    </row>
    <row r="109" spans="2:17" ht="15" customHeight="1" x14ac:dyDescent="0.35">
      <c r="B109" s="19">
        <v>8</v>
      </c>
      <c r="C109" s="20" t="s">
        <v>475</v>
      </c>
      <c r="D109" s="21" t="s">
        <v>476</v>
      </c>
      <c r="E109" s="22" t="s">
        <v>57</v>
      </c>
      <c r="F109" s="23" t="s">
        <v>477</v>
      </c>
      <c r="G109" s="41" t="s">
        <v>478</v>
      </c>
      <c r="H109" s="42">
        <v>1.6720506713202229E-2</v>
      </c>
      <c r="I109" s="26">
        <v>1.536404335339272E-2</v>
      </c>
      <c r="J109" s="42">
        <v>0</v>
      </c>
      <c r="K109" s="43">
        <v>0</v>
      </c>
      <c r="L109" s="66"/>
      <c r="M109" s="51"/>
      <c r="O109" s="40"/>
      <c r="P109" s="40"/>
      <c r="Q109" s="40"/>
    </row>
    <row r="110" spans="2:17" ht="15" customHeight="1" x14ac:dyDescent="0.35">
      <c r="B110" s="19">
        <v>8</v>
      </c>
      <c r="C110" s="20" t="s">
        <v>479</v>
      </c>
      <c r="D110" s="52" t="s">
        <v>480</v>
      </c>
      <c r="E110" s="22" t="s">
        <v>57</v>
      </c>
      <c r="F110" s="23" t="s">
        <v>481</v>
      </c>
      <c r="G110" s="41" t="s">
        <v>478</v>
      </c>
      <c r="H110" s="42">
        <v>3.7464947242826903E-2</v>
      </c>
      <c r="I110" s="57">
        <v>3.1776740647231204E-2</v>
      </c>
      <c r="J110" s="42">
        <v>0</v>
      </c>
      <c r="K110" s="43">
        <v>0</v>
      </c>
      <c r="L110" s="66"/>
      <c r="M110" s="51"/>
      <c r="O110" s="40"/>
      <c r="P110" s="40"/>
      <c r="Q110" s="40"/>
    </row>
    <row r="111" spans="2:17" ht="15" customHeight="1" x14ac:dyDescent="0.35">
      <c r="B111" s="19">
        <v>8</v>
      </c>
      <c r="C111" s="20" t="s">
        <v>482</v>
      </c>
      <c r="D111" s="21" t="s">
        <v>483</v>
      </c>
      <c r="E111" s="22" t="s">
        <v>57</v>
      </c>
      <c r="F111" s="23" t="s">
        <v>484</v>
      </c>
      <c r="G111" s="41" t="s">
        <v>485</v>
      </c>
      <c r="H111" s="42">
        <v>1.4068526591736163E-2</v>
      </c>
      <c r="I111" s="26">
        <v>0</v>
      </c>
      <c r="J111" s="42">
        <v>0</v>
      </c>
      <c r="K111" s="43">
        <v>0</v>
      </c>
      <c r="L111" s="66"/>
      <c r="M111" s="51"/>
      <c r="O111" s="40"/>
      <c r="P111" s="40"/>
      <c r="Q111" s="40"/>
    </row>
    <row r="112" spans="2:17" ht="15" customHeight="1" x14ac:dyDescent="0.35">
      <c r="B112" s="19">
        <v>8</v>
      </c>
      <c r="C112" s="20" t="s">
        <v>486</v>
      </c>
      <c r="D112" s="21" t="s">
        <v>487</v>
      </c>
      <c r="E112" s="22" t="s">
        <v>57</v>
      </c>
      <c r="F112" s="23" t="s">
        <v>488</v>
      </c>
      <c r="G112" s="41" t="s">
        <v>489</v>
      </c>
      <c r="H112" s="42">
        <v>0</v>
      </c>
      <c r="I112" s="26">
        <v>1.377218524330286E-2</v>
      </c>
      <c r="J112" s="42">
        <v>0</v>
      </c>
      <c r="K112" s="43">
        <v>0</v>
      </c>
      <c r="L112" s="66"/>
      <c r="M112" s="51"/>
      <c r="O112" s="40"/>
      <c r="P112" s="40"/>
      <c r="Q112" s="40"/>
    </row>
    <row r="113" spans="2:17" ht="15" customHeight="1" x14ac:dyDescent="0.35">
      <c r="B113" s="19">
        <v>8</v>
      </c>
      <c r="C113" s="20" t="s">
        <v>490</v>
      </c>
      <c r="D113" s="21" t="s">
        <v>491</v>
      </c>
      <c r="E113" s="22" t="s">
        <v>57</v>
      </c>
      <c r="F113" s="23" t="s">
        <v>492</v>
      </c>
      <c r="G113" s="41" t="s">
        <v>489</v>
      </c>
      <c r="H113" s="42">
        <v>1.2613172048755145E-2</v>
      </c>
      <c r="I113" s="26">
        <v>1.7736139679231492E-2</v>
      </c>
      <c r="J113" s="42">
        <v>0</v>
      </c>
      <c r="K113" s="43">
        <v>0</v>
      </c>
      <c r="L113" s="66"/>
      <c r="M113" s="51"/>
      <c r="O113" s="40"/>
      <c r="P113" s="40"/>
      <c r="Q113" s="40"/>
    </row>
    <row r="114" spans="2:17" ht="15" customHeight="1" x14ac:dyDescent="0.35">
      <c r="B114" s="19">
        <v>8</v>
      </c>
      <c r="C114" s="20" t="s">
        <v>493</v>
      </c>
      <c r="D114" s="21" t="s">
        <v>494</v>
      </c>
      <c r="E114" s="22" t="s">
        <v>57</v>
      </c>
      <c r="F114" s="23" t="s">
        <v>495</v>
      </c>
      <c r="G114" s="41" t="s">
        <v>489</v>
      </c>
      <c r="H114" s="42">
        <v>2.316863688715327E-2</v>
      </c>
      <c r="I114" s="26">
        <v>2.9062589436065323E-2</v>
      </c>
      <c r="J114" s="42">
        <v>0</v>
      </c>
      <c r="K114" s="43">
        <v>0</v>
      </c>
      <c r="L114" s="66"/>
      <c r="M114" s="51"/>
      <c r="O114" s="40"/>
      <c r="P114" s="40"/>
      <c r="Q114" s="40"/>
    </row>
    <row r="115" spans="2:17" ht="15" customHeight="1" x14ac:dyDescent="0.35">
      <c r="B115" s="19">
        <v>8</v>
      </c>
      <c r="C115" s="20" t="s">
        <v>496</v>
      </c>
      <c r="D115" s="52" t="s">
        <v>497</v>
      </c>
      <c r="E115" s="22" t="s">
        <v>57</v>
      </c>
      <c r="F115" s="23" t="s">
        <v>498</v>
      </c>
      <c r="G115" s="41" t="s">
        <v>489</v>
      </c>
      <c r="H115" s="42">
        <v>7.2119908748490044E-2</v>
      </c>
      <c r="I115" s="57">
        <v>9.1382468018737006E-2</v>
      </c>
      <c r="J115" s="42">
        <v>0</v>
      </c>
      <c r="K115" s="43">
        <v>0</v>
      </c>
      <c r="L115" s="66"/>
      <c r="M115" s="51"/>
      <c r="O115" s="40"/>
      <c r="P115" s="40"/>
      <c r="Q115" s="40"/>
    </row>
    <row r="116" spans="2:17" ht="15" customHeight="1" x14ac:dyDescent="0.35">
      <c r="B116" s="19">
        <v>8</v>
      </c>
      <c r="C116" s="20" t="s">
        <v>499</v>
      </c>
      <c r="D116" s="52" t="s">
        <v>500</v>
      </c>
      <c r="E116" s="22" t="s">
        <v>57</v>
      </c>
      <c r="F116" s="23" t="s">
        <v>501</v>
      </c>
      <c r="G116" s="41" t="s">
        <v>489</v>
      </c>
      <c r="H116" s="42">
        <v>4.8896689222521821E-2</v>
      </c>
      <c r="I116" s="57">
        <v>5.0802145283336542E-2</v>
      </c>
      <c r="J116" s="42">
        <v>0</v>
      </c>
      <c r="K116" s="43">
        <v>0</v>
      </c>
      <c r="L116" s="66"/>
      <c r="M116" s="51"/>
      <c r="O116" s="40"/>
      <c r="P116" s="40"/>
      <c r="Q116" s="40"/>
    </row>
    <row r="117" spans="2:17" ht="15" customHeight="1" x14ac:dyDescent="0.35">
      <c r="B117" s="19">
        <v>8</v>
      </c>
      <c r="C117" s="20" t="s">
        <v>502</v>
      </c>
      <c r="D117" s="21" t="s">
        <v>503</v>
      </c>
      <c r="E117" s="22" t="s">
        <v>57</v>
      </c>
      <c r="F117" s="23" t="s">
        <v>504</v>
      </c>
      <c r="G117" s="41" t="s">
        <v>489</v>
      </c>
      <c r="H117" s="42">
        <v>1.2956573792514921E-2</v>
      </c>
      <c r="I117" s="26">
        <v>0</v>
      </c>
      <c r="J117" s="42">
        <v>0</v>
      </c>
      <c r="K117" s="43">
        <v>0</v>
      </c>
      <c r="L117" s="66"/>
      <c r="M117" s="51"/>
      <c r="O117" s="40"/>
      <c r="P117" s="40"/>
      <c r="Q117" s="40"/>
    </row>
    <row r="118" spans="2:17" ht="15" customHeight="1" x14ac:dyDescent="0.35">
      <c r="B118" s="19">
        <v>8</v>
      </c>
      <c r="C118" s="20" t="s">
        <v>505</v>
      </c>
      <c r="D118" s="52" t="s">
        <v>506</v>
      </c>
      <c r="E118" s="22" t="s">
        <v>57</v>
      </c>
      <c r="F118" s="23" t="s">
        <v>507</v>
      </c>
      <c r="G118" s="41" t="s">
        <v>489</v>
      </c>
      <c r="H118" s="42">
        <v>3.5073922790557419E-2</v>
      </c>
      <c r="I118" s="57">
        <v>3.1734195482252377E-2</v>
      </c>
      <c r="J118" s="42">
        <v>0</v>
      </c>
      <c r="K118" s="43">
        <v>0</v>
      </c>
      <c r="L118" s="66"/>
      <c r="M118" s="51"/>
      <c r="O118" s="40"/>
      <c r="P118" s="40"/>
      <c r="Q118" s="40"/>
    </row>
    <row r="119" spans="2:17" ht="15" customHeight="1" x14ac:dyDescent="0.35">
      <c r="B119" s="19">
        <v>8</v>
      </c>
      <c r="C119" s="20" t="s">
        <v>508</v>
      </c>
      <c r="D119" s="21" t="s">
        <v>509</v>
      </c>
      <c r="E119" s="22" t="s">
        <v>57</v>
      </c>
      <c r="F119" s="23" t="s">
        <v>510</v>
      </c>
      <c r="G119" s="41" t="s">
        <v>489</v>
      </c>
      <c r="H119" s="42">
        <v>1.826337941543426E-2</v>
      </c>
      <c r="I119" s="26">
        <v>2.1580360049261726E-2</v>
      </c>
      <c r="J119" s="42">
        <v>0</v>
      </c>
      <c r="K119" s="43">
        <v>0</v>
      </c>
      <c r="L119" s="66"/>
      <c r="M119" s="51"/>
      <c r="O119" s="40"/>
      <c r="P119" s="40"/>
      <c r="Q119" s="40"/>
    </row>
    <row r="120" spans="2:17" ht="15" customHeight="1" x14ac:dyDescent="0.35">
      <c r="B120" s="19">
        <v>8</v>
      </c>
      <c r="C120" s="20" t="s">
        <v>511</v>
      </c>
      <c r="D120" s="21" t="s">
        <v>512</v>
      </c>
      <c r="E120" s="22" t="s">
        <v>57</v>
      </c>
      <c r="F120" s="23" t="s">
        <v>513</v>
      </c>
      <c r="G120" s="41" t="s">
        <v>489</v>
      </c>
      <c r="H120" s="42">
        <v>3.0039336209458724E-2</v>
      </c>
      <c r="I120" s="26">
        <v>2.7530471707620935E-2</v>
      </c>
      <c r="J120" s="42">
        <v>0</v>
      </c>
      <c r="K120" s="43">
        <v>0</v>
      </c>
      <c r="L120" s="66"/>
      <c r="M120" s="51"/>
      <c r="O120" s="40"/>
      <c r="P120" s="40"/>
      <c r="Q120" s="40"/>
    </row>
    <row r="121" spans="2:17" ht="15" customHeight="1" x14ac:dyDescent="0.35">
      <c r="B121" s="19">
        <v>8</v>
      </c>
      <c r="C121" s="20" t="s">
        <v>514</v>
      </c>
      <c r="D121" s="21" t="s">
        <v>515</v>
      </c>
      <c r="E121" s="22" t="s">
        <v>57</v>
      </c>
      <c r="F121" s="23" t="s">
        <v>516</v>
      </c>
      <c r="G121" s="41" t="s">
        <v>517</v>
      </c>
      <c r="H121" s="42">
        <v>1.5701766185359959E-2</v>
      </c>
      <c r="I121" s="26">
        <v>1.9570099048522565E-2</v>
      </c>
      <c r="J121" s="42">
        <v>0</v>
      </c>
      <c r="K121" s="43">
        <v>0</v>
      </c>
      <c r="L121" s="66"/>
      <c r="M121" s="51"/>
      <c r="O121" s="40"/>
      <c r="P121" s="40"/>
      <c r="Q121" s="40"/>
    </row>
    <row r="122" spans="2:17" ht="15" customHeight="1" x14ac:dyDescent="0.35">
      <c r="B122" s="19">
        <v>8</v>
      </c>
      <c r="C122" s="20" t="s">
        <v>518</v>
      </c>
      <c r="D122" s="52" t="s">
        <v>519</v>
      </c>
      <c r="E122" s="22" t="s">
        <v>57</v>
      </c>
      <c r="F122" s="23" t="s">
        <v>520</v>
      </c>
      <c r="G122" s="41" t="s">
        <v>517</v>
      </c>
      <c r="H122" s="42">
        <v>4.3882919239702091E-2</v>
      </c>
      <c r="I122" s="57">
        <v>4.4562603980047716E-2</v>
      </c>
      <c r="J122" s="42">
        <v>0</v>
      </c>
      <c r="K122" s="43">
        <v>0</v>
      </c>
      <c r="L122" s="66"/>
      <c r="M122" s="51"/>
      <c r="O122" s="40"/>
      <c r="P122" s="40"/>
      <c r="Q122" s="40"/>
    </row>
    <row r="123" spans="2:17" ht="15" customHeight="1" x14ac:dyDescent="0.35">
      <c r="B123" s="19">
        <v>8</v>
      </c>
      <c r="C123" s="20" t="s">
        <v>521</v>
      </c>
      <c r="D123" s="52" t="s">
        <v>522</v>
      </c>
      <c r="E123" s="22" t="s">
        <v>57</v>
      </c>
      <c r="F123" s="23" t="s">
        <v>523</v>
      </c>
      <c r="G123" s="41" t="s">
        <v>517</v>
      </c>
      <c r="H123" s="42">
        <v>1.5672755007579444E-2</v>
      </c>
      <c r="I123" s="57">
        <v>2.3501180652491082E-2</v>
      </c>
      <c r="J123" s="56">
        <v>0.21670126326417502</v>
      </c>
      <c r="K123" s="58">
        <v>0.21670126326417502</v>
      </c>
      <c r="L123" s="66"/>
      <c r="M123" s="51"/>
      <c r="O123" s="40"/>
      <c r="P123" s="40"/>
      <c r="Q123" s="40"/>
    </row>
    <row r="124" spans="2:17" ht="15" customHeight="1" x14ac:dyDescent="0.35">
      <c r="B124" s="19">
        <v>8</v>
      </c>
      <c r="C124" s="20" t="s">
        <v>524</v>
      </c>
      <c r="D124" s="52" t="s">
        <v>525</v>
      </c>
      <c r="E124" s="22" t="s">
        <v>57</v>
      </c>
      <c r="F124" s="23" t="s">
        <v>526</v>
      </c>
      <c r="G124" s="41" t="s">
        <v>527</v>
      </c>
      <c r="H124" s="42">
        <v>4.9723428597119479E-2</v>
      </c>
      <c r="I124" s="57">
        <v>3.1287610765137704E-2</v>
      </c>
      <c r="J124" s="42">
        <v>0.38682479437630474</v>
      </c>
      <c r="K124" s="58">
        <v>0.38682479437630474</v>
      </c>
      <c r="L124" s="66"/>
      <c r="M124" s="51"/>
      <c r="O124" s="40"/>
      <c r="P124" s="40"/>
      <c r="Q124" s="40"/>
    </row>
    <row r="125" spans="2:17" ht="15" customHeight="1" x14ac:dyDescent="0.35">
      <c r="B125" s="19">
        <v>8</v>
      </c>
      <c r="C125" s="20" t="s">
        <v>528</v>
      </c>
      <c r="D125" s="21" t="s">
        <v>529</v>
      </c>
      <c r="E125" s="22" t="s">
        <v>57</v>
      </c>
      <c r="F125" s="23" t="s">
        <v>530</v>
      </c>
      <c r="G125" s="41" t="s">
        <v>527</v>
      </c>
      <c r="H125" s="42">
        <v>1.2002455713763762E-2</v>
      </c>
      <c r="I125" s="26">
        <v>0</v>
      </c>
      <c r="J125" s="42">
        <v>0</v>
      </c>
      <c r="K125" s="43">
        <v>0</v>
      </c>
      <c r="L125" s="66"/>
      <c r="M125" s="51"/>
      <c r="O125" s="40"/>
      <c r="P125" s="40"/>
      <c r="Q125" s="40"/>
    </row>
    <row r="126" spans="2:17" ht="15" customHeight="1" x14ac:dyDescent="0.35">
      <c r="B126" s="19">
        <v>8</v>
      </c>
      <c r="C126" s="20" t="s">
        <v>531</v>
      </c>
      <c r="D126" s="21" t="s">
        <v>532</v>
      </c>
      <c r="E126" s="22" t="s">
        <v>57</v>
      </c>
      <c r="F126" s="23" t="s">
        <v>533</v>
      </c>
      <c r="G126" s="41" t="s">
        <v>527</v>
      </c>
      <c r="H126" s="42">
        <v>1.5460774293855986E-2</v>
      </c>
      <c r="I126" s="26">
        <v>0</v>
      </c>
      <c r="J126" s="42">
        <v>0</v>
      </c>
      <c r="K126" s="43">
        <v>0</v>
      </c>
      <c r="L126" s="66"/>
      <c r="M126" s="51"/>
      <c r="O126" s="40"/>
      <c r="P126" s="40"/>
      <c r="Q126" s="40"/>
    </row>
    <row r="127" spans="2:17" ht="15" customHeight="1" x14ac:dyDescent="0.35">
      <c r="B127" s="19">
        <v>8</v>
      </c>
      <c r="C127" s="20" t="s">
        <v>534</v>
      </c>
      <c r="D127" s="52" t="s">
        <v>535</v>
      </c>
      <c r="E127" s="22" t="s">
        <v>57</v>
      </c>
      <c r="F127" s="23" t="s">
        <v>536</v>
      </c>
      <c r="G127" s="41" t="s">
        <v>527</v>
      </c>
      <c r="H127" s="42">
        <v>8.5360148307272635E-2</v>
      </c>
      <c r="I127" s="57">
        <v>9.5093476163931573E-2</v>
      </c>
      <c r="J127" s="42">
        <v>0</v>
      </c>
      <c r="K127" s="43">
        <v>0</v>
      </c>
      <c r="L127" s="66"/>
      <c r="M127" s="51"/>
      <c r="O127" s="40"/>
      <c r="P127" s="40"/>
      <c r="Q127" s="40"/>
    </row>
    <row r="128" spans="2:17" ht="15" customHeight="1" x14ac:dyDescent="0.35">
      <c r="B128" s="19">
        <v>8</v>
      </c>
      <c r="C128" s="20" t="s">
        <v>537</v>
      </c>
      <c r="D128" s="21" t="s">
        <v>538</v>
      </c>
      <c r="E128" s="22" t="s">
        <v>57</v>
      </c>
      <c r="F128" s="23" t="s">
        <v>539</v>
      </c>
      <c r="G128" s="41" t="s">
        <v>527</v>
      </c>
      <c r="H128" s="42">
        <v>0</v>
      </c>
      <c r="I128" s="26">
        <v>1.981296108558268E-2</v>
      </c>
      <c r="J128" s="42">
        <v>0</v>
      </c>
      <c r="K128" s="43">
        <v>0</v>
      </c>
      <c r="L128" s="66"/>
      <c r="M128" s="51"/>
      <c r="O128" s="40"/>
      <c r="P128" s="40"/>
      <c r="Q128" s="40"/>
    </row>
    <row r="129" spans="2:17" ht="15" customHeight="1" x14ac:dyDescent="0.35">
      <c r="B129" s="19">
        <v>8</v>
      </c>
      <c r="C129" s="20" t="s">
        <v>540</v>
      </c>
      <c r="D129" s="21" t="s">
        <v>541</v>
      </c>
      <c r="E129" s="22" t="s">
        <v>57</v>
      </c>
      <c r="F129" s="23" t="s">
        <v>542</v>
      </c>
      <c r="G129" s="41" t="s">
        <v>527</v>
      </c>
      <c r="H129" s="42">
        <v>3.7494139431511683E-2</v>
      </c>
      <c r="I129" s="26">
        <v>3.0782739169225977E-2</v>
      </c>
      <c r="J129" s="42">
        <v>0</v>
      </c>
      <c r="K129" s="43">
        <v>0</v>
      </c>
      <c r="L129" s="66"/>
      <c r="M129" s="51"/>
      <c r="O129" s="40"/>
      <c r="P129" s="40"/>
      <c r="Q129" s="40"/>
    </row>
    <row r="130" spans="2:17" ht="15" customHeight="1" x14ac:dyDescent="0.35">
      <c r="B130" s="19">
        <v>8</v>
      </c>
      <c r="C130" s="20" t="s">
        <v>543</v>
      </c>
      <c r="D130" s="21" t="s">
        <v>544</v>
      </c>
      <c r="E130" s="22" t="s">
        <v>545</v>
      </c>
      <c r="F130" s="23" t="s">
        <v>546</v>
      </c>
      <c r="G130" s="41" t="s">
        <v>547</v>
      </c>
      <c r="H130" s="42">
        <v>2.6252464948643781E-2</v>
      </c>
      <c r="I130" s="26">
        <v>3.6074134832919894E-2</v>
      </c>
      <c r="J130" s="42">
        <v>0</v>
      </c>
      <c r="K130" s="43">
        <v>0</v>
      </c>
      <c r="L130" s="66"/>
      <c r="M130" s="51"/>
      <c r="O130" s="40"/>
      <c r="P130" s="40"/>
      <c r="Q130" s="40"/>
    </row>
    <row r="131" spans="2:17" ht="15" customHeight="1" x14ac:dyDescent="0.35">
      <c r="B131" s="19">
        <v>8</v>
      </c>
      <c r="C131" s="20" t="s">
        <v>548</v>
      </c>
      <c r="D131" s="21" t="s">
        <v>549</v>
      </c>
      <c r="E131" s="22" t="s">
        <v>545</v>
      </c>
      <c r="F131" s="23" t="s">
        <v>550</v>
      </c>
      <c r="G131" s="41" t="s">
        <v>547</v>
      </c>
      <c r="H131" s="42">
        <v>1.1861507273966588E-2</v>
      </c>
      <c r="I131" s="26">
        <v>0</v>
      </c>
      <c r="J131" s="42">
        <v>0</v>
      </c>
      <c r="K131" s="43">
        <v>0</v>
      </c>
      <c r="L131" s="66"/>
      <c r="M131" s="51"/>
      <c r="O131" s="40"/>
      <c r="P131" s="40"/>
      <c r="Q131" s="40"/>
    </row>
    <row r="132" spans="2:17" ht="15" customHeight="1" x14ac:dyDescent="0.35">
      <c r="B132" s="19">
        <v>8</v>
      </c>
      <c r="C132" s="20" t="s">
        <v>551</v>
      </c>
      <c r="D132" s="21" t="s">
        <v>552</v>
      </c>
      <c r="E132" s="22" t="s">
        <v>57</v>
      </c>
      <c r="F132" s="23" t="s">
        <v>553</v>
      </c>
      <c r="G132" s="41" t="s">
        <v>554</v>
      </c>
      <c r="H132" s="42">
        <v>3.9409871462620746E-2</v>
      </c>
      <c r="I132" s="26">
        <v>2.7762647950578118E-2</v>
      </c>
      <c r="J132" s="42">
        <v>0</v>
      </c>
      <c r="K132" s="43">
        <v>0</v>
      </c>
      <c r="L132" s="66"/>
      <c r="M132" s="51"/>
      <c r="O132" s="40"/>
      <c r="P132" s="40"/>
      <c r="Q132" s="40"/>
    </row>
    <row r="133" spans="2:17" ht="15" customHeight="1" x14ac:dyDescent="0.35">
      <c r="B133" s="19">
        <v>8</v>
      </c>
      <c r="C133" s="20" t="s">
        <v>555</v>
      </c>
      <c r="D133" s="21" t="s">
        <v>556</v>
      </c>
      <c r="E133" s="22" t="s">
        <v>57</v>
      </c>
      <c r="F133" s="23" t="s">
        <v>557</v>
      </c>
      <c r="G133" s="41" t="s">
        <v>554</v>
      </c>
      <c r="H133" s="42">
        <v>2.9293092005712836E-2</v>
      </c>
      <c r="I133" s="26">
        <v>2.5522592916117904E-2</v>
      </c>
      <c r="J133" s="42">
        <v>0</v>
      </c>
      <c r="K133" s="43">
        <v>0</v>
      </c>
      <c r="L133" s="66"/>
      <c r="M133" s="51"/>
      <c r="O133" s="40"/>
      <c r="P133" s="40"/>
      <c r="Q133" s="40"/>
    </row>
    <row r="134" spans="2:17" ht="15" customHeight="1" x14ac:dyDescent="0.35">
      <c r="B134" s="19">
        <v>8</v>
      </c>
      <c r="C134" s="20" t="s">
        <v>558</v>
      </c>
      <c r="D134" s="52" t="s">
        <v>559</v>
      </c>
      <c r="E134" s="22" t="s">
        <v>57</v>
      </c>
      <c r="F134" s="23" t="s">
        <v>560</v>
      </c>
      <c r="G134" s="41" t="s">
        <v>554</v>
      </c>
      <c r="H134" s="42">
        <v>4.5155248345430964E-2</v>
      </c>
      <c r="I134" s="57">
        <v>5.1931418237781815E-2</v>
      </c>
      <c r="J134" s="42">
        <v>0</v>
      </c>
      <c r="K134" s="43">
        <v>0</v>
      </c>
      <c r="L134" s="66"/>
      <c r="M134" s="51"/>
      <c r="O134" s="40"/>
      <c r="P134" s="40"/>
      <c r="Q134" s="40"/>
    </row>
    <row r="135" spans="2:17" ht="15" customHeight="1" x14ac:dyDescent="0.35">
      <c r="B135" s="19">
        <v>8</v>
      </c>
      <c r="C135" s="20" t="s">
        <v>561</v>
      </c>
      <c r="D135" s="52" t="s">
        <v>562</v>
      </c>
      <c r="E135" s="22" t="s">
        <v>545</v>
      </c>
      <c r="F135" s="23" t="s">
        <v>563</v>
      </c>
      <c r="G135" s="41" t="s">
        <v>564</v>
      </c>
      <c r="H135" s="42">
        <v>2.1117433092108159E-2</v>
      </c>
      <c r="I135" s="57">
        <v>2.0502650957940564E-2</v>
      </c>
      <c r="J135" s="42">
        <v>8.269343114025611E-2</v>
      </c>
      <c r="K135" s="43">
        <v>8.269343114025611E-2</v>
      </c>
      <c r="L135" s="66"/>
      <c r="M135" s="51"/>
      <c r="O135" s="40"/>
      <c r="P135" s="40"/>
      <c r="Q135" s="40"/>
    </row>
    <row r="136" spans="2:17" ht="15" customHeight="1" x14ac:dyDescent="0.35">
      <c r="B136" s="19">
        <v>8</v>
      </c>
      <c r="C136" s="20" t="s">
        <v>565</v>
      </c>
      <c r="D136" s="21" t="s">
        <v>566</v>
      </c>
      <c r="E136" s="22" t="s">
        <v>57</v>
      </c>
      <c r="F136" s="23" t="s">
        <v>567</v>
      </c>
      <c r="G136" s="41" t="s">
        <v>83</v>
      </c>
      <c r="H136" s="42">
        <v>2.2990484303646291E-2</v>
      </c>
      <c r="I136" s="26">
        <v>2.6613633652867518E-2</v>
      </c>
      <c r="J136" s="42">
        <v>0</v>
      </c>
      <c r="K136" s="43">
        <v>0</v>
      </c>
      <c r="L136" s="66"/>
      <c r="M136" s="51"/>
      <c r="O136" s="40"/>
      <c r="P136" s="40"/>
      <c r="Q136" s="40"/>
    </row>
    <row r="137" spans="2:17" ht="15" customHeight="1" x14ac:dyDescent="0.35">
      <c r="B137" s="19">
        <v>8</v>
      </c>
      <c r="C137" s="20" t="s">
        <v>568</v>
      </c>
      <c r="D137" s="21" t="s">
        <v>569</v>
      </c>
      <c r="E137" s="22" t="s">
        <v>57</v>
      </c>
      <c r="F137" s="23" t="s">
        <v>570</v>
      </c>
      <c r="G137" s="41" t="s">
        <v>554</v>
      </c>
      <c r="H137" s="42">
        <v>3.6013730915310259E-2</v>
      </c>
      <c r="I137" s="26">
        <v>4.9699800710419288E-2</v>
      </c>
      <c r="J137" s="42">
        <v>0</v>
      </c>
      <c r="K137" s="43">
        <v>0</v>
      </c>
      <c r="L137" s="66"/>
      <c r="M137" s="51"/>
      <c r="O137" s="40"/>
      <c r="P137" s="40"/>
      <c r="Q137" s="40"/>
    </row>
    <row r="138" spans="2:17" ht="15" customHeight="1" x14ac:dyDescent="0.35">
      <c r="B138" s="19">
        <v>8</v>
      </c>
      <c r="C138" s="20" t="s">
        <v>571</v>
      </c>
      <c r="D138" s="21" t="s">
        <v>572</v>
      </c>
      <c r="E138" s="22" t="s">
        <v>57</v>
      </c>
      <c r="F138" s="23" t="s">
        <v>573</v>
      </c>
      <c r="G138" s="41" t="s">
        <v>574</v>
      </c>
      <c r="H138" s="42">
        <v>4.0407894525704695E-2</v>
      </c>
      <c r="I138" s="26">
        <v>4.5347453044766818E-2</v>
      </c>
      <c r="J138" s="42">
        <v>0</v>
      </c>
      <c r="K138" s="43">
        <v>0</v>
      </c>
      <c r="L138" s="66"/>
      <c r="M138" s="51"/>
      <c r="O138" s="40"/>
      <c r="P138" s="40"/>
      <c r="Q138" s="40"/>
    </row>
    <row r="139" spans="2:17" ht="15" customHeight="1" x14ac:dyDescent="0.35">
      <c r="B139" s="19">
        <v>8</v>
      </c>
      <c r="C139" s="20" t="s">
        <v>575</v>
      </c>
      <c r="D139" s="21" t="s">
        <v>576</v>
      </c>
      <c r="E139" s="22" t="s">
        <v>57</v>
      </c>
      <c r="F139" s="23" t="s">
        <v>577</v>
      </c>
      <c r="G139" s="41" t="s">
        <v>554</v>
      </c>
      <c r="H139" s="42">
        <v>4.9060383809597478E-2</v>
      </c>
      <c r="I139" s="26">
        <v>4.8694840563829882E-2</v>
      </c>
      <c r="J139" s="42">
        <v>0</v>
      </c>
      <c r="K139" s="43">
        <v>0</v>
      </c>
      <c r="L139" s="66"/>
      <c r="M139" s="51"/>
      <c r="O139" s="40"/>
      <c r="P139" s="40"/>
      <c r="Q139" s="40"/>
    </row>
    <row r="140" spans="2:17" ht="15" customHeight="1" x14ac:dyDescent="0.35">
      <c r="B140" s="12">
        <v>5</v>
      </c>
      <c r="C140" s="13" t="s">
        <v>578</v>
      </c>
      <c r="D140" s="13" t="s">
        <v>579</v>
      </c>
      <c r="E140" s="50" t="s">
        <v>580</v>
      </c>
      <c r="F140" s="15"/>
      <c r="G140" s="37"/>
      <c r="H140" s="38">
        <f t="shared" ref="H140:I140" si="15">SUM(H141:H161)</f>
        <v>0.99999999999999978</v>
      </c>
      <c r="I140" s="18">
        <f t="shared" si="15"/>
        <v>1</v>
      </c>
      <c r="J140" s="38">
        <f t="shared" ref="J140:K140" si="16">SUM(J141:J161)</f>
        <v>1</v>
      </c>
      <c r="K140" s="39">
        <f t="shared" si="16"/>
        <v>1</v>
      </c>
      <c r="L140" s="66"/>
      <c r="M140" s="51"/>
      <c r="O140" s="40"/>
      <c r="P140" s="40"/>
      <c r="Q140" s="40"/>
    </row>
    <row r="141" spans="2:17" ht="15" customHeight="1" x14ac:dyDescent="0.35">
      <c r="B141" s="19">
        <v>8</v>
      </c>
      <c r="C141" s="20" t="s">
        <v>581</v>
      </c>
      <c r="D141" s="21" t="s">
        <v>582</v>
      </c>
      <c r="E141" s="22" t="s">
        <v>57</v>
      </c>
      <c r="F141" s="23" t="s">
        <v>583</v>
      </c>
      <c r="G141" s="41" t="s">
        <v>584</v>
      </c>
      <c r="H141" s="42">
        <v>1.4794511502189E-2</v>
      </c>
      <c r="I141" s="26">
        <v>3.1113038621630795E-2</v>
      </c>
      <c r="J141" s="42">
        <v>0</v>
      </c>
      <c r="K141" s="43">
        <v>0</v>
      </c>
      <c r="L141" s="66"/>
      <c r="M141" s="51"/>
      <c r="O141" s="40"/>
      <c r="P141" s="40"/>
      <c r="Q141" s="40"/>
    </row>
    <row r="142" spans="2:17" ht="15" customHeight="1" x14ac:dyDescent="0.35">
      <c r="B142" s="19">
        <v>8</v>
      </c>
      <c r="C142" s="20" t="s">
        <v>585</v>
      </c>
      <c r="D142" s="21" t="s">
        <v>586</v>
      </c>
      <c r="E142" s="22" t="s">
        <v>57</v>
      </c>
      <c r="F142" s="23" t="s">
        <v>587</v>
      </c>
      <c r="G142" s="41" t="s">
        <v>584</v>
      </c>
      <c r="H142" s="42">
        <v>3.8016878124480097E-2</v>
      </c>
      <c r="I142" s="26">
        <v>4.2489133913857564E-2</v>
      </c>
      <c r="J142" s="42">
        <v>0.30236253169577876</v>
      </c>
      <c r="K142" s="58">
        <v>0.29550211882654182</v>
      </c>
      <c r="L142" s="66"/>
      <c r="M142" s="51"/>
      <c r="O142" s="40"/>
      <c r="P142" s="40"/>
      <c r="Q142" s="40"/>
    </row>
    <row r="143" spans="2:17" ht="15" customHeight="1" x14ac:dyDescent="0.35">
      <c r="B143" s="19">
        <v>8</v>
      </c>
      <c r="C143" s="20" t="s">
        <v>588</v>
      </c>
      <c r="D143" s="21" t="s">
        <v>589</v>
      </c>
      <c r="E143" s="22" t="s">
        <v>57</v>
      </c>
      <c r="F143" s="23" t="s">
        <v>590</v>
      </c>
      <c r="G143" s="41" t="s">
        <v>584</v>
      </c>
      <c r="H143" s="42">
        <v>3.224148617983108E-2</v>
      </c>
      <c r="I143" s="26">
        <v>3.8569536110872285E-2</v>
      </c>
      <c r="J143" s="42">
        <v>0</v>
      </c>
      <c r="K143" s="43">
        <v>0</v>
      </c>
      <c r="L143" s="66"/>
      <c r="M143" s="51"/>
      <c r="O143" s="40"/>
      <c r="P143" s="40"/>
      <c r="Q143" s="40"/>
    </row>
    <row r="144" spans="2:17" ht="15" customHeight="1" x14ac:dyDescent="0.35">
      <c r="B144" s="19">
        <v>8</v>
      </c>
      <c r="C144" s="20" t="s">
        <v>591</v>
      </c>
      <c r="D144" s="52" t="s">
        <v>592</v>
      </c>
      <c r="E144" s="22" t="s">
        <v>57</v>
      </c>
      <c r="F144" s="23" t="s">
        <v>593</v>
      </c>
      <c r="G144" s="41" t="s">
        <v>584</v>
      </c>
      <c r="H144" s="42">
        <v>7.1331566442886865E-2</v>
      </c>
      <c r="I144" s="57">
        <v>6.2380481930948591E-2</v>
      </c>
      <c r="J144" s="42">
        <v>0.18751434970454534</v>
      </c>
      <c r="K144" s="58">
        <v>0.18133916091614599</v>
      </c>
      <c r="L144" s="66"/>
      <c r="M144" s="51"/>
      <c r="O144" s="40"/>
      <c r="P144" s="40"/>
      <c r="Q144" s="40"/>
    </row>
    <row r="145" spans="2:17" ht="15" customHeight="1" x14ac:dyDescent="0.35">
      <c r="B145" s="19">
        <v>8</v>
      </c>
      <c r="C145" s="20" t="s">
        <v>594</v>
      </c>
      <c r="D145" s="52" t="s">
        <v>595</v>
      </c>
      <c r="E145" s="22" t="s">
        <v>57</v>
      </c>
      <c r="F145" s="23" t="s">
        <v>596</v>
      </c>
      <c r="G145" s="41" t="s">
        <v>597</v>
      </c>
      <c r="H145" s="42">
        <v>5.1704973751545993E-2</v>
      </c>
      <c r="I145" s="57">
        <v>5.7348287386413288E-2</v>
      </c>
      <c r="J145" s="42">
        <v>0.4592692626009855</v>
      </c>
      <c r="K145" s="58">
        <v>0.44961716183129841</v>
      </c>
      <c r="L145" s="66"/>
      <c r="M145" s="51"/>
      <c r="O145" s="40"/>
      <c r="P145" s="40"/>
      <c r="Q145" s="40"/>
    </row>
    <row r="146" spans="2:17" ht="15" customHeight="1" x14ac:dyDescent="0.35">
      <c r="B146" s="19">
        <v>8</v>
      </c>
      <c r="C146" s="20" t="s">
        <v>598</v>
      </c>
      <c r="D146" s="21" t="s">
        <v>599</v>
      </c>
      <c r="E146" s="22" t="s">
        <v>57</v>
      </c>
      <c r="F146" s="23" t="s">
        <v>600</v>
      </c>
      <c r="G146" s="41" t="s">
        <v>584</v>
      </c>
      <c r="H146" s="42">
        <v>1.9911114714666219E-2</v>
      </c>
      <c r="I146" s="26">
        <v>1.2301442856929527E-2</v>
      </c>
      <c r="J146" s="42">
        <v>0</v>
      </c>
      <c r="K146" s="43">
        <v>0</v>
      </c>
      <c r="L146" s="66"/>
      <c r="M146" s="51"/>
      <c r="O146" s="40"/>
      <c r="P146" s="40"/>
      <c r="Q146" s="40"/>
    </row>
    <row r="147" spans="2:17" ht="15" customHeight="1" x14ac:dyDescent="0.35">
      <c r="B147" s="19">
        <v>8</v>
      </c>
      <c r="C147" s="20" t="s">
        <v>601</v>
      </c>
      <c r="D147" s="52" t="s">
        <v>602</v>
      </c>
      <c r="E147" s="22" t="s">
        <v>57</v>
      </c>
      <c r="F147" s="23" t="s">
        <v>603</v>
      </c>
      <c r="G147" s="41" t="s">
        <v>584</v>
      </c>
      <c r="H147" s="42">
        <v>0.10986780846555905</v>
      </c>
      <c r="I147" s="57">
        <v>9.4236056927420028E-2</v>
      </c>
      <c r="J147" s="42">
        <v>0</v>
      </c>
      <c r="K147" s="43">
        <v>0</v>
      </c>
      <c r="L147" s="66"/>
      <c r="M147" s="51"/>
      <c r="O147" s="40"/>
      <c r="P147" s="40"/>
      <c r="Q147" s="40"/>
    </row>
    <row r="148" spans="2:17" ht="15" customHeight="1" x14ac:dyDescent="0.35">
      <c r="B148" s="19">
        <v>8</v>
      </c>
      <c r="C148" s="20" t="s">
        <v>604</v>
      </c>
      <c r="D148" s="52" t="s">
        <v>605</v>
      </c>
      <c r="E148" s="22" t="s">
        <v>57</v>
      </c>
      <c r="F148" s="23" t="s">
        <v>606</v>
      </c>
      <c r="G148" s="41" t="s">
        <v>584</v>
      </c>
      <c r="H148" s="42">
        <v>4.2789507742106318E-2</v>
      </c>
      <c r="I148" s="57">
        <v>5.2854605008188622E-2</v>
      </c>
      <c r="J148" s="42">
        <v>0</v>
      </c>
      <c r="K148" s="43">
        <v>0</v>
      </c>
      <c r="L148" s="66"/>
      <c r="M148" s="51"/>
      <c r="O148" s="40"/>
      <c r="P148" s="40"/>
      <c r="Q148" s="40"/>
    </row>
    <row r="149" spans="2:17" ht="15" customHeight="1" x14ac:dyDescent="0.35">
      <c r="B149" s="19">
        <v>8</v>
      </c>
      <c r="C149" s="20" t="s">
        <v>607</v>
      </c>
      <c r="D149" s="21" t="s">
        <v>608</v>
      </c>
      <c r="E149" s="22" t="s">
        <v>57</v>
      </c>
      <c r="F149" s="23" t="s">
        <v>609</v>
      </c>
      <c r="G149" s="41" t="s">
        <v>584</v>
      </c>
      <c r="H149" s="42">
        <v>2.1418448573739049E-2</v>
      </c>
      <c r="I149" s="26">
        <v>2.1166312550048593E-2</v>
      </c>
      <c r="J149" s="42">
        <v>0</v>
      </c>
      <c r="K149" s="43">
        <v>0</v>
      </c>
      <c r="L149" s="66"/>
      <c r="M149" s="51"/>
      <c r="O149" s="40"/>
      <c r="P149" s="40"/>
      <c r="Q149" s="40"/>
    </row>
    <row r="150" spans="2:17" ht="15" customHeight="1" x14ac:dyDescent="0.35">
      <c r="B150" s="19">
        <v>8</v>
      </c>
      <c r="C150" s="20" t="s">
        <v>610</v>
      </c>
      <c r="D150" s="21" t="s">
        <v>611</v>
      </c>
      <c r="E150" s="22" t="s">
        <v>57</v>
      </c>
      <c r="F150" s="23" t="s">
        <v>612</v>
      </c>
      <c r="G150" s="41" t="s">
        <v>613</v>
      </c>
      <c r="H150" s="42">
        <v>1.1098358181905734E-2</v>
      </c>
      <c r="I150" s="26">
        <v>0</v>
      </c>
      <c r="J150" s="42">
        <v>0</v>
      </c>
      <c r="K150" s="43">
        <v>0</v>
      </c>
      <c r="L150" s="66"/>
      <c r="M150" s="51"/>
      <c r="O150" s="40"/>
      <c r="P150" s="40"/>
      <c r="Q150" s="40"/>
    </row>
    <row r="151" spans="2:17" ht="15" customHeight="1" x14ac:dyDescent="0.35">
      <c r="B151" s="19">
        <v>8</v>
      </c>
      <c r="C151" s="20" t="s">
        <v>614</v>
      </c>
      <c r="D151" s="21" t="s">
        <v>615</v>
      </c>
      <c r="E151" s="22" t="s">
        <v>57</v>
      </c>
      <c r="F151" s="23" t="s">
        <v>616</v>
      </c>
      <c r="G151" s="41" t="s">
        <v>617</v>
      </c>
      <c r="H151" s="42">
        <v>0</v>
      </c>
      <c r="I151" s="26">
        <v>0</v>
      </c>
      <c r="J151" s="42">
        <v>0</v>
      </c>
      <c r="K151" s="43">
        <v>3.0813538112718909E-2</v>
      </c>
      <c r="L151" s="66"/>
      <c r="M151" s="51"/>
      <c r="O151" s="40"/>
      <c r="P151" s="40"/>
      <c r="Q151" s="40"/>
    </row>
    <row r="152" spans="2:17" ht="15" customHeight="1" x14ac:dyDescent="0.35">
      <c r="B152" s="19">
        <v>8</v>
      </c>
      <c r="C152" s="20" t="s">
        <v>618</v>
      </c>
      <c r="D152" s="52" t="s">
        <v>619</v>
      </c>
      <c r="E152" s="22" t="s">
        <v>57</v>
      </c>
      <c r="F152" s="23" t="s">
        <v>620</v>
      </c>
      <c r="G152" s="41" t="s">
        <v>613</v>
      </c>
      <c r="H152" s="42">
        <v>0.19969541055540979</v>
      </c>
      <c r="I152" s="57">
        <v>0.21332394203929492</v>
      </c>
      <c r="J152" s="42">
        <v>0</v>
      </c>
      <c r="K152" s="43">
        <v>0</v>
      </c>
      <c r="L152" s="66"/>
      <c r="M152" s="51"/>
      <c r="O152" s="40"/>
      <c r="P152" s="40"/>
      <c r="Q152" s="40"/>
    </row>
    <row r="153" spans="2:17" ht="15" customHeight="1" x14ac:dyDescent="0.35">
      <c r="B153" s="19">
        <v>8</v>
      </c>
      <c r="C153" s="20" t="s">
        <v>621</v>
      </c>
      <c r="D153" s="21" t="s">
        <v>622</v>
      </c>
      <c r="E153" s="22" t="s">
        <v>57</v>
      </c>
      <c r="F153" s="23" t="s">
        <v>623</v>
      </c>
      <c r="G153" s="41" t="s">
        <v>624</v>
      </c>
      <c r="H153" s="42">
        <v>2.7366119291620087E-2</v>
      </c>
      <c r="I153" s="26">
        <v>2.785047375101217E-2</v>
      </c>
      <c r="J153" s="42">
        <v>0</v>
      </c>
      <c r="K153" s="43">
        <v>0</v>
      </c>
      <c r="L153" s="66"/>
      <c r="M153" s="51"/>
      <c r="O153" s="40"/>
      <c r="P153" s="40"/>
      <c r="Q153" s="40"/>
    </row>
    <row r="154" spans="2:17" ht="15" customHeight="1" x14ac:dyDescent="0.35">
      <c r="B154" s="19">
        <v>8</v>
      </c>
      <c r="C154" s="20" t="s">
        <v>625</v>
      </c>
      <c r="D154" s="21" t="s">
        <v>626</v>
      </c>
      <c r="E154" s="22" t="s">
        <v>57</v>
      </c>
      <c r="F154" s="23" t="s">
        <v>627</v>
      </c>
      <c r="G154" s="41" t="s">
        <v>628</v>
      </c>
      <c r="H154" s="42">
        <v>1.7720356704689688E-2</v>
      </c>
      <c r="I154" s="26">
        <v>2.2917485446243484E-2</v>
      </c>
      <c r="J154" s="42">
        <v>0</v>
      </c>
      <c r="K154" s="43">
        <v>0</v>
      </c>
      <c r="L154" s="66"/>
      <c r="M154" s="51"/>
      <c r="O154" s="40"/>
      <c r="P154" s="40"/>
      <c r="Q154" s="40"/>
    </row>
    <row r="155" spans="2:17" ht="15" customHeight="1" x14ac:dyDescent="0.35">
      <c r="B155" s="19">
        <v>8</v>
      </c>
      <c r="C155" s="20" t="s">
        <v>629</v>
      </c>
      <c r="D155" s="52" t="s">
        <v>630</v>
      </c>
      <c r="E155" s="22" t="s">
        <v>57</v>
      </c>
      <c r="F155" s="23" t="s">
        <v>631</v>
      </c>
      <c r="G155" s="41" t="s">
        <v>628</v>
      </c>
      <c r="H155" s="42">
        <v>9.9578180980475037E-2</v>
      </c>
      <c r="I155" s="57">
        <v>9.1679234683090097E-2</v>
      </c>
      <c r="J155" s="42">
        <v>0</v>
      </c>
      <c r="K155" s="43">
        <v>0</v>
      </c>
      <c r="L155" s="66"/>
      <c r="M155" s="51"/>
      <c r="O155" s="40"/>
      <c r="P155" s="40"/>
      <c r="Q155" s="40"/>
    </row>
    <row r="156" spans="2:17" ht="15" customHeight="1" x14ac:dyDescent="0.35">
      <c r="B156" s="19">
        <v>8</v>
      </c>
      <c r="C156" s="20" t="s">
        <v>632</v>
      </c>
      <c r="D156" s="21" t="s">
        <v>633</v>
      </c>
      <c r="E156" s="22" t="s">
        <v>57</v>
      </c>
      <c r="F156" s="23" t="s">
        <v>634</v>
      </c>
      <c r="G156" s="41" t="s">
        <v>635</v>
      </c>
      <c r="H156" s="42">
        <v>5.1751897546610186E-2</v>
      </c>
      <c r="I156" s="26">
        <v>4.7656216691449649E-2</v>
      </c>
      <c r="J156" s="42">
        <v>0</v>
      </c>
      <c r="K156" s="43">
        <v>0</v>
      </c>
      <c r="L156" s="66"/>
      <c r="M156" s="51"/>
      <c r="O156" s="40"/>
      <c r="P156" s="40"/>
      <c r="Q156" s="40"/>
    </row>
    <row r="157" spans="2:17" ht="15" customHeight="1" x14ac:dyDescent="0.35">
      <c r="B157" s="19">
        <v>8</v>
      </c>
      <c r="C157" s="20" t="s">
        <v>636</v>
      </c>
      <c r="D157" s="21" t="s">
        <v>637</v>
      </c>
      <c r="E157" s="22" t="s">
        <v>57</v>
      </c>
      <c r="F157" s="23" t="s">
        <v>638</v>
      </c>
      <c r="G157" s="41" t="s">
        <v>635</v>
      </c>
      <c r="H157" s="42">
        <v>3.4688063800503592E-2</v>
      </c>
      <c r="I157" s="26">
        <v>3.3694381147505878E-2</v>
      </c>
      <c r="J157" s="42">
        <v>5.0853855998690405E-2</v>
      </c>
      <c r="K157" s="43">
        <v>4.2728020313294875E-2</v>
      </c>
      <c r="L157" s="66"/>
      <c r="M157" s="51"/>
      <c r="O157" s="40"/>
      <c r="P157" s="40"/>
      <c r="Q157" s="40"/>
    </row>
    <row r="158" spans="2:17" ht="15" customHeight="1" x14ac:dyDescent="0.35">
      <c r="B158" s="19">
        <v>8</v>
      </c>
      <c r="C158" s="20" t="s">
        <v>639</v>
      </c>
      <c r="D158" s="21" t="s">
        <v>640</v>
      </c>
      <c r="E158" s="22" t="s">
        <v>57</v>
      </c>
      <c r="F158" s="23" t="s">
        <v>641</v>
      </c>
      <c r="G158" s="41" t="s">
        <v>635</v>
      </c>
      <c r="H158" s="42">
        <v>2.8532353908742741E-2</v>
      </c>
      <c r="I158" s="26">
        <v>3.2681264982049894E-2</v>
      </c>
      <c r="J158" s="42">
        <v>0</v>
      </c>
      <c r="K158" s="43">
        <v>0</v>
      </c>
      <c r="L158" s="66"/>
      <c r="M158" s="51"/>
      <c r="O158" s="40"/>
      <c r="P158" s="40"/>
      <c r="Q158" s="40"/>
    </row>
    <row r="159" spans="2:17" ht="15" customHeight="1" x14ac:dyDescent="0.35">
      <c r="B159" s="19">
        <v>8</v>
      </c>
      <c r="C159" s="20" t="s">
        <v>642</v>
      </c>
      <c r="D159" s="52" t="s">
        <v>643</v>
      </c>
      <c r="E159" s="22" t="s">
        <v>57</v>
      </c>
      <c r="F159" s="23" t="s">
        <v>644</v>
      </c>
      <c r="G159" s="41" t="s">
        <v>645</v>
      </c>
      <c r="H159" s="42">
        <v>6.6841594843495208E-2</v>
      </c>
      <c r="I159" s="57">
        <v>6.232427354788049E-2</v>
      </c>
      <c r="J159" s="42">
        <v>0</v>
      </c>
      <c r="K159" s="43">
        <v>0</v>
      </c>
      <c r="L159" s="66"/>
      <c r="M159" s="51"/>
      <c r="O159" s="40"/>
      <c r="P159" s="40"/>
      <c r="Q159" s="40"/>
    </row>
    <row r="160" spans="2:17" ht="15" customHeight="1" x14ac:dyDescent="0.35">
      <c r="B160" s="19">
        <v>8</v>
      </c>
      <c r="C160" s="20" t="s">
        <v>646</v>
      </c>
      <c r="D160" s="21" t="s">
        <v>647</v>
      </c>
      <c r="E160" s="22" t="s">
        <v>57</v>
      </c>
      <c r="F160" s="23" t="s">
        <v>648</v>
      </c>
      <c r="G160" s="41" t="s">
        <v>649</v>
      </c>
      <c r="H160" s="42">
        <v>3.1929180881766224E-2</v>
      </c>
      <c r="I160" s="26">
        <v>3.4414910864314086E-2</v>
      </c>
      <c r="J160" s="42">
        <v>0</v>
      </c>
      <c r="K160" s="43">
        <v>0</v>
      </c>
      <c r="L160" s="66"/>
      <c r="M160" s="51"/>
      <c r="O160" s="40"/>
      <c r="P160" s="40"/>
      <c r="Q160" s="40"/>
    </row>
    <row r="161" spans="2:17" ht="15" customHeight="1" x14ac:dyDescent="0.35">
      <c r="B161" s="19">
        <v>8</v>
      </c>
      <c r="C161" s="20" t="s">
        <v>650</v>
      </c>
      <c r="D161" s="21" t="s">
        <v>651</v>
      </c>
      <c r="E161" s="22" t="s">
        <v>57</v>
      </c>
      <c r="F161" s="23" t="s">
        <v>652</v>
      </c>
      <c r="G161" s="41" t="s">
        <v>653</v>
      </c>
      <c r="H161" s="42">
        <v>2.8722187807777851E-2</v>
      </c>
      <c r="I161" s="26">
        <v>2.0998921540849935E-2</v>
      </c>
      <c r="J161" s="42">
        <v>0</v>
      </c>
      <c r="K161" s="43">
        <v>0</v>
      </c>
      <c r="L161" s="66"/>
      <c r="M161" s="51"/>
      <c r="O161" s="40"/>
      <c r="P161" s="40"/>
      <c r="Q161" s="40"/>
    </row>
    <row r="162" spans="2:17" ht="15" customHeight="1" x14ac:dyDescent="0.35">
      <c r="B162" s="12">
        <v>5</v>
      </c>
      <c r="C162" s="13" t="s">
        <v>654</v>
      </c>
      <c r="D162" s="13" t="s">
        <v>655</v>
      </c>
      <c r="E162" s="50" t="s">
        <v>656</v>
      </c>
      <c r="F162" s="15"/>
      <c r="G162" s="37"/>
      <c r="H162" s="38">
        <f t="shared" ref="H162:I162" si="17">SUM(H163:H186)</f>
        <v>1</v>
      </c>
      <c r="I162" s="18">
        <f t="shared" si="17"/>
        <v>1.0000000000000002</v>
      </c>
      <c r="J162" s="38">
        <f t="shared" ref="J162:K162" si="18">SUM(J163:J186)</f>
        <v>0.99999999999999978</v>
      </c>
      <c r="K162" s="39">
        <f t="shared" si="18"/>
        <v>1</v>
      </c>
      <c r="L162" s="66"/>
      <c r="M162" s="51"/>
      <c r="O162" s="40"/>
      <c r="P162" s="40"/>
      <c r="Q162" s="40"/>
    </row>
    <row r="163" spans="2:17" ht="15" customHeight="1" x14ac:dyDescent="0.35">
      <c r="B163" s="19">
        <v>8</v>
      </c>
      <c r="C163" s="20" t="s">
        <v>657</v>
      </c>
      <c r="D163" s="21" t="s">
        <v>658</v>
      </c>
      <c r="E163" s="22" t="s">
        <v>57</v>
      </c>
      <c r="F163" s="23" t="s">
        <v>659</v>
      </c>
      <c r="G163" s="41" t="s">
        <v>660</v>
      </c>
      <c r="H163" s="42">
        <v>6.180718142247555E-2</v>
      </c>
      <c r="I163" s="26">
        <v>5.3969632074747906E-2</v>
      </c>
      <c r="J163" s="42">
        <v>0</v>
      </c>
      <c r="K163" s="43">
        <v>0</v>
      </c>
      <c r="L163" s="66"/>
      <c r="M163" s="51"/>
      <c r="O163" s="40"/>
      <c r="P163" s="40"/>
      <c r="Q163" s="40"/>
    </row>
    <row r="164" spans="2:17" ht="15" customHeight="1" x14ac:dyDescent="0.35">
      <c r="B164" s="19">
        <v>8</v>
      </c>
      <c r="C164" s="68" t="s">
        <v>661</v>
      </c>
      <c r="D164" s="52" t="s">
        <v>662</v>
      </c>
      <c r="E164" s="22" t="s">
        <v>57</v>
      </c>
      <c r="F164" s="23" t="s">
        <v>663</v>
      </c>
      <c r="G164" s="41" t="s">
        <v>660</v>
      </c>
      <c r="H164" s="42">
        <v>7.386971257825177E-2</v>
      </c>
      <c r="I164" s="26">
        <v>6.7653254392812071E-2</v>
      </c>
      <c r="J164" s="42">
        <v>0</v>
      </c>
      <c r="K164" s="43">
        <v>0</v>
      </c>
      <c r="L164" s="66"/>
      <c r="M164" s="51">
        <f>I164</f>
        <v>6.7653254392812071E-2</v>
      </c>
      <c r="N164" s="36">
        <f>K164</f>
        <v>0</v>
      </c>
      <c r="O164" s="40"/>
      <c r="P164" s="40"/>
      <c r="Q164" s="40"/>
    </row>
    <row r="165" spans="2:17" ht="15" customHeight="1" x14ac:dyDescent="0.35">
      <c r="B165" s="19">
        <v>8</v>
      </c>
      <c r="C165" s="20" t="s">
        <v>664</v>
      </c>
      <c r="D165" s="21" t="s">
        <v>665</v>
      </c>
      <c r="E165" s="22" t="s">
        <v>666</v>
      </c>
      <c r="F165" s="23" t="s">
        <v>667</v>
      </c>
      <c r="G165" s="41" t="s">
        <v>668</v>
      </c>
      <c r="H165" s="42">
        <v>2.5898001760651719E-2</v>
      </c>
      <c r="I165" s="26">
        <v>2.6254685587830274E-2</v>
      </c>
      <c r="J165" s="42">
        <v>0</v>
      </c>
      <c r="K165" s="43">
        <v>0</v>
      </c>
      <c r="L165" s="66"/>
      <c r="M165" s="51"/>
      <c r="O165" s="40"/>
      <c r="P165" s="40"/>
      <c r="Q165" s="40"/>
    </row>
    <row r="166" spans="2:17" ht="15" customHeight="1" x14ac:dyDescent="0.35">
      <c r="B166" s="19">
        <v>8</v>
      </c>
      <c r="C166" s="68" t="s">
        <v>669</v>
      </c>
      <c r="D166" s="52" t="s">
        <v>670</v>
      </c>
      <c r="E166" s="22" t="s">
        <v>666</v>
      </c>
      <c r="F166" s="23" t="s">
        <v>671</v>
      </c>
      <c r="G166" s="41" t="s">
        <v>668</v>
      </c>
      <c r="H166" s="42">
        <v>0.24885329876711296</v>
      </c>
      <c r="I166" s="57">
        <v>0.23596557331276571</v>
      </c>
      <c r="J166" s="42">
        <v>0.19250898476901929</v>
      </c>
      <c r="K166" s="43">
        <v>0.19926610019637186</v>
      </c>
      <c r="L166" s="66"/>
      <c r="M166" s="51">
        <f>I166</f>
        <v>0.23596557331276571</v>
      </c>
      <c r="N166" s="36">
        <f>K166</f>
        <v>0.19926610019637186</v>
      </c>
      <c r="O166" s="40"/>
      <c r="P166" s="40"/>
      <c r="Q166" s="40"/>
    </row>
    <row r="167" spans="2:17" ht="15" customHeight="1" x14ac:dyDescent="0.35">
      <c r="B167" s="19">
        <v>8</v>
      </c>
      <c r="C167" s="20" t="s">
        <v>672</v>
      </c>
      <c r="D167" s="21" t="s">
        <v>673</v>
      </c>
      <c r="E167" s="22" t="s">
        <v>666</v>
      </c>
      <c r="F167" s="23" t="s">
        <v>674</v>
      </c>
      <c r="G167" s="41" t="s">
        <v>668</v>
      </c>
      <c r="H167" s="42">
        <v>4.1333022406211263E-2</v>
      </c>
      <c r="I167" s="26">
        <v>3.7204637064594787E-2</v>
      </c>
      <c r="J167" s="42">
        <v>0</v>
      </c>
      <c r="K167" s="43">
        <v>0</v>
      </c>
      <c r="L167" s="66"/>
      <c r="M167" s="51"/>
      <c r="O167" s="40"/>
      <c r="P167" s="40"/>
      <c r="Q167" s="40"/>
    </row>
    <row r="168" spans="2:17" ht="15" customHeight="1" x14ac:dyDescent="0.35">
      <c r="B168" s="19">
        <v>8</v>
      </c>
      <c r="C168" s="20" t="s">
        <v>675</v>
      </c>
      <c r="D168" s="21" t="s">
        <v>676</v>
      </c>
      <c r="E168" s="22" t="s">
        <v>666</v>
      </c>
      <c r="F168" s="23" t="s">
        <v>677</v>
      </c>
      <c r="G168" s="41" t="s">
        <v>668</v>
      </c>
      <c r="H168" s="42">
        <v>4.4871928548442595E-2</v>
      </c>
      <c r="I168" s="26">
        <v>5.233135386857031E-2</v>
      </c>
      <c r="J168" s="42">
        <v>6.265880443005431E-2</v>
      </c>
      <c r="K168" s="43">
        <v>7.0549204196655238E-2</v>
      </c>
      <c r="L168" s="66"/>
      <c r="M168" s="51"/>
      <c r="O168" s="40"/>
      <c r="P168" s="40"/>
      <c r="Q168" s="40"/>
    </row>
    <row r="169" spans="2:17" ht="15" customHeight="1" x14ac:dyDescent="0.35">
      <c r="B169" s="19">
        <v>8</v>
      </c>
      <c r="C169" s="68" t="s">
        <v>678</v>
      </c>
      <c r="D169" s="52" t="s">
        <v>679</v>
      </c>
      <c r="E169" s="22" t="s">
        <v>57</v>
      </c>
      <c r="F169" s="23" t="s">
        <v>680</v>
      </c>
      <c r="G169" s="41" t="s">
        <v>660</v>
      </c>
      <c r="H169" s="42">
        <v>1.9965558496469329E-2</v>
      </c>
      <c r="I169" s="57">
        <v>2.2542176226584634E-2</v>
      </c>
      <c r="J169" s="56">
        <v>0.69263822725552782</v>
      </c>
      <c r="K169" s="58">
        <v>0.67978168889681145</v>
      </c>
      <c r="L169" s="66"/>
      <c r="M169" s="51">
        <f>I169</f>
        <v>2.2542176226584634E-2</v>
      </c>
      <c r="N169" s="36">
        <f>K169</f>
        <v>0.67978168889681145</v>
      </c>
      <c r="O169" s="40"/>
      <c r="P169" s="40"/>
      <c r="Q169" s="40"/>
    </row>
    <row r="170" spans="2:17" ht="15" customHeight="1" x14ac:dyDescent="0.35">
      <c r="B170" s="19">
        <v>8</v>
      </c>
      <c r="C170" s="20" t="s">
        <v>681</v>
      </c>
      <c r="D170" s="21" t="s">
        <v>682</v>
      </c>
      <c r="E170" s="22" t="s">
        <v>666</v>
      </c>
      <c r="F170" s="23" t="s">
        <v>683</v>
      </c>
      <c r="G170" s="41" t="s">
        <v>668</v>
      </c>
      <c r="H170" s="42">
        <v>1.7739021054266987E-2</v>
      </c>
      <c r="I170" s="26">
        <v>1.9119364201872241E-2</v>
      </c>
      <c r="J170" s="42">
        <v>0</v>
      </c>
      <c r="K170" s="43">
        <v>0</v>
      </c>
      <c r="L170" s="66"/>
      <c r="M170" s="51"/>
      <c r="O170" s="40"/>
      <c r="P170" s="40"/>
      <c r="Q170" s="40"/>
    </row>
    <row r="171" spans="2:17" ht="15" customHeight="1" x14ac:dyDescent="0.35">
      <c r="B171" s="19">
        <v>8</v>
      </c>
      <c r="C171" s="20" t="s">
        <v>684</v>
      </c>
      <c r="D171" s="21" t="s">
        <v>685</v>
      </c>
      <c r="E171" s="22" t="s">
        <v>57</v>
      </c>
      <c r="F171" s="23" t="s">
        <v>686</v>
      </c>
      <c r="G171" s="41" t="s">
        <v>687</v>
      </c>
      <c r="H171" s="42">
        <v>1.4525863948234739E-2</v>
      </c>
      <c r="I171" s="26">
        <v>1.7517103078472342E-2</v>
      </c>
      <c r="J171" s="42">
        <v>0</v>
      </c>
      <c r="K171" s="43">
        <v>0</v>
      </c>
      <c r="L171" s="66"/>
      <c r="M171" s="51"/>
      <c r="O171" s="40"/>
      <c r="P171" s="40"/>
      <c r="Q171" s="40"/>
    </row>
    <row r="172" spans="2:17" ht="15" customHeight="1" x14ac:dyDescent="0.35">
      <c r="B172" s="19">
        <v>8</v>
      </c>
      <c r="C172" s="20" t="s">
        <v>688</v>
      </c>
      <c r="D172" s="21" t="s">
        <v>689</v>
      </c>
      <c r="E172" s="22" t="s">
        <v>57</v>
      </c>
      <c r="F172" s="23" t="s">
        <v>690</v>
      </c>
      <c r="G172" s="41" t="s">
        <v>687</v>
      </c>
      <c r="H172" s="42">
        <v>1.333821183086119E-2</v>
      </c>
      <c r="I172" s="26">
        <v>0</v>
      </c>
      <c r="J172" s="42">
        <v>0</v>
      </c>
      <c r="K172" s="43">
        <v>0</v>
      </c>
      <c r="L172" s="66"/>
      <c r="M172" s="51"/>
      <c r="O172" s="40"/>
      <c r="P172" s="40"/>
      <c r="Q172" s="40"/>
    </row>
    <row r="173" spans="2:17" ht="15" customHeight="1" x14ac:dyDescent="0.35">
      <c r="B173" s="19">
        <v>8</v>
      </c>
      <c r="C173" s="20" t="s">
        <v>691</v>
      </c>
      <c r="D173" s="21" t="s">
        <v>692</v>
      </c>
      <c r="E173" s="22" t="s">
        <v>57</v>
      </c>
      <c r="F173" s="23" t="s">
        <v>693</v>
      </c>
      <c r="G173" s="41" t="s">
        <v>687</v>
      </c>
      <c r="H173" s="42">
        <v>0</v>
      </c>
      <c r="I173" s="26">
        <v>0</v>
      </c>
      <c r="J173" s="42">
        <v>2.5213273350029042E-2</v>
      </c>
      <c r="K173" s="43">
        <v>2.576687355538387E-2</v>
      </c>
      <c r="L173" s="66"/>
      <c r="M173" s="51"/>
      <c r="O173" s="40"/>
      <c r="P173" s="40"/>
      <c r="Q173" s="40"/>
    </row>
    <row r="174" spans="2:17" ht="15" customHeight="1" x14ac:dyDescent="0.35">
      <c r="B174" s="19">
        <v>8</v>
      </c>
      <c r="C174" s="20" t="s">
        <v>694</v>
      </c>
      <c r="D174" s="21" t="s">
        <v>695</v>
      </c>
      <c r="E174" s="22" t="s">
        <v>57</v>
      </c>
      <c r="F174" s="23" t="s">
        <v>696</v>
      </c>
      <c r="G174" s="41" t="s">
        <v>687</v>
      </c>
      <c r="H174" s="42">
        <v>1.1949819729645721E-2</v>
      </c>
      <c r="I174" s="26">
        <v>1.5687725280025922E-2</v>
      </c>
      <c r="J174" s="42">
        <v>0</v>
      </c>
      <c r="K174" s="43">
        <v>0</v>
      </c>
      <c r="L174" s="66"/>
      <c r="M174" s="51"/>
      <c r="O174" s="40"/>
      <c r="P174" s="40"/>
      <c r="Q174" s="40"/>
    </row>
    <row r="175" spans="2:17" ht="15" customHeight="1" x14ac:dyDescent="0.35">
      <c r="B175" s="19">
        <v>8</v>
      </c>
      <c r="C175" s="20" t="s">
        <v>697</v>
      </c>
      <c r="D175" s="21" t="s">
        <v>698</v>
      </c>
      <c r="E175" s="22" t="s">
        <v>57</v>
      </c>
      <c r="F175" s="23" t="s">
        <v>699</v>
      </c>
      <c r="G175" s="41" t="s">
        <v>687</v>
      </c>
      <c r="H175" s="42">
        <v>1.2429042478493808E-2</v>
      </c>
      <c r="I175" s="26">
        <v>1.3328789977476652E-2</v>
      </c>
      <c r="J175" s="42">
        <v>0</v>
      </c>
      <c r="K175" s="43">
        <v>0</v>
      </c>
      <c r="L175" s="66"/>
      <c r="M175" s="51"/>
      <c r="O175" s="40"/>
      <c r="P175" s="40"/>
      <c r="Q175" s="40"/>
    </row>
    <row r="176" spans="2:17" ht="15" customHeight="1" x14ac:dyDescent="0.35">
      <c r="B176" s="19">
        <v>8</v>
      </c>
      <c r="C176" s="20" t="s">
        <v>700</v>
      </c>
      <c r="D176" s="21" t="s">
        <v>701</v>
      </c>
      <c r="E176" s="22" t="s">
        <v>57</v>
      </c>
      <c r="F176" s="23" t="s">
        <v>702</v>
      </c>
      <c r="G176" s="41" t="s">
        <v>687</v>
      </c>
      <c r="H176" s="42">
        <v>4.2233407276896513E-2</v>
      </c>
      <c r="I176" s="26">
        <v>4.4469743518648186E-2</v>
      </c>
      <c r="J176" s="42">
        <v>0</v>
      </c>
      <c r="K176" s="43">
        <v>0</v>
      </c>
      <c r="L176" s="66"/>
      <c r="M176" s="51"/>
      <c r="O176" s="40"/>
      <c r="P176" s="40"/>
      <c r="Q176" s="40"/>
    </row>
    <row r="177" spans="2:17" ht="15" customHeight="1" x14ac:dyDescent="0.35">
      <c r="B177" s="19">
        <v>8</v>
      </c>
      <c r="C177" s="68" t="s">
        <v>703</v>
      </c>
      <c r="D177" s="52" t="s">
        <v>704</v>
      </c>
      <c r="E177" s="22" t="s">
        <v>57</v>
      </c>
      <c r="F177" s="23" t="s">
        <v>705</v>
      </c>
      <c r="G177" s="41" t="s">
        <v>687</v>
      </c>
      <c r="H177" s="42">
        <v>6.7055966417986945E-2</v>
      </c>
      <c r="I177" s="57">
        <v>7.7803300457700619E-2</v>
      </c>
      <c r="J177" s="42">
        <v>0</v>
      </c>
      <c r="K177" s="43">
        <v>0</v>
      </c>
      <c r="L177" s="66"/>
      <c r="M177" s="51">
        <f>I177</f>
        <v>7.7803300457700619E-2</v>
      </c>
      <c r="N177" s="36">
        <f>K177</f>
        <v>0</v>
      </c>
      <c r="O177" s="40"/>
      <c r="P177" s="40"/>
      <c r="Q177" s="40"/>
    </row>
    <row r="178" spans="2:17" ht="15" customHeight="1" x14ac:dyDescent="0.35">
      <c r="B178" s="19">
        <v>8</v>
      </c>
      <c r="C178" s="20" t="s">
        <v>706</v>
      </c>
      <c r="D178" s="21" t="s">
        <v>707</v>
      </c>
      <c r="E178" s="22" t="s">
        <v>57</v>
      </c>
      <c r="F178" s="23" t="s">
        <v>708</v>
      </c>
      <c r="G178" s="41" t="s">
        <v>687</v>
      </c>
      <c r="H178" s="42">
        <v>4.2839570766674523E-2</v>
      </c>
      <c r="I178" s="26">
        <v>1.7778638733102089E-2</v>
      </c>
      <c r="J178" s="42">
        <v>0</v>
      </c>
      <c r="K178" s="43">
        <v>0</v>
      </c>
      <c r="L178" s="66"/>
      <c r="M178" s="51"/>
      <c r="O178" s="40"/>
      <c r="P178" s="40"/>
      <c r="Q178" s="40"/>
    </row>
    <row r="179" spans="2:17" ht="15" customHeight="1" x14ac:dyDescent="0.35">
      <c r="B179" s="19">
        <v>8</v>
      </c>
      <c r="C179" s="68" t="s">
        <v>709</v>
      </c>
      <c r="D179" s="52" t="s">
        <v>710</v>
      </c>
      <c r="E179" s="22" t="s">
        <v>57</v>
      </c>
      <c r="F179" s="23" t="s">
        <v>711</v>
      </c>
      <c r="G179" s="41" t="s">
        <v>687</v>
      </c>
      <c r="H179" s="42">
        <v>4.9354046870855206E-2</v>
      </c>
      <c r="I179" s="57">
        <v>7.6809877544133806E-2</v>
      </c>
      <c r="J179" s="42">
        <v>0</v>
      </c>
      <c r="K179" s="43">
        <v>0</v>
      </c>
      <c r="L179" s="66"/>
      <c r="M179" s="51">
        <f>I179</f>
        <v>7.6809877544133806E-2</v>
      </c>
      <c r="N179" s="36">
        <f>K179</f>
        <v>0</v>
      </c>
      <c r="O179" s="40"/>
      <c r="P179" s="40"/>
      <c r="Q179" s="40"/>
    </row>
    <row r="180" spans="2:17" ht="15" customHeight="1" x14ac:dyDescent="0.35">
      <c r="B180" s="19">
        <v>8</v>
      </c>
      <c r="C180" s="20" t="s">
        <v>712</v>
      </c>
      <c r="D180" s="21" t="s">
        <v>713</v>
      </c>
      <c r="E180" s="22" t="s">
        <v>57</v>
      </c>
      <c r="F180" s="23" t="s">
        <v>714</v>
      </c>
      <c r="G180" s="41" t="s">
        <v>687</v>
      </c>
      <c r="H180" s="42">
        <v>4.2843075171039642E-2</v>
      </c>
      <c r="I180" s="26">
        <v>4.2701969509685793E-2</v>
      </c>
      <c r="J180" s="42">
        <v>0</v>
      </c>
      <c r="K180" s="43">
        <v>0</v>
      </c>
      <c r="L180" s="66"/>
      <c r="M180" s="51"/>
      <c r="O180" s="40"/>
      <c r="P180" s="40"/>
      <c r="Q180" s="40"/>
    </row>
    <row r="181" spans="2:17" ht="15" customHeight="1" x14ac:dyDescent="0.35">
      <c r="B181" s="19">
        <v>8</v>
      </c>
      <c r="C181" s="20" t="s">
        <v>715</v>
      </c>
      <c r="D181" s="21" t="s">
        <v>716</v>
      </c>
      <c r="E181" s="22" t="s">
        <v>57</v>
      </c>
      <c r="F181" s="23" t="s">
        <v>717</v>
      </c>
      <c r="G181" s="41" t="s">
        <v>624</v>
      </c>
      <c r="H181" s="42">
        <v>2.7541082291170759E-2</v>
      </c>
      <c r="I181" s="26">
        <v>3.1001029568843961E-2</v>
      </c>
      <c r="J181" s="42">
        <v>0</v>
      </c>
      <c r="K181" s="43">
        <v>0</v>
      </c>
      <c r="L181" s="66"/>
      <c r="M181" s="51"/>
      <c r="O181" s="40"/>
      <c r="P181" s="40"/>
      <c r="Q181" s="40"/>
    </row>
    <row r="182" spans="2:17" ht="15" customHeight="1" x14ac:dyDescent="0.35">
      <c r="B182" s="19">
        <v>8</v>
      </c>
      <c r="C182" s="20" t="s">
        <v>718</v>
      </c>
      <c r="D182" s="21" t="s">
        <v>719</v>
      </c>
      <c r="E182" s="22" t="s">
        <v>666</v>
      </c>
      <c r="F182" s="23" t="s">
        <v>720</v>
      </c>
      <c r="G182" s="41" t="s">
        <v>668</v>
      </c>
      <c r="H182" s="42">
        <v>1.8937452777415036E-2</v>
      </c>
      <c r="I182" s="26">
        <v>2.2751828619027911E-2</v>
      </c>
      <c r="J182" s="42">
        <v>2.698071019536941E-2</v>
      </c>
      <c r="K182" s="43">
        <v>2.4636133154777692E-2</v>
      </c>
      <c r="L182" s="66"/>
      <c r="M182" s="51"/>
      <c r="O182" s="40"/>
      <c r="P182" s="40"/>
      <c r="Q182" s="40"/>
    </row>
    <row r="183" spans="2:17" ht="15" customHeight="1" x14ac:dyDescent="0.35">
      <c r="B183" s="19">
        <v>8</v>
      </c>
      <c r="C183" s="20" t="s">
        <v>721</v>
      </c>
      <c r="D183" s="21" t="s">
        <v>722</v>
      </c>
      <c r="E183" s="22" t="s">
        <v>666</v>
      </c>
      <c r="F183" s="23" t="s">
        <v>723</v>
      </c>
      <c r="G183" s="41" t="s">
        <v>668</v>
      </c>
      <c r="H183" s="42">
        <v>2.7844827471756824E-2</v>
      </c>
      <c r="I183" s="26">
        <v>3.0153213550849645E-2</v>
      </c>
      <c r="J183" s="42">
        <v>0</v>
      </c>
      <c r="K183" s="43">
        <v>0</v>
      </c>
      <c r="L183" s="66"/>
      <c r="M183" s="51"/>
      <c r="O183" s="40"/>
      <c r="P183" s="40"/>
      <c r="Q183" s="40"/>
    </row>
    <row r="184" spans="2:17" ht="15" customHeight="1" x14ac:dyDescent="0.35">
      <c r="B184" s="19">
        <v>8</v>
      </c>
      <c r="C184" s="20" t="s">
        <v>724</v>
      </c>
      <c r="D184" s="21" t="s">
        <v>725</v>
      </c>
      <c r="E184" s="22" t="s">
        <v>225</v>
      </c>
      <c r="F184" s="23" t="s">
        <v>726</v>
      </c>
      <c r="G184" s="41" t="s">
        <v>287</v>
      </c>
      <c r="H184" s="42">
        <v>3.8018644629130419E-2</v>
      </c>
      <c r="I184" s="26">
        <v>3.4826991670410652E-2</v>
      </c>
      <c r="J184" s="42">
        <v>0</v>
      </c>
      <c r="K184" s="43">
        <v>0</v>
      </c>
      <c r="L184" s="66"/>
      <c r="M184" s="51"/>
      <c r="O184" s="40"/>
      <c r="P184" s="40"/>
      <c r="Q184" s="40"/>
    </row>
    <row r="185" spans="2:17" ht="15" customHeight="1" x14ac:dyDescent="0.35">
      <c r="B185" s="19">
        <v>8</v>
      </c>
      <c r="C185" s="20" t="s">
        <v>727</v>
      </c>
      <c r="D185" s="21" t="s">
        <v>728</v>
      </c>
      <c r="E185" s="22" t="s">
        <v>225</v>
      </c>
      <c r="F185" s="23" t="s">
        <v>729</v>
      </c>
      <c r="G185" s="41" t="s">
        <v>287</v>
      </c>
      <c r="H185" s="42">
        <v>1.3883374119226055E-2</v>
      </c>
      <c r="I185" s="26">
        <v>1.2473732156083377E-2</v>
      </c>
      <c r="J185" s="42">
        <v>0</v>
      </c>
      <c r="K185" s="43">
        <v>0</v>
      </c>
      <c r="L185" s="66"/>
      <c r="M185" s="51"/>
      <c r="O185" s="40"/>
      <c r="P185" s="40"/>
      <c r="Q185" s="40"/>
    </row>
    <row r="186" spans="2:17" ht="15" customHeight="1" x14ac:dyDescent="0.35">
      <c r="B186" s="19">
        <v>8</v>
      </c>
      <c r="C186" s="20" t="s">
        <v>730</v>
      </c>
      <c r="D186" s="21" t="s">
        <v>731</v>
      </c>
      <c r="E186" s="22" t="s">
        <v>57</v>
      </c>
      <c r="F186" s="23" t="s">
        <v>732</v>
      </c>
      <c r="G186" s="41" t="s">
        <v>733</v>
      </c>
      <c r="H186" s="42">
        <v>4.2867889186730505E-2</v>
      </c>
      <c r="I186" s="26">
        <v>4.7655379605761355E-2</v>
      </c>
      <c r="J186" s="42">
        <v>0</v>
      </c>
      <c r="K186" s="43">
        <v>0</v>
      </c>
      <c r="L186" s="66"/>
      <c r="M186" s="51"/>
      <c r="O186" s="40"/>
      <c r="P186" s="40"/>
      <c r="Q186" s="40"/>
    </row>
    <row r="187" spans="2:17" ht="15" customHeight="1" x14ac:dyDescent="0.35">
      <c r="B187" s="12">
        <v>5</v>
      </c>
      <c r="C187" s="13" t="s">
        <v>734</v>
      </c>
      <c r="D187" s="13" t="s">
        <v>735</v>
      </c>
      <c r="E187" s="14" t="s">
        <v>57</v>
      </c>
      <c r="F187" s="15"/>
      <c r="G187" s="37"/>
      <c r="H187" s="38">
        <f>SUM(H188:H199)</f>
        <v>0.99999999999999989</v>
      </c>
      <c r="I187" s="18">
        <f>SUM(I188:I199)</f>
        <v>1</v>
      </c>
      <c r="J187" s="38">
        <f>SUM(J188:J199)</f>
        <v>1.0000000000000002</v>
      </c>
      <c r="K187" s="39">
        <f>SUM(K188:K199)</f>
        <v>1.0000000000000002</v>
      </c>
      <c r="L187" s="66"/>
      <c r="M187" s="51"/>
      <c r="O187" s="40"/>
      <c r="P187" s="40"/>
      <c r="Q187" s="40"/>
    </row>
    <row r="188" spans="2:17" ht="15" customHeight="1" x14ac:dyDescent="0.35">
      <c r="B188" s="19">
        <v>8</v>
      </c>
      <c r="C188" s="20" t="s">
        <v>736</v>
      </c>
      <c r="D188" s="21" t="s">
        <v>737</v>
      </c>
      <c r="E188" s="22" t="s">
        <v>57</v>
      </c>
      <c r="F188" s="23" t="s">
        <v>738</v>
      </c>
      <c r="G188" s="41" t="s">
        <v>739</v>
      </c>
      <c r="H188" s="42">
        <v>2.012471617729206E-2</v>
      </c>
      <c r="I188" s="26">
        <v>2.6463626812208488E-2</v>
      </c>
      <c r="J188" s="42">
        <v>0</v>
      </c>
      <c r="K188" s="43">
        <v>0</v>
      </c>
      <c r="L188" s="66"/>
      <c r="M188" s="51"/>
      <c r="O188" s="40"/>
      <c r="P188" s="40"/>
      <c r="Q188" s="40"/>
    </row>
    <row r="189" spans="2:17" ht="15" customHeight="1" x14ac:dyDescent="0.35">
      <c r="B189" s="19">
        <v>8</v>
      </c>
      <c r="C189" s="20" t="s">
        <v>740</v>
      </c>
      <c r="D189" s="21" t="s">
        <v>741</v>
      </c>
      <c r="E189" s="22" t="s">
        <v>57</v>
      </c>
      <c r="F189" s="23" t="s">
        <v>742</v>
      </c>
      <c r="G189" s="41" t="s">
        <v>739</v>
      </c>
      <c r="H189" s="42">
        <v>1.8662177986961112E-2</v>
      </c>
      <c r="I189" s="26">
        <v>3.1287089966941149E-2</v>
      </c>
      <c r="J189" s="42">
        <v>0</v>
      </c>
      <c r="K189" s="43">
        <v>0</v>
      </c>
      <c r="L189" s="66"/>
      <c r="M189" s="51"/>
      <c r="O189" s="40"/>
      <c r="P189" s="40"/>
      <c r="Q189" s="40"/>
    </row>
    <row r="190" spans="2:17" ht="15" customHeight="1" x14ac:dyDescent="0.35">
      <c r="B190" s="19">
        <v>8</v>
      </c>
      <c r="C190" s="20" t="s">
        <v>743</v>
      </c>
      <c r="D190" s="52" t="s">
        <v>744</v>
      </c>
      <c r="E190" s="53" t="s">
        <v>57</v>
      </c>
      <c r="F190" s="54" t="s">
        <v>745</v>
      </c>
      <c r="G190" s="55" t="s">
        <v>739</v>
      </c>
      <c r="H190" s="56">
        <v>0.36832601592248015</v>
      </c>
      <c r="I190" s="57">
        <v>0.39869971875740867</v>
      </c>
      <c r="J190" s="42">
        <v>0</v>
      </c>
      <c r="K190" s="43">
        <v>0</v>
      </c>
      <c r="L190" s="66">
        <v>1</v>
      </c>
      <c r="M190" s="51"/>
      <c r="O190" s="40"/>
      <c r="P190" s="40"/>
      <c r="Q190" s="40"/>
    </row>
    <row r="191" spans="2:17" ht="15" customHeight="1" x14ac:dyDescent="0.35">
      <c r="B191" s="19">
        <v>8</v>
      </c>
      <c r="C191" s="20" t="s">
        <v>746</v>
      </c>
      <c r="D191" s="52" t="s">
        <v>747</v>
      </c>
      <c r="E191" s="53" t="s">
        <v>57</v>
      </c>
      <c r="F191" s="54" t="s">
        <v>748</v>
      </c>
      <c r="G191" s="55" t="s">
        <v>739</v>
      </c>
      <c r="H191" s="56">
        <v>0.30347186426544853</v>
      </c>
      <c r="I191" s="57">
        <v>0.31442245889896353</v>
      </c>
      <c r="J191" s="42">
        <v>0</v>
      </c>
      <c r="K191" s="43">
        <v>0</v>
      </c>
      <c r="L191" s="66">
        <v>2</v>
      </c>
      <c r="M191" s="51"/>
      <c r="O191" s="40"/>
      <c r="P191" s="40"/>
      <c r="Q191" s="40"/>
    </row>
    <row r="192" spans="2:17" ht="15" customHeight="1" x14ac:dyDescent="0.35">
      <c r="B192" s="19">
        <v>8</v>
      </c>
      <c r="C192" s="20" t="s">
        <v>749</v>
      </c>
      <c r="D192" s="52" t="s">
        <v>750</v>
      </c>
      <c r="E192" s="53" t="s">
        <v>57</v>
      </c>
      <c r="F192" s="54" t="s">
        <v>751</v>
      </c>
      <c r="G192" s="55" t="s">
        <v>366</v>
      </c>
      <c r="H192" s="56">
        <v>9.6181611628069055E-2</v>
      </c>
      <c r="I192" s="57">
        <v>7.7987342026693024E-2</v>
      </c>
      <c r="J192" s="56">
        <v>7.1141819087537805E-2</v>
      </c>
      <c r="K192" s="58">
        <v>7.1141819087537805E-2</v>
      </c>
      <c r="L192" s="66">
        <v>6</v>
      </c>
      <c r="M192" s="51"/>
      <c r="O192" s="40"/>
      <c r="P192" s="40"/>
      <c r="Q192" s="40"/>
    </row>
    <row r="193" spans="2:17" ht="15" customHeight="1" x14ac:dyDescent="0.35">
      <c r="B193" s="19">
        <v>8</v>
      </c>
      <c r="C193" s="20" t="s">
        <v>752</v>
      </c>
      <c r="D193" s="52" t="s">
        <v>753</v>
      </c>
      <c r="E193" s="53" t="s">
        <v>57</v>
      </c>
      <c r="F193" s="54" t="s">
        <v>754</v>
      </c>
      <c r="G193" s="55" t="s">
        <v>755</v>
      </c>
      <c r="H193" s="56">
        <v>0</v>
      </c>
      <c r="I193" s="57">
        <v>0</v>
      </c>
      <c r="J193" s="56">
        <v>0.45400098644445586</v>
      </c>
      <c r="K193" s="58">
        <v>0.45400098644445586</v>
      </c>
      <c r="L193" s="66">
        <v>3</v>
      </c>
      <c r="M193" s="51"/>
      <c r="O193" s="40"/>
      <c r="P193" s="40"/>
      <c r="Q193" s="40"/>
    </row>
    <row r="194" spans="2:17" ht="15" customHeight="1" x14ac:dyDescent="0.35">
      <c r="B194" s="19">
        <v>8</v>
      </c>
      <c r="C194" s="20" t="s">
        <v>756</v>
      </c>
      <c r="D194" s="52" t="s">
        <v>757</v>
      </c>
      <c r="E194" s="53" t="s">
        <v>57</v>
      </c>
      <c r="F194" s="54" t="s">
        <v>758</v>
      </c>
      <c r="G194" s="55" t="s">
        <v>755</v>
      </c>
      <c r="H194" s="56">
        <v>0</v>
      </c>
      <c r="I194" s="57">
        <v>0</v>
      </c>
      <c r="J194" s="56">
        <v>0.34693308347368113</v>
      </c>
      <c r="K194" s="58">
        <v>0.34693308347368113</v>
      </c>
      <c r="L194" s="66">
        <v>4</v>
      </c>
      <c r="M194" s="51"/>
      <c r="O194" s="40"/>
      <c r="P194" s="40"/>
      <c r="Q194" s="40"/>
    </row>
    <row r="195" spans="2:17" ht="15" customHeight="1" x14ac:dyDescent="0.35">
      <c r="B195" s="19">
        <v>8</v>
      </c>
      <c r="C195" s="20" t="s">
        <v>759</v>
      </c>
      <c r="D195" s="59" t="s">
        <v>760</v>
      </c>
      <c r="E195" s="60" t="s">
        <v>57</v>
      </c>
      <c r="F195" s="61" t="s">
        <v>761</v>
      </c>
      <c r="G195" s="62" t="s">
        <v>762</v>
      </c>
      <c r="H195" s="63">
        <v>0</v>
      </c>
      <c r="I195" s="64">
        <v>0</v>
      </c>
      <c r="J195" s="63">
        <v>0.1119293043224602</v>
      </c>
      <c r="K195" s="65">
        <v>0.1119293043224602</v>
      </c>
      <c r="L195" s="66"/>
      <c r="M195" s="51"/>
      <c r="O195" s="40"/>
      <c r="P195" s="40"/>
      <c r="Q195" s="40"/>
    </row>
    <row r="196" spans="2:17" ht="15" customHeight="1" x14ac:dyDescent="0.35">
      <c r="B196" s="19">
        <v>8</v>
      </c>
      <c r="C196" s="20" t="s">
        <v>763</v>
      </c>
      <c r="D196" s="21" t="s">
        <v>764</v>
      </c>
      <c r="E196" s="22" t="s">
        <v>57</v>
      </c>
      <c r="F196" s="23" t="s">
        <v>765</v>
      </c>
      <c r="G196" s="41" t="s">
        <v>766</v>
      </c>
      <c r="H196" s="42">
        <v>2.2628352569275235E-2</v>
      </c>
      <c r="I196" s="26">
        <v>0</v>
      </c>
      <c r="J196" s="42">
        <v>0</v>
      </c>
      <c r="K196" s="43">
        <v>0</v>
      </c>
      <c r="L196" s="66"/>
      <c r="M196" s="51"/>
      <c r="O196" s="40"/>
      <c r="P196" s="40"/>
      <c r="Q196" s="40"/>
    </row>
    <row r="197" spans="2:17" ht="15" customHeight="1" x14ac:dyDescent="0.35">
      <c r="B197" s="19">
        <v>8</v>
      </c>
      <c r="C197" s="20" t="s">
        <v>767</v>
      </c>
      <c r="D197" s="52" t="s">
        <v>768</v>
      </c>
      <c r="E197" s="53" t="s">
        <v>57</v>
      </c>
      <c r="F197" s="54" t="s">
        <v>769</v>
      </c>
      <c r="G197" s="55" t="s">
        <v>770</v>
      </c>
      <c r="H197" s="56">
        <v>0.15496050326578573</v>
      </c>
      <c r="I197" s="57">
        <v>0.13911790601249951</v>
      </c>
      <c r="J197" s="42">
        <v>0</v>
      </c>
      <c r="K197" s="43">
        <v>0</v>
      </c>
      <c r="L197" s="66">
        <v>5</v>
      </c>
      <c r="M197" s="51"/>
      <c r="O197" s="40"/>
      <c r="P197" s="40"/>
      <c r="Q197" s="40"/>
    </row>
    <row r="198" spans="2:17" ht="15" customHeight="1" x14ac:dyDescent="0.35">
      <c r="B198" s="19">
        <v>8</v>
      </c>
      <c r="C198" s="20" t="s">
        <v>771</v>
      </c>
      <c r="D198" s="21" t="s">
        <v>772</v>
      </c>
      <c r="E198" s="22" t="s">
        <v>57</v>
      </c>
      <c r="F198" s="23" t="s">
        <v>773</v>
      </c>
      <c r="G198" s="41" t="s">
        <v>774</v>
      </c>
      <c r="H198" s="42">
        <v>0</v>
      </c>
      <c r="I198" s="26">
        <v>0</v>
      </c>
      <c r="J198" s="42">
        <v>1.5994806671865189E-2</v>
      </c>
      <c r="K198" s="43">
        <v>1.5994806671865189E-2</v>
      </c>
      <c r="L198" s="66"/>
      <c r="M198" s="51"/>
      <c r="O198" s="40"/>
      <c r="P198" s="40"/>
      <c r="Q198" s="40"/>
    </row>
    <row r="199" spans="2:17" ht="15" customHeight="1" x14ac:dyDescent="0.35">
      <c r="B199" s="19">
        <v>8</v>
      </c>
      <c r="C199" s="20" t="s">
        <v>775</v>
      </c>
      <c r="D199" s="21" t="s">
        <v>776</v>
      </c>
      <c r="E199" s="22" t="s">
        <v>57</v>
      </c>
      <c r="F199" s="23" t="s">
        <v>777</v>
      </c>
      <c r="G199" s="41" t="s">
        <v>770</v>
      </c>
      <c r="H199" s="42">
        <v>1.5644758184688155E-2</v>
      </c>
      <c r="I199" s="26">
        <v>1.2021857525285689E-2</v>
      </c>
      <c r="J199" s="42">
        <v>0</v>
      </c>
      <c r="K199" s="43">
        <v>0</v>
      </c>
      <c r="L199" s="66"/>
      <c r="M199" s="51"/>
      <c r="O199" s="40"/>
      <c r="P199" s="40"/>
      <c r="Q199" s="40"/>
    </row>
    <row r="200" spans="2:17" ht="15" customHeight="1" x14ac:dyDescent="0.35">
      <c r="B200" s="12">
        <v>5</v>
      </c>
      <c r="C200" s="13" t="s">
        <v>778</v>
      </c>
      <c r="D200" s="13" t="s">
        <v>779</v>
      </c>
      <c r="E200" s="14" t="s">
        <v>666</v>
      </c>
      <c r="F200" s="15"/>
      <c r="G200" s="37"/>
      <c r="H200" s="38">
        <f t="shared" ref="H200:I200" si="19">SUM(H201:H206)</f>
        <v>1</v>
      </c>
      <c r="I200" s="18">
        <f t="shared" si="19"/>
        <v>1</v>
      </c>
      <c r="J200" s="38">
        <f t="shared" ref="J200:K200" si="20">SUM(J201:J206)</f>
        <v>1</v>
      </c>
      <c r="K200" s="39">
        <f t="shared" si="20"/>
        <v>1</v>
      </c>
      <c r="L200" s="66"/>
      <c r="M200" s="51"/>
      <c r="O200" s="40"/>
      <c r="P200" s="40"/>
      <c r="Q200" s="40"/>
    </row>
    <row r="201" spans="2:17" ht="15" customHeight="1" x14ac:dyDescent="0.35">
      <c r="B201" s="19">
        <v>8</v>
      </c>
      <c r="C201" s="20" t="s">
        <v>780</v>
      </c>
      <c r="D201" s="21" t="s">
        <v>781</v>
      </c>
      <c r="E201" s="22" t="s">
        <v>666</v>
      </c>
      <c r="F201" s="23" t="s">
        <v>782</v>
      </c>
      <c r="G201" s="41" t="s">
        <v>783</v>
      </c>
      <c r="H201" s="42">
        <v>1.917851032177938E-2</v>
      </c>
      <c r="I201" s="26">
        <v>3.2651181579968935E-2</v>
      </c>
      <c r="J201" s="42">
        <v>0</v>
      </c>
      <c r="K201" s="43">
        <v>0</v>
      </c>
      <c r="L201" s="66"/>
      <c r="M201" s="51"/>
      <c r="O201" s="40"/>
      <c r="P201" s="40"/>
      <c r="Q201" s="40"/>
    </row>
    <row r="202" spans="2:17" ht="15" customHeight="1" x14ac:dyDescent="0.35">
      <c r="B202" s="19">
        <v>8</v>
      </c>
      <c r="C202" s="20" t="s">
        <v>784</v>
      </c>
      <c r="D202" s="21" t="s">
        <v>785</v>
      </c>
      <c r="E202" s="22" t="s">
        <v>666</v>
      </c>
      <c r="F202" s="23" t="s">
        <v>786</v>
      </c>
      <c r="G202" s="41" t="s">
        <v>783</v>
      </c>
      <c r="H202" s="42">
        <v>8.5250654073754803E-2</v>
      </c>
      <c r="I202" s="26">
        <v>5.9963342308059463E-2</v>
      </c>
      <c r="J202" s="42">
        <v>0</v>
      </c>
      <c r="K202" s="43">
        <v>0</v>
      </c>
      <c r="L202" s="66"/>
      <c r="M202" s="51"/>
      <c r="O202" s="40"/>
      <c r="P202" s="40"/>
      <c r="Q202" s="40"/>
    </row>
    <row r="203" spans="2:17" ht="15" customHeight="1" x14ac:dyDescent="0.35">
      <c r="B203" s="19">
        <v>8</v>
      </c>
      <c r="C203" s="20" t="s">
        <v>787</v>
      </c>
      <c r="D203" s="21" t="s">
        <v>788</v>
      </c>
      <c r="E203" s="22" t="s">
        <v>666</v>
      </c>
      <c r="F203" s="23" t="s">
        <v>789</v>
      </c>
      <c r="G203" s="41" t="s">
        <v>783</v>
      </c>
      <c r="H203" s="42">
        <v>0.10784585234919383</v>
      </c>
      <c r="I203" s="26">
        <v>0.10663753480579796</v>
      </c>
      <c r="J203" s="42">
        <v>0.5985862900253911</v>
      </c>
      <c r="K203" s="43">
        <v>0.5985862900253911</v>
      </c>
      <c r="L203" s="66"/>
      <c r="M203" s="51"/>
      <c r="O203" s="40"/>
      <c r="P203" s="40"/>
      <c r="Q203" s="40"/>
    </row>
    <row r="204" spans="2:17" ht="15" customHeight="1" x14ac:dyDescent="0.35">
      <c r="B204" s="19">
        <v>8</v>
      </c>
      <c r="C204" s="20" t="s">
        <v>790</v>
      </c>
      <c r="D204" s="21" t="s">
        <v>791</v>
      </c>
      <c r="E204" s="22" t="s">
        <v>666</v>
      </c>
      <c r="F204" s="23" t="s">
        <v>792</v>
      </c>
      <c r="G204" s="41" t="s">
        <v>783</v>
      </c>
      <c r="H204" s="42">
        <v>0.49451228733563207</v>
      </c>
      <c r="I204" s="26">
        <v>0.44291345487842515</v>
      </c>
      <c r="J204" s="42">
        <v>0</v>
      </c>
      <c r="K204" s="43">
        <v>0</v>
      </c>
      <c r="L204" s="66"/>
      <c r="M204" s="51"/>
      <c r="O204" s="40"/>
      <c r="P204" s="40"/>
      <c r="Q204" s="40"/>
    </row>
    <row r="205" spans="2:17" ht="15" customHeight="1" x14ac:dyDescent="0.35">
      <c r="B205" s="19">
        <v>8</v>
      </c>
      <c r="C205" s="20" t="s">
        <v>793</v>
      </c>
      <c r="D205" s="21" t="s">
        <v>794</v>
      </c>
      <c r="E205" s="22" t="s">
        <v>666</v>
      </c>
      <c r="F205" s="23" t="s">
        <v>795</v>
      </c>
      <c r="G205" s="41" t="s">
        <v>783</v>
      </c>
      <c r="H205" s="42">
        <v>0.15185041073744468</v>
      </c>
      <c r="I205" s="26">
        <v>0.19663895228525624</v>
      </c>
      <c r="J205" s="42">
        <v>0.20013965929323094</v>
      </c>
      <c r="K205" s="43">
        <v>0.20013965929323094</v>
      </c>
      <c r="L205" s="66"/>
      <c r="M205" s="51"/>
      <c r="O205" s="40"/>
      <c r="P205" s="40"/>
      <c r="Q205" s="40"/>
    </row>
    <row r="206" spans="2:17" ht="15" customHeight="1" x14ac:dyDescent="0.35">
      <c r="B206" s="19">
        <v>8</v>
      </c>
      <c r="C206" s="20" t="s">
        <v>796</v>
      </c>
      <c r="D206" s="21" t="s">
        <v>797</v>
      </c>
      <c r="E206" s="22" t="s">
        <v>666</v>
      </c>
      <c r="F206" s="23" t="s">
        <v>798</v>
      </c>
      <c r="G206" s="41" t="s">
        <v>783</v>
      </c>
      <c r="H206" s="42">
        <v>0.14136228518219526</v>
      </c>
      <c r="I206" s="26">
        <v>0.16119553414249221</v>
      </c>
      <c r="J206" s="42">
        <v>0.20127405068137788</v>
      </c>
      <c r="K206" s="43">
        <v>0.20127405068137788</v>
      </c>
      <c r="L206" s="66"/>
      <c r="M206" s="51"/>
      <c r="O206" s="40"/>
      <c r="P206" s="40"/>
      <c r="Q206" s="40"/>
    </row>
    <row r="207" spans="2:17" ht="15" customHeight="1" x14ac:dyDescent="0.35">
      <c r="B207" s="12">
        <v>5</v>
      </c>
      <c r="C207" s="13" t="s">
        <v>799</v>
      </c>
      <c r="D207" s="13" t="s">
        <v>800</v>
      </c>
      <c r="E207" s="14" t="s">
        <v>666</v>
      </c>
      <c r="F207" s="15"/>
      <c r="G207" s="37"/>
      <c r="H207" s="38">
        <f>SUM(H208:H211)</f>
        <v>0.99999999999999989</v>
      </c>
      <c r="I207" s="18">
        <f>SUM(I208:I211)</f>
        <v>1</v>
      </c>
      <c r="J207" s="38">
        <f>SUM(J208:J211)</f>
        <v>1</v>
      </c>
      <c r="K207" s="39">
        <f>SUM(K208:K211)</f>
        <v>1</v>
      </c>
      <c r="L207" s="66"/>
      <c r="M207" s="51"/>
      <c r="O207" s="40"/>
      <c r="P207" s="40"/>
      <c r="Q207" s="40"/>
    </row>
    <row r="208" spans="2:17" ht="15" customHeight="1" x14ac:dyDescent="0.35">
      <c r="B208" s="19">
        <v>8</v>
      </c>
      <c r="C208" s="20" t="s">
        <v>801</v>
      </c>
      <c r="D208" s="21" t="s">
        <v>802</v>
      </c>
      <c r="E208" s="22" t="s">
        <v>666</v>
      </c>
      <c r="F208" s="23" t="s">
        <v>803</v>
      </c>
      <c r="G208" s="41" t="s">
        <v>804</v>
      </c>
      <c r="H208" s="42">
        <v>2.1193002860891728E-2</v>
      </c>
      <c r="I208" s="26">
        <v>2.8712840027791349E-2</v>
      </c>
      <c r="J208" s="42">
        <v>0</v>
      </c>
      <c r="K208" s="43">
        <v>0</v>
      </c>
      <c r="L208" s="66"/>
      <c r="M208" s="51"/>
      <c r="O208" s="40"/>
      <c r="P208" s="40"/>
      <c r="Q208" s="40"/>
    </row>
    <row r="209" spans="2:17" ht="15" customHeight="1" x14ac:dyDescent="0.35">
      <c r="B209" s="19">
        <v>8</v>
      </c>
      <c r="C209" s="20" t="s">
        <v>805</v>
      </c>
      <c r="D209" s="21" t="s">
        <v>806</v>
      </c>
      <c r="E209" s="22" t="s">
        <v>666</v>
      </c>
      <c r="F209" s="23" t="s">
        <v>807</v>
      </c>
      <c r="G209" s="41" t="s">
        <v>804</v>
      </c>
      <c r="H209" s="42">
        <v>0.39964893373003535</v>
      </c>
      <c r="I209" s="26">
        <v>0.40681964052711295</v>
      </c>
      <c r="J209" s="42">
        <v>4.0131275508572588E-2</v>
      </c>
      <c r="K209" s="43">
        <v>4.0131275508572588E-2</v>
      </c>
      <c r="L209" s="66"/>
      <c r="M209" s="51"/>
      <c r="O209" s="40"/>
      <c r="P209" s="40"/>
      <c r="Q209" s="40"/>
    </row>
    <row r="210" spans="2:17" ht="15" customHeight="1" x14ac:dyDescent="0.35">
      <c r="B210" s="19">
        <v>8</v>
      </c>
      <c r="C210" s="20" t="s">
        <v>808</v>
      </c>
      <c r="D210" s="21" t="s">
        <v>809</v>
      </c>
      <c r="E210" s="22" t="s">
        <v>666</v>
      </c>
      <c r="F210" s="23" t="s">
        <v>810</v>
      </c>
      <c r="G210" s="41" t="s">
        <v>804</v>
      </c>
      <c r="H210" s="42">
        <v>0.46592674013889068</v>
      </c>
      <c r="I210" s="26">
        <v>0.46861988880043387</v>
      </c>
      <c r="J210" s="42">
        <v>0.79680962402709854</v>
      </c>
      <c r="K210" s="43">
        <v>0.79680962402709854</v>
      </c>
      <c r="L210" s="66"/>
      <c r="M210" s="51"/>
      <c r="O210" s="40"/>
      <c r="P210" s="40"/>
      <c r="Q210" s="40"/>
    </row>
    <row r="211" spans="2:17" ht="15" customHeight="1" thickBot="1" x14ac:dyDescent="0.4">
      <c r="B211" s="28">
        <v>8</v>
      </c>
      <c r="C211" s="29" t="s">
        <v>811</v>
      </c>
      <c r="D211" s="30" t="s">
        <v>812</v>
      </c>
      <c r="E211" s="31" t="s">
        <v>666</v>
      </c>
      <c r="F211" s="32" t="s">
        <v>813</v>
      </c>
      <c r="G211" s="47" t="s">
        <v>804</v>
      </c>
      <c r="H211" s="48">
        <v>0.11323132327018218</v>
      </c>
      <c r="I211" s="35">
        <v>9.5847630644661855E-2</v>
      </c>
      <c r="J211" s="48">
        <v>0.16305910046432892</v>
      </c>
      <c r="K211" s="49">
        <v>0.16305910046432892</v>
      </c>
      <c r="L211" s="66"/>
      <c r="M211" s="51"/>
      <c r="O211" s="40"/>
      <c r="P211" s="40"/>
      <c r="Q211" s="40"/>
    </row>
  </sheetData>
  <pageMargins left="0.7" right="0.7" top="0.75" bottom="0.75" header="0.3" footer="0.3"/>
  <pageSetup paperSize="9" orientation="portrait" r:id="rId1"/>
  <ignoredErrors>
    <ignoredError sqref="B1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100% Importado</vt:lpstr>
      <vt:lpstr>Importado &amp; Nacional</vt:lpstr>
    </vt:vector>
  </TitlesOfParts>
  <Company>BANGUAT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Lourdes del Rosario Arriaza Lechuga</dc:creator>
  <cp:lastModifiedBy>Ernestina Brigida Perez Ardiles</cp:lastModifiedBy>
  <dcterms:created xsi:type="dcterms:W3CDTF">2025-05-05T23:54:14Z</dcterms:created>
  <dcterms:modified xsi:type="dcterms:W3CDTF">2025-09-30T23:32:26Z</dcterms:modified>
</cp:coreProperties>
</file>