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143" documentId="8_{3E09359E-970B-4923-B6FA-EEDFF61D4E47}" xr6:coauthVersionLast="47" xr6:coauthVersionMax="47" xr10:uidLastSave="{1EB5B8F1-231B-4AAB-9BDF-56208CD2B26B}"/>
  <bookViews>
    <workbookView xWindow="19090" yWindow="-110" windowWidth="19420" windowHeight="10300" xr2:uid="{75B7F2AE-BD6D-436A-8703-5338FBF91DD7}"/>
  </bookViews>
  <sheets>
    <sheet name="estructura_IPP" sheetId="1" r:id="rId1"/>
  </sheets>
  <definedNames>
    <definedName name="_xlnm._FilterDatabase" localSheetId="0" hidden="1">estructura_IPP!$A$1:$E$223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0" i="1" l="1"/>
  <c r="E222" i="1"/>
  <c r="E211" i="1"/>
  <c r="E210" i="1" s="1"/>
  <c r="E208" i="1"/>
  <c r="E205" i="1"/>
  <c r="E204" i="1" s="1"/>
  <c r="E195" i="1"/>
  <c r="E199" i="1"/>
  <c r="E197" i="1"/>
  <c r="E155" i="1"/>
  <c r="E135" i="1"/>
  <c r="E146" i="1" l="1"/>
  <c r="E141" i="1"/>
  <c r="E125" i="1"/>
  <c r="E127" i="1"/>
  <c r="E118" i="1"/>
  <c r="E122" i="1"/>
  <c r="E90" i="1"/>
  <c r="E94" i="1"/>
  <c r="E85" i="1"/>
  <c r="E82" i="1"/>
  <c r="E14" i="1"/>
  <c r="E3" i="1" s="1"/>
  <c r="E76" i="1"/>
  <c r="E7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tc={1DC9B7CA-4E4A-4ABC-852F-F9E6E65385E3}</author>
  </authors>
  <commentList>
    <comment ref="D57" authorId="0" shapeId="0" xr:uid="{1DC9B7CA-4E4A-4ABC-852F-F9E6E65385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sharedStrings.xml><?xml version="1.0" encoding="utf-8"?>
<sst xmlns="http://schemas.openxmlformats.org/spreadsheetml/2006/main" count="638" uniqueCount="623">
  <si>
    <t>codigo</t>
  </si>
  <si>
    <t>nivel</t>
  </si>
  <si>
    <t>Codigo_CIIU_CCP</t>
  </si>
  <si>
    <t>Nombre</t>
  </si>
  <si>
    <t>Ponderacion</t>
  </si>
  <si>
    <t>C</t>
  </si>
  <si>
    <t>T</t>
  </si>
  <si>
    <t>Industrias manufactureras</t>
  </si>
  <si>
    <t>C10</t>
  </si>
  <si>
    <t>ELABORACIÓN DE PRODUCTOS ALIMENTICIOS</t>
  </si>
  <si>
    <t>C1010</t>
  </si>
  <si>
    <t>Elaboración y conservación de carne de ganado bovino</t>
  </si>
  <si>
    <t>C1010.21111</t>
  </si>
  <si>
    <t>21111</t>
  </si>
  <si>
    <t>Carne de ganado bovino, fresca o refrigerada</t>
  </si>
  <si>
    <t>1010</t>
  </si>
  <si>
    <t>Elaboración y conservación de carne de ganado porcino</t>
  </si>
  <si>
    <t>C1010.21113</t>
  </si>
  <si>
    <t>21113</t>
  </si>
  <si>
    <t>Carne de cerdo, fresca o refrigerada</t>
  </si>
  <si>
    <t>C1010.21119</t>
  </si>
  <si>
    <t>21119</t>
  </si>
  <si>
    <t>Otras carnes de mamíferos, fresca o refrigerada</t>
  </si>
  <si>
    <t>Elaboración y conservación de carne de aves de corral</t>
  </si>
  <si>
    <t>C1010.21121</t>
  </si>
  <si>
    <t>21121</t>
  </si>
  <si>
    <t>Carne de pollo, fresca o refrigerada</t>
  </si>
  <si>
    <t>C1010.21160</t>
  </si>
  <si>
    <t>Despojos comestibles de aves de corral, frescos, refrigerados o congelados</t>
  </si>
  <si>
    <t>Elaboración de productos cárnicos y elaboración de otros productos de origen animal n.c.p.</t>
  </si>
  <si>
    <t>C1010.21174</t>
  </si>
  <si>
    <t>21174</t>
  </si>
  <si>
    <t>Embutidos y productos similares de carne, despojos o sangre</t>
  </si>
  <si>
    <t>C1030</t>
  </si>
  <si>
    <t>1030</t>
  </si>
  <si>
    <t>Elaboración y conservación de frutas, legumbres y hortalizas</t>
  </si>
  <si>
    <t>C1030.21431</t>
  </si>
  <si>
    <t>21431</t>
  </si>
  <si>
    <t>Jugo de naranja</t>
  </si>
  <si>
    <t>C1030.21435</t>
  </si>
  <si>
    <t>21435</t>
  </si>
  <si>
    <t>Jugo de manzana</t>
  </si>
  <si>
    <t>C1030.21439</t>
  </si>
  <si>
    <t>21439</t>
  </si>
  <si>
    <t>Otros jugos de frutas, n.c.p.</t>
  </si>
  <si>
    <t>C1030.21311</t>
  </si>
  <si>
    <t>Frijoles estén o no desenvainados, cocidos en agua o vapor, Congelados.</t>
  </si>
  <si>
    <t>C1030.21395</t>
  </si>
  <si>
    <t>Frijoles, preparados o conservados, sin congelar. (excepto en vinagre o ácido acético).</t>
  </si>
  <si>
    <t>C1030.21399</t>
  </si>
  <si>
    <t>Otros vegetales y legumbres, conservados por algo que no sea vinagre, ácido acético o azúcar, n.c.p.</t>
  </si>
  <si>
    <t>C1030.21491</t>
  </si>
  <si>
    <t>21491</t>
  </si>
  <si>
    <t>Piñas, preparadas o conservados</t>
  </si>
  <si>
    <t>C1030.21492</t>
  </si>
  <si>
    <t>21492</t>
  </si>
  <si>
    <t>Melocotones, preparados o conservados</t>
  </si>
  <si>
    <t>C1030.21493</t>
  </si>
  <si>
    <t>21493</t>
  </si>
  <si>
    <t>Otras frutas, sin cocer o cocidos, congelados</t>
  </si>
  <si>
    <t>C1030.21494</t>
  </si>
  <si>
    <t>21494</t>
  </si>
  <si>
    <t>Compotas, jaleas y mermeladas, purés y pastas de frutas u otros frutos</t>
  </si>
  <si>
    <t>C1030.21495</t>
  </si>
  <si>
    <t>21495</t>
  </si>
  <si>
    <t>Mantequilla de maní, pastas de almendra y otras mezclas de nueces y semillas tosdados, salados o preparados de otro modo n.c.p</t>
  </si>
  <si>
    <t>C1030.21499</t>
  </si>
  <si>
    <t>21499</t>
  </si>
  <si>
    <t>Otras preparaciones y conservas de frutas y nueces, n.c.p.</t>
  </si>
  <si>
    <t>C1104.24490A</t>
  </si>
  <si>
    <t>24490A</t>
  </si>
  <si>
    <t>Otras bebidas calóricas no alcohólicas (Bebidas gaseosas, jugos y refrescos artificiales, bebidas deportivas, agua mineral con sabor)</t>
  </si>
  <si>
    <t>24410</t>
  </si>
  <si>
    <t>Aguas embotelladas, no endulzadas ni saborizadas (Agua pura, agua con gas o mineral sin sabor, hielo)</t>
  </si>
  <si>
    <t>C1040</t>
  </si>
  <si>
    <t>1040</t>
  </si>
  <si>
    <t>Elaboración de aceites y grasas de origen vegetal y animal</t>
  </si>
  <si>
    <t>C1040.21535</t>
  </si>
  <si>
    <t>21535</t>
  </si>
  <si>
    <t>Aceite de palma, crudo</t>
  </si>
  <si>
    <t>C1040.21539</t>
  </si>
  <si>
    <t>21539</t>
  </si>
  <si>
    <t>Los demás aceites vegetales, crudo, n.c.p.</t>
  </si>
  <si>
    <t>C1040.21545</t>
  </si>
  <si>
    <t>21545</t>
  </si>
  <si>
    <t>Aceite de palma, refinado</t>
  </si>
  <si>
    <t>C1040.21549</t>
  </si>
  <si>
    <t>21549</t>
  </si>
  <si>
    <t>Otros aceites vegetales, refinados, n.c.p.</t>
  </si>
  <si>
    <t>C1050</t>
  </si>
  <si>
    <t>1050</t>
  </si>
  <si>
    <t>Elaboración de productos lácteos</t>
  </si>
  <si>
    <t>C1050.22251</t>
  </si>
  <si>
    <t>22251</t>
  </si>
  <si>
    <t>Quesos de leche de bovino, frescos o procesados</t>
  </si>
  <si>
    <t>C1050.22260</t>
  </si>
  <si>
    <t>22260</t>
  </si>
  <si>
    <t>Caseina</t>
  </si>
  <si>
    <t>C1050.22270</t>
  </si>
  <si>
    <t>22270</t>
  </si>
  <si>
    <t>Helados y productos similares</t>
  </si>
  <si>
    <t>C1050.22290</t>
  </si>
  <si>
    <t>22290</t>
  </si>
  <si>
    <t>Productos lácteos n.c.p.</t>
  </si>
  <si>
    <t>C1050.22110</t>
  </si>
  <si>
    <t>22110</t>
  </si>
  <si>
    <t>Leche liquida procesada</t>
  </si>
  <si>
    <t>C1050.22120</t>
  </si>
  <si>
    <t>22120</t>
  </si>
  <si>
    <t>Crema fresca</t>
  </si>
  <si>
    <t>C1061</t>
  </si>
  <si>
    <t>1061</t>
  </si>
  <si>
    <t>Elaboración de harina de trigo</t>
  </si>
  <si>
    <t>C1061.23110</t>
  </si>
  <si>
    <t>23110</t>
  </si>
  <si>
    <t xml:space="preserve">Harina de trigo o de morcajo (tranquillón)                                                                                                    </t>
  </si>
  <si>
    <t>Beneficios de arroz</t>
  </si>
  <si>
    <t>C1061.23161</t>
  </si>
  <si>
    <t>23161</t>
  </si>
  <si>
    <t>Arroz, semi- o totalmente molido</t>
  </si>
  <si>
    <t>C1061.23140</t>
  </si>
  <si>
    <t>23140B</t>
  </si>
  <si>
    <t>Otros productos de cereales de arroz</t>
  </si>
  <si>
    <t>Elaboración de otros productos de molinería n.c.p. por cuenta propia</t>
  </si>
  <si>
    <t>C1061.23130</t>
  </si>
  <si>
    <t>23130</t>
  </si>
  <si>
    <t>Grañones (Avena), sémola y pellets de cereales excepto trigo y arroz</t>
  </si>
  <si>
    <t>23140A</t>
  </si>
  <si>
    <t>Otros productos de cereales incluyendo hojuelas de maíz</t>
  </si>
  <si>
    <t>C1071</t>
  </si>
  <si>
    <t>1071</t>
  </si>
  <si>
    <t>Elaboración de productos de panadería</t>
  </si>
  <si>
    <t>C1071.23490A</t>
  </si>
  <si>
    <t>23490A</t>
  </si>
  <si>
    <t>Pan y productos de panadería</t>
  </si>
  <si>
    <t>C1071.23420</t>
  </si>
  <si>
    <t>23420</t>
  </si>
  <si>
    <t>Pan de especias, galletas dulces, obleas y barquillos</t>
  </si>
  <si>
    <t>C1071.23430</t>
  </si>
  <si>
    <t>23430</t>
  </si>
  <si>
    <t>Los demás productos de panadería y repostería n.c.p. incluso tortillas de harina de trigo (Pasteles)</t>
  </si>
  <si>
    <t>Elaboración de tortillas de maíz</t>
  </si>
  <si>
    <t>C1071.23490B</t>
  </si>
  <si>
    <t>23490B</t>
  </si>
  <si>
    <t>C1072</t>
  </si>
  <si>
    <t>1072</t>
  </si>
  <si>
    <t>Elaboración de azúcar</t>
  </si>
  <si>
    <t>C1072.23511</t>
  </si>
  <si>
    <t>23511</t>
  </si>
  <si>
    <t>Azúcar de caña en bruto (sin refinar) sin adición de aromatizantes ni colorantes</t>
  </si>
  <si>
    <t>C1072.23520</t>
  </si>
  <si>
    <t>23520</t>
  </si>
  <si>
    <t>Azúcar refinada</t>
  </si>
  <si>
    <t>C1073</t>
  </si>
  <si>
    <t>1073</t>
  </si>
  <si>
    <t>Elaboración de cacao y chocolate y de productos de confitería</t>
  </si>
  <si>
    <t>C1073.23650</t>
  </si>
  <si>
    <t>23650</t>
  </si>
  <si>
    <t>Chocolate y demás preparaciones alimenticias que contengan cacao (excepto cacao en polvo edulcorado) a granel</t>
  </si>
  <si>
    <t>C1073.23660</t>
  </si>
  <si>
    <t>23660</t>
  </si>
  <si>
    <t>Chocolate y demás preparaciones alimenticias que contengan cacao (excepto cacao en polvo edulcorado), en bloques, tabletas, o barras excepto a granel</t>
  </si>
  <si>
    <t>C1073.23670</t>
  </si>
  <si>
    <t>23670</t>
  </si>
  <si>
    <t>Artículos de confitería preparados con azúcar (incluyendo chocolate blanco) que no contengan cacao; vegetales, frutas, frutos secos, cascara de frutas y otras partes de plantas, conservadas por azúcar (Dulces).</t>
  </si>
  <si>
    <t>C1074</t>
  </si>
  <si>
    <t>1074</t>
  </si>
  <si>
    <t>Elaboración de macarrones, fideos, alcuzcuz y productos farináceos similares</t>
  </si>
  <si>
    <t>C1074.23710</t>
  </si>
  <si>
    <t>23710</t>
  </si>
  <si>
    <t>Pastas alimenticias sin cocer, rellenar ni preparar de otra forma</t>
  </si>
  <si>
    <t>C1079</t>
  </si>
  <si>
    <t>1079</t>
  </si>
  <si>
    <t xml:space="preserve">Elaboración de otros productos alimenticios n.c.p  incluyendo comidas y platos preparados </t>
  </si>
  <si>
    <t>C1079.23911</t>
  </si>
  <si>
    <t>23911</t>
  </si>
  <si>
    <t>Café, descafeinado o tostado</t>
  </si>
  <si>
    <t>C1079.23912</t>
  </si>
  <si>
    <t>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</si>
  <si>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</si>
  <si>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C1079.23921</t>
  </si>
  <si>
    <t>23921</t>
  </si>
  <si>
    <t>Pimienta procesada</t>
  </si>
  <si>
    <t>C1079.23992</t>
  </si>
  <si>
    <t>23992</t>
  </si>
  <si>
    <t>Sopas y caldos y preparaciones de los mismos</t>
  </si>
  <si>
    <t>C1079.23995</t>
  </si>
  <si>
    <t>23995</t>
  </si>
  <si>
    <t>Salsas; condimentos mixtos; harinas de mostaza y sustancias en polvo; mostaza preparada</t>
  </si>
  <si>
    <t>C1079.23996</t>
  </si>
  <si>
    <t>23996</t>
  </si>
  <si>
    <t>Levaduras (activas o inactivas); otros microorganismos unicelulares, muertos; polvos de hornear preparados</t>
  </si>
  <si>
    <t>C1079.23999</t>
  </si>
  <si>
    <t>23999</t>
  </si>
  <si>
    <t>Otros productos alimenticios n.c.p.</t>
  </si>
  <si>
    <t>C1080</t>
  </si>
  <si>
    <t>1080</t>
  </si>
  <si>
    <t>Elaboración de alimentos preparados para animales</t>
  </si>
  <si>
    <t>C1080.23311</t>
  </si>
  <si>
    <t>23311</t>
  </si>
  <si>
    <t>Alimentos para perros o gatos, acondicionados para la venta al por menor (Concentrados).</t>
  </si>
  <si>
    <t>C1080.23319</t>
  </si>
  <si>
    <t>23319</t>
  </si>
  <si>
    <t xml:space="preserve">Alimentos preparados para otros animales y premezclas para la fabricación de alimentos para animales (Concentrados). </t>
  </si>
  <si>
    <t>C11</t>
  </si>
  <si>
    <t>11</t>
  </si>
  <si>
    <t>ELABORACIÓN DE BEBIDAS</t>
  </si>
  <si>
    <t>C1103</t>
  </si>
  <si>
    <t>1103</t>
  </si>
  <si>
    <t>Elaboración de bebidas malteadas y de malta</t>
  </si>
  <si>
    <t>C1103.24310</t>
  </si>
  <si>
    <t>24310</t>
  </si>
  <si>
    <t>Cerveza de malta (con o sin alcohol)</t>
  </si>
  <si>
    <t>C1104</t>
  </si>
  <si>
    <t>1104</t>
  </si>
  <si>
    <t>Elaboración de bebidas no alcohólicas; producción de aguas minerales y otras aguas embotelladas</t>
  </si>
  <si>
    <t>C1104.24490B</t>
  </si>
  <si>
    <t>24490B</t>
  </si>
  <si>
    <t>Otras bebidas calóricas no alcohólicas (Bebidas hidratantes y bebidas energizantes)</t>
  </si>
  <si>
    <t>C1104.24490C</t>
  </si>
  <si>
    <t>24490C</t>
  </si>
  <si>
    <t>Refrescos artificiales</t>
  </si>
  <si>
    <t>C13</t>
  </si>
  <si>
    <t>FABRICACIÓN DE PRODUCTOS TEXTILES</t>
  </si>
  <si>
    <t>C1311</t>
  </si>
  <si>
    <t>1311</t>
  </si>
  <si>
    <t>Hilatura, tejedura y acabado de productos textiles</t>
  </si>
  <si>
    <t>C1311.26360</t>
  </si>
  <si>
    <t>26360</t>
  </si>
  <si>
    <t>Hilados de algodón (excepto hilo de coser), que contiene 85% o más en peso de algodón</t>
  </si>
  <si>
    <t>C1311.26420</t>
  </si>
  <si>
    <t>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</si>
  <si>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</si>
  <si>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26610</t>
  </si>
  <si>
    <t>Tejidos de algodón con un contenido 85% o más en peso de algodón, de peso no superior 200 g/m2</t>
  </si>
  <si>
    <t>26690</t>
  </si>
  <si>
    <t>Otros tejidos de algodón</t>
  </si>
  <si>
    <t>26720</t>
  </si>
  <si>
    <t>Otros tejidos de hilados de filamentos sintéticos o artificiales, que contienen 85% o más en peso de tales filamentos</t>
  </si>
  <si>
    <t>26730</t>
  </si>
  <si>
    <t>Otros tejidos de hilados de filamentos artificiales o sintéticos</t>
  </si>
  <si>
    <t>Fabricación de otros productos textiles</t>
  </si>
  <si>
    <t>Ropa de cama, mantelería, toallas de baño y paños de cocina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</si>
  <si>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</si>
  <si>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</si>
  <si>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</si>
  <si>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C14</t>
  </si>
  <si>
    <t>FABRICACIÓN DE PRENDAS DE VESTIR</t>
  </si>
  <si>
    <t>C1410</t>
  </si>
  <si>
    <t>1410</t>
  </si>
  <si>
    <t>Fabricación de prendas de vestir</t>
  </si>
  <si>
    <t>C1410.28221</t>
  </si>
  <si>
    <t>28221</t>
  </si>
  <si>
    <t>Trajes, abrigos, chaquetas, pantalones largos, pantalones cortos y artículos análogos para hombres o niños, de punto o ganchillo</t>
  </si>
  <si>
    <t>C1410.28222</t>
  </si>
  <si>
    <t>28222</t>
  </si>
  <si>
    <t>Camisas, calzoncillos (ropa interior), pijamas, batas y artículos similares para hombres o niños, de punto o ganchillo</t>
  </si>
  <si>
    <t>C1410.28224</t>
  </si>
  <si>
    <t>28224</t>
  </si>
  <si>
    <t>Blusas, camisas (Incluso los Güipiles típicos), enaguas, bragas, camisones, batas y artículos similares para mujeres o niñas, de punto o ganchillo</t>
  </si>
  <si>
    <t>C1410.28225</t>
  </si>
  <si>
    <t>28225</t>
  </si>
  <si>
    <t>Camisetas y T-shirts (playeras) de todo tipo, de punto o ganchillo</t>
  </si>
  <si>
    <t>C1410.28231</t>
  </si>
  <si>
    <t>28231</t>
  </si>
  <si>
    <t>Trajes, abrigos, chaquetas, pantalones largos, pantalones cortos y artículos similares para hombres o niños, de tejidos que no sean de punto o ganchillo</t>
  </si>
  <si>
    <t>C1410.28232</t>
  </si>
  <si>
    <t>28232</t>
  </si>
  <si>
    <t>Camisas, camisetas, calzoncillos, pijamas, batas y artículos análogos para hombres o niños, de tejidos que no sean de punto o ganchillo</t>
  </si>
  <si>
    <t>C1410.28233</t>
  </si>
  <si>
    <t>28233</t>
  </si>
  <si>
    <t>Trajes sastre, abrigos, chaquetas, vestidos, faldas, pantalones largos, pantalones cortos y artículos análogos para mujeres o niñas, de tejidos que no sean de punto o ganchillo</t>
  </si>
  <si>
    <t>C1410.28234</t>
  </si>
  <si>
    <t>28234</t>
  </si>
  <si>
    <t>Blusas, camisas, camisetas, enaguas, bragas, camisones, batas y artículos análogos para mujeres o niñas, de tejidos que no sean de punto o ganchillo</t>
  </si>
  <si>
    <t>C1410.88221</t>
  </si>
  <si>
    <t>88221</t>
  </si>
  <si>
    <t>Servicios de fabricación de prendas de vestir, excepto prendas de piel</t>
  </si>
  <si>
    <t>C1410.88223</t>
  </si>
  <si>
    <t>88223</t>
  </si>
  <si>
    <t>Servicios de fabricación de prendas de vestir de punto y ganchillo</t>
  </si>
  <si>
    <t>C15</t>
  </si>
  <si>
    <t>FABRICACIÓN DE CUEROS Y PRODUCTOS CONEXOS</t>
  </si>
  <si>
    <t>C1520</t>
  </si>
  <si>
    <t>1520</t>
  </si>
  <si>
    <t>Fabricación de calzado de cualquier material y de cualquier uso; partes de calzado de cuero</t>
  </si>
  <si>
    <t>C1520.29320</t>
  </si>
  <si>
    <t>29320</t>
  </si>
  <si>
    <t>Calzado con suela y parte superior de caucho o de plástico, excepto el impermeable y el calzado deportivo</t>
  </si>
  <si>
    <t>C1520.29330</t>
  </si>
  <si>
    <t>29330</t>
  </si>
  <si>
    <t>Calzado con la parte superior de cuero, excepto el calzado deportivo, calzado con puntera metálica de protección y calzado especial diverso</t>
  </si>
  <si>
    <t>C1520.29490</t>
  </si>
  <si>
    <t>29490</t>
  </si>
  <si>
    <t>Otro calzado de deporte, excepto las botas de patinaje</t>
  </si>
  <si>
    <t>C16</t>
  </si>
  <si>
    <t>PRODUCCIÓN DE MADERA Y FABRICACIÓN DE PRODUCTOS DE MADERA Y CORCHO, EXCEPTO MUEBLES; FABRICACIÓN DE ARTÍCULOS DE PAJA Y
DE MATERIALES TRENZABLES</t>
  </si>
  <si>
    <t>C1610</t>
  </si>
  <si>
    <t>1610</t>
  </si>
  <si>
    <t>Aserrado y acepilladura de madera</t>
  </si>
  <si>
    <t>C1610.31100</t>
  </si>
  <si>
    <t>31100</t>
  </si>
  <si>
    <t>Madera aserrada o desbastada longitudinalmente, cortadas o desenrolladas, de un espesor superior a 6 mm, traviesas de ferrocarril o tranvía (durmientes) de madera sin impregnar</t>
  </si>
  <si>
    <t>C1610.31210</t>
  </si>
  <si>
    <t>31210</t>
  </si>
  <si>
    <t>Madera con librado continuo a lo largo de cualquiera de sus bordes o caras (incluidas las tablillas y frisos para parqués, sin ensamblar, listones y molduras)</t>
  </si>
  <si>
    <t>C1610.31310</t>
  </si>
  <si>
    <t>31310</t>
  </si>
  <si>
    <t>Madera sin elaborar, tratada con pintura colorantes, creosota u otros preservativos</t>
  </si>
  <si>
    <t>C1621</t>
  </si>
  <si>
    <t>1621</t>
  </si>
  <si>
    <t>Fabricación de productos de madera, productos de corcho, paja y materiales trenzables</t>
  </si>
  <si>
    <t>C1621.31420</t>
  </si>
  <si>
    <t>Las demás madera contrachapada, madera chapada y madera estratificada similar, con excepción de bambú</t>
  </si>
  <si>
    <t>C1621.31430</t>
  </si>
  <si>
    <t>31430</t>
  </si>
  <si>
    <t>Tableros de partículas (aglomerados) y Tableros similares de madera u otras materias leñosas</t>
  </si>
  <si>
    <t>C1621.31440</t>
  </si>
  <si>
    <t>31440</t>
  </si>
  <si>
    <t>Tableros de fibra de madera u otros materiales leñosos</t>
  </si>
  <si>
    <t>C1622.31600</t>
  </si>
  <si>
    <t>31600</t>
  </si>
  <si>
    <t>Obras y piezas de carpintería para edificios y construcción (incluso tableros de madera celular, tableros armados para pisos de parqué, tablillas y ripias)</t>
  </si>
  <si>
    <t>C17</t>
  </si>
  <si>
    <t>FABRICACIÓN DE PAPEL Y DE PRODUCTOS DE PAPEL</t>
  </si>
  <si>
    <t>Fabricación de papel y productos de papel</t>
  </si>
  <si>
    <t>C1702.32153</t>
  </si>
  <si>
    <t>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</si>
  <si>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</si>
  <si>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C1709.32193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</si>
  <si>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</si>
  <si>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</si>
  <si>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C1709.32199</t>
  </si>
  <si>
    <t>32199</t>
  </si>
  <si>
    <t>Los demás artículos de papel n.c.p.</t>
  </si>
  <si>
    <t>C1709.32700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</si>
  <si>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</si>
  <si>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C18</t>
  </si>
  <si>
    <t>IMPRESIÓN Y REPRODUCCIÓN DE GRABACIONES</t>
  </si>
  <si>
    <t>Impresión y actividades de servicios relacionados con la impresión y reproducción de grabaciones.</t>
  </si>
  <si>
    <t>C1811.32690</t>
  </si>
  <si>
    <t>C20</t>
  </si>
  <si>
    <t>FABRICACIÓN DE SUBSTANCIAS Y PRODUCTOS QUÍMICOS</t>
  </si>
  <si>
    <t>C2011</t>
  </si>
  <si>
    <t>2011</t>
  </si>
  <si>
    <t>C2011.24110</t>
  </si>
  <si>
    <t>24110</t>
  </si>
  <si>
    <t>Alcohol etílico sin desnaturalizar con grado alcohólico volumétrico de 80% o más</t>
  </si>
  <si>
    <t>C2012.34641</t>
  </si>
  <si>
    <t>34641</t>
  </si>
  <si>
    <t>Fertilizantes minerales que contienen tres nutrientes: nitrógeno, fosfatos y potasio</t>
  </si>
  <si>
    <t>C2012.34644</t>
  </si>
  <si>
    <t>Otros fertilizantes fosfatados, n.c.p.</t>
  </si>
  <si>
    <t>C2012.34649</t>
  </si>
  <si>
    <t>34649</t>
  </si>
  <si>
    <t>Otros fertilizantes minerales o químicos que contienen al menos dos nutrientes (nitrógeno, fosfato, potasio), n.c.p.</t>
  </si>
  <si>
    <t>C2012.34659</t>
  </si>
  <si>
    <t>34659</t>
  </si>
  <si>
    <t>Fertilizantes n.c.p.</t>
  </si>
  <si>
    <t>C2021.34661</t>
  </si>
  <si>
    <t>34661</t>
  </si>
  <si>
    <t>Insecticidas</t>
  </si>
  <si>
    <t>C2021.34663</t>
  </si>
  <si>
    <t>34663</t>
  </si>
  <si>
    <t>Herbicidas, inhibidores de germinación y reguladores del crecimiento de las plantas</t>
  </si>
  <si>
    <t>C2022</t>
  </si>
  <si>
    <t>2022</t>
  </si>
  <si>
    <t>C2022.35110</t>
  </si>
  <si>
    <t>35110</t>
  </si>
  <si>
    <t>Pinturas y barnices y productos relacionados</t>
  </si>
  <si>
    <t>C2023</t>
  </si>
  <si>
    <t>2023</t>
  </si>
  <si>
    <t>C2023.35321</t>
  </si>
  <si>
    <t>35321</t>
  </si>
  <si>
    <t>Jabón, productos orgánicos tensoactivos y preparados para usar como jabón, papel, guata, fieltro y telas sin tejer, impregnados, recubiertos o revestidos de jabón o detergente</t>
  </si>
  <si>
    <t>C2023.35322</t>
  </si>
  <si>
    <t>35322</t>
  </si>
  <si>
    <t>Detergentes y preparaciones para lavar</t>
  </si>
  <si>
    <t>C2023.35323</t>
  </si>
  <si>
    <t>35323</t>
  </si>
  <si>
    <t>Perfumes y preparaciones de tocador</t>
  </si>
  <si>
    <t>C2011.34210</t>
  </si>
  <si>
    <t>34210</t>
  </si>
  <si>
    <t>Hidrógeno, nitrógeno, oxígeno, dióxido de carbono y gases nobles, compuestos oxigenados inorgánicos de elementos no metálicos n.c.p.</t>
  </si>
  <si>
    <t>C2011.34240</t>
  </si>
  <si>
    <t>34240</t>
  </si>
  <si>
    <t>Fosfatos de triamonio, sus sales y peroxisales de ácidos inorgánicos y metales n.c.p.</t>
  </si>
  <si>
    <t>C2011.34310</t>
  </si>
  <si>
    <t>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</si>
  <si>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</si>
  <si>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C2011.34340</t>
  </si>
  <si>
    <t>34340</t>
  </si>
  <si>
    <t>Materias colorantes n.c.p.; productos inorgánicos de los tipos utilizados como luminóforos</t>
  </si>
  <si>
    <t>C2029.35420</t>
  </si>
  <si>
    <t>35420</t>
  </si>
  <si>
    <t>Pegamentos y gelatina, peptonas y sus derivados y productos semejantes; caseinatos y otros derivados de la caseína; albuminatos y otros derivados de las albúminas</t>
  </si>
  <si>
    <t>C2029.35450</t>
  </si>
  <si>
    <t>35450</t>
  </si>
  <si>
    <t>Explosivos preparados, mechas de seguridad, cordones detonantes, fulminantes o detonadores, equipos de encendido, detonadores eléctricos (pólvora)</t>
  </si>
  <si>
    <t>C2029.35460</t>
  </si>
  <si>
    <t>35460</t>
  </si>
  <si>
    <t>Artículos pirotécnicos</t>
  </si>
  <si>
    <t>C2029.35490</t>
  </si>
  <si>
    <t>35490</t>
  </si>
  <si>
    <t>Otros productos químicos n.c.p.</t>
  </si>
  <si>
    <t>C2029.38998</t>
  </si>
  <si>
    <t>38998</t>
  </si>
  <si>
    <t xml:space="preserve">Fósforos o cerillas </t>
  </si>
  <si>
    <t>C21</t>
  </si>
  <si>
    <t>FABRICACIÓN DE PRODUCTOS FARMACÉUTICOS, SUSTANCIAS QUÍMICAS MEDICINALES Y PRODUCTOS BOTÁNICOS DE USO FARMACÉUTICO</t>
  </si>
  <si>
    <t>C2100</t>
  </si>
  <si>
    <t>2100</t>
  </si>
  <si>
    <t>Fabricación de productos farmacéuticos, sustancias químicas medicinales y productos botánicos de uso farmacéutico</t>
  </si>
  <si>
    <t>C2100.35260</t>
  </si>
  <si>
    <t>35260</t>
  </si>
  <si>
    <t>Medicamentos, para usos terapéuticos o profilácticos</t>
  </si>
  <si>
    <t>C2100.35270</t>
  </si>
  <si>
    <t>35270</t>
  </si>
  <si>
    <t>Otros productos farmacéuticos</t>
  </si>
  <si>
    <t>C22</t>
  </si>
  <si>
    <t>FABRICACIÓN DE PRODUCTOS DE CAUCHO Y PLÁSTICO</t>
  </si>
  <si>
    <t>C2220</t>
  </si>
  <si>
    <t>2220</t>
  </si>
  <si>
    <t>Fabricación de productos de plástico</t>
  </si>
  <si>
    <t>C2220.36320</t>
  </si>
  <si>
    <t>36320</t>
  </si>
  <si>
    <t>Tubos, caños y mangueras y accesorios, de plástico</t>
  </si>
  <si>
    <t>C2220.36410</t>
  </si>
  <si>
    <t>36410</t>
  </si>
  <si>
    <t>Sacos y bolsas de plástico</t>
  </si>
  <si>
    <t>C2220.36490</t>
  </si>
  <si>
    <t>36490</t>
  </si>
  <si>
    <t>Otros artículos para el transporte o envasado, de plástico; tapones, tapas, cápsulas y demás dispositivos de cierre, de plástico</t>
  </si>
  <si>
    <t>C2220.36920</t>
  </si>
  <si>
    <t>36920</t>
  </si>
  <si>
    <t>Planchas, hojas, películas, cintas, tiras y otras formas planas autoadhesivas, de plásticos</t>
  </si>
  <si>
    <t>C2220.36950</t>
  </si>
  <si>
    <t>36950</t>
  </si>
  <si>
    <t>Artículos para la construcción, de plástico, n.c.p.</t>
  </si>
  <si>
    <t>C2220.36990</t>
  </si>
  <si>
    <t>36990</t>
  </si>
  <si>
    <t>Artículos plásticos n.c.p.</t>
  </si>
  <si>
    <t>C23</t>
  </si>
  <si>
    <t>FABRICACIÓN DE OTROS PRODUCTOS MINERALES NO METÁLICOS</t>
  </si>
  <si>
    <t>C2310</t>
  </si>
  <si>
    <t>2310</t>
  </si>
  <si>
    <t>Fabricación de vidrio y productos de vidrio</t>
  </si>
  <si>
    <t>C2310.37191</t>
  </si>
  <si>
    <t>37191</t>
  </si>
  <si>
    <t>Botellas, tarros, frascos y otros recipientes de vidrio, del tipo de los utilizados para el transporte o envasado de mercancías, excepto ampollas; tapones, tapas y demás dispositivos de cierre, de vidrio</t>
  </si>
  <si>
    <t>C2392</t>
  </si>
  <si>
    <t>2392</t>
  </si>
  <si>
    <t>Fabricación de productos refractarios y no refractarios de arcilla, cerámica, porcelana y otros minerales no metálicos</t>
  </si>
  <si>
    <t>C2392.37210</t>
  </si>
  <si>
    <t>37210</t>
  </si>
  <si>
    <t>Lavaderos, bañeras, inodoros, cisternas de descarga de agua y artefactos sanitarios similares de cerámicos</t>
  </si>
  <si>
    <t>C2392.37350</t>
  </si>
  <si>
    <t>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</si>
  <si>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</si>
  <si>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C2392.37370</t>
  </si>
  <si>
    <t>37370</t>
  </si>
  <si>
    <t>Baldosas y losas para pavimentos, chimeneas o muros; cubos de mosaicos de cerámicos y artículos similares</t>
  </si>
  <si>
    <t>C2394</t>
  </si>
  <si>
    <t>2394</t>
  </si>
  <si>
    <t>Fabricación de cemento, cal y yeso</t>
  </si>
  <si>
    <t>C2394.37440</t>
  </si>
  <si>
    <t>37440</t>
  </si>
  <si>
    <t>Cemento Portland, cemento alumináceo, cemento de escorias y cementos hidráulicos similares, excepto en forma de clinkers (CEMENTO GRIS)</t>
  </si>
  <si>
    <t>C2395</t>
  </si>
  <si>
    <t>2395</t>
  </si>
  <si>
    <t>Fabricación de artículos de hormigón, cemento y yeso</t>
  </si>
  <si>
    <t>C2395.37510</t>
  </si>
  <si>
    <t>37510</t>
  </si>
  <si>
    <t>Hormigones (Concreto) y morteros, no refractarios</t>
  </si>
  <si>
    <t>C2395.37540</t>
  </si>
  <si>
    <t>37540</t>
  </si>
  <si>
    <t>Azulejos, baldosas, ladrillos y artículos similares, de cemento, hormigón o piedra artificial (Block)</t>
  </si>
  <si>
    <t>C24</t>
  </si>
  <si>
    <t>FABRICACIÓN DE METALES COMUNES</t>
  </si>
  <si>
    <t>C2410</t>
  </si>
  <si>
    <t>2410</t>
  </si>
  <si>
    <t>Fabricación de metales comunes</t>
  </si>
  <si>
    <t>C2410.41211</t>
  </si>
  <si>
    <t>41211</t>
  </si>
  <si>
    <t>Productos laminados planos de hierro o acero no aleado, sin otra elaboración que el laminado en caliente, de un ancho de 600 mm o más</t>
  </si>
  <si>
    <t>C2410.41231</t>
  </si>
  <si>
    <t>41231</t>
  </si>
  <si>
    <t>Productos laminados planos de hierro o acero no aleado, revestidos, enchapados, recubiertos o con mayor elaboración</t>
  </si>
  <si>
    <t>C2410.41241</t>
  </si>
  <si>
    <t>41241</t>
  </si>
  <si>
    <t>Barras y varillas, laminadas en caliente, enrolladas irregularmente, de hierro o acero no aleado</t>
  </si>
  <si>
    <t>C2410.41242</t>
  </si>
  <si>
    <t>41242</t>
  </si>
  <si>
    <t>Otras barras y varillas de hierro o acero no aleado, sin otra elaboración que el forjado, laminado, estirado o la extrusión en caliente, incluso las sometidas a torsión después del laminado</t>
  </si>
  <si>
    <t>C2410.41251</t>
  </si>
  <si>
    <t>41251</t>
  </si>
  <si>
    <t>Ángulos, perfiles y secciones, sin otra elaboración que el laminado o extrusión en caliente o extrudidos, de hierro o acero no aleado</t>
  </si>
  <si>
    <t>C2410.41262</t>
  </si>
  <si>
    <t>41262</t>
  </si>
  <si>
    <t>Ángulos, perfiles y secciones, de hierro o acero no aleados, moldeado o acabado en frío, con mayor elaboración</t>
  </si>
  <si>
    <t>C2410.41283</t>
  </si>
  <si>
    <t>41283</t>
  </si>
  <si>
    <t>Otros tubos y cañerías, de sección transversal circular, sin soldadura</t>
  </si>
  <si>
    <t>C25</t>
  </si>
  <si>
    <t>FABRICACIÓN DE PRODUCTOS ELABORADOS DE METAL, EXCEPTO MAQUINARIA Y EQUIPO</t>
  </si>
  <si>
    <t>C2512.42210</t>
  </si>
  <si>
    <t>42210</t>
  </si>
  <si>
    <t>Depósitos, cisternas, cubas y recipientes similares (excepto para gas comprimido o licuado), de hierro, acero o aluminio, de una capacidad superior a 300 litros, sin dispositivos mecánicos o térmicos</t>
  </si>
  <si>
    <t>C2599.42912</t>
  </si>
  <si>
    <t>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</si>
  <si>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</si>
  <si>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C2599.42931</t>
  </si>
  <si>
    <t>42931</t>
  </si>
  <si>
    <t>Cisternas, barriles, tambores, bidones, cajas y recipientes similares (excepto para gas comprimido o licuado) de hierro, acero o aluminio, de una capacidad no superior a 300 litros, sin dispositivos mecánicos o térmicos</t>
  </si>
  <si>
    <t>C2599.42945</t>
  </si>
  <si>
    <t>42945</t>
  </si>
  <si>
    <t>Resortes y hojas para resortes, de hierro o acero</t>
  </si>
  <si>
    <t>C2599.42993</t>
  </si>
  <si>
    <t>42993</t>
  </si>
  <si>
    <t>Cajas fuertes blindadas o reforzadas, cofres de seguridad, puertas y casilleros de seguridad para habitaciones o cámaras blindadas, cajas de dinero o documentos y artículos similares, de metales comunes</t>
  </si>
  <si>
    <t>C2511.42190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</si>
  <si>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</si>
  <si>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</si>
  <si>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C28</t>
  </si>
  <si>
    <t>FABRICACIÓN DE MAQUINARIA Y EQUIPO N.C.P.</t>
  </si>
  <si>
    <t>C2819.87310</t>
  </si>
  <si>
    <t>87310</t>
  </si>
  <si>
    <t>Servicios de instalación de productos metálicos elaborados, excepto maquinaria y equipo</t>
  </si>
  <si>
    <t>C2819.43913</t>
  </si>
  <si>
    <t>43913</t>
  </si>
  <si>
    <t>Equipo de refrigeración o congelación y bombas de calor, excepto equipo para uso doméstico</t>
  </si>
  <si>
    <t>C2930.49129</t>
  </si>
  <si>
    <t>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</si>
  <si>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</si>
  <si>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C2920.49229</t>
  </si>
  <si>
    <t>49229</t>
  </si>
  <si>
    <t>Otros tipos de remolques y semi-remolques (incluidos los de uso  para transporte de mercancías), con excepción de los de uso  para fines agrícolas con sistema de carga o descarga automática</t>
  </si>
  <si>
    <t>C2821.44160</t>
  </si>
  <si>
    <t>44160</t>
  </si>
  <si>
    <t>Remolques y semirremolques, autocargadores o autodescargadores, para uso agrícola</t>
  </si>
  <si>
    <t>C31</t>
  </si>
  <si>
    <t>FABRICACIÓN DE MUEBLES</t>
  </si>
  <si>
    <t>C3100</t>
  </si>
  <si>
    <t>3100</t>
  </si>
  <si>
    <t>Fabricación de muebles</t>
  </si>
  <si>
    <t>C3100.38122</t>
  </si>
  <si>
    <t>38122</t>
  </si>
  <si>
    <t>Otros muebles de madera, del tipo utilizado en oficinas</t>
  </si>
  <si>
    <t>C3100.38140</t>
  </si>
  <si>
    <t>38140</t>
  </si>
  <si>
    <t>Otros muebles n.c.p.</t>
  </si>
  <si>
    <t>C3100.38150</t>
  </si>
  <si>
    <t>38150</t>
  </si>
  <si>
    <t>Somieres; colchones, con resortes o rellenos con cualquier material, incluidos los de caucho o plástico celular, estén o no recubiertos</t>
  </si>
  <si>
    <t>C32</t>
  </si>
  <si>
    <t>OTRAS INDUSTRIAS MANUFACTURERAS</t>
  </si>
  <si>
    <t>C3212.38997</t>
  </si>
  <si>
    <t>38997</t>
  </si>
  <si>
    <t>Bisutería (joyas de fantasía)</t>
  </si>
  <si>
    <t>C3211.38240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</si>
  <si>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</si>
  <si>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</si>
  <si>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C1104.24410</t>
  </si>
  <si>
    <t>C1312.26610</t>
  </si>
  <si>
    <t>C1312.26690</t>
  </si>
  <si>
    <t>C1312.26720</t>
  </si>
  <si>
    <t>C1312.26730</t>
  </si>
  <si>
    <t>C1392</t>
  </si>
  <si>
    <t>C1392.27120</t>
  </si>
  <si>
    <t>C1392.27180</t>
  </si>
  <si>
    <t>C1392.27190</t>
  </si>
  <si>
    <t>C1399.27911</t>
  </si>
  <si>
    <t>C1811</t>
  </si>
  <si>
    <t>C2012</t>
  </si>
  <si>
    <t>C1312</t>
  </si>
  <si>
    <t>Tejedura de productos textiles</t>
  </si>
  <si>
    <t>C1399</t>
  </si>
  <si>
    <t>1399</t>
  </si>
  <si>
    <t>Fabricación de otros productos textiles ncp</t>
  </si>
  <si>
    <t>C1622</t>
  </si>
  <si>
    <t>1622</t>
  </si>
  <si>
    <t>Fabricación de piezas y piezas de carpintería para edificios y construcciones</t>
  </si>
  <si>
    <t>C1702</t>
  </si>
  <si>
    <t>C1709</t>
  </si>
  <si>
    <t>1709</t>
  </si>
  <si>
    <t>Fabricación de otros artículos de papel y cartón</t>
  </si>
  <si>
    <t>2012</t>
  </si>
  <si>
    <t>Fabricación de abonos y compuestos de nitrógeno</t>
  </si>
  <si>
    <t>Fabricación de sustancias químicas básicas</t>
  </si>
  <si>
    <t>2029</t>
  </si>
  <si>
    <t>C2029</t>
  </si>
  <si>
    <t>C2021</t>
  </si>
  <si>
    <t>Fabricación de plaguicidas y otros productos agroquímicos</t>
  </si>
  <si>
    <t>Fabricación de pinturas, barnices y revestimientos similares, tintas de imprenta y masillas</t>
  </si>
  <si>
    <t>Fabricación de jabones y detergentes, preparaciones para limpiar y pulir, perfumes y productos de tocador</t>
  </si>
  <si>
    <t>Fabricación de otros productos químicos ncp</t>
  </si>
  <si>
    <t>2512</t>
  </si>
  <si>
    <t>C2511</t>
  </si>
  <si>
    <t>2511</t>
  </si>
  <si>
    <t>C2599</t>
  </si>
  <si>
    <t>2599</t>
  </si>
  <si>
    <t>C2512</t>
  </si>
  <si>
    <t xml:space="preserve"> Fabricación de productos metálicos estructurales</t>
  </si>
  <si>
    <t>Fabricación de cisternas, depósitos y contenedores de metal</t>
  </si>
  <si>
    <t>Fabricación de otros productos metálicos elaborados ncp</t>
  </si>
  <si>
    <t>C2819</t>
  </si>
  <si>
    <t>2819</t>
  </si>
  <si>
    <t xml:space="preserve"> Fabricación de otra maquinaria de uso general</t>
  </si>
  <si>
    <t>C2821</t>
  </si>
  <si>
    <t>2821</t>
  </si>
  <si>
    <t>Fabricación de maquinaria agrícola y forestal</t>
  </si>
  <si>
    <t>C2930</t>
  </si>
  <si>
    <t>2930</t>
  </si>
  <si>
    <t>C29</t>
  </si>
  <si>
    <t>29</t>
  </si>
  <si>
    <t>Fabricación de piezas y accesorios para vehículos de motor</t>
  </si>
  <si>
    <t>Fabricación de vehículos de motor, remolques y semirremolques</t>
  </si>
  <si>
    <t>C3211</t>
  </si>
  <si>
    <t>3212</t>
  </si>
  <si>
    <t>C3212</t>
  </si>
  <si>
    <t>3211</t>
  </si>
  <si>
    <t>Fabricación de artículos de joyería y artículos similares</t>
  </si>
  <si>
    <t>Fabricación de bisutería y artículos similares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</si>
</sst>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 Unicode MS"/>
      <family val="2"/>
    </font>
    <font>
      <b/>
      <sz val="11"/>
      <color theme="0"/>
      <name val="Arial Unicode MS"/>
      <family val="2"/>
    </font>
    <font>
      <sz val="11"/>
      <name val="Aptos Narrow"/>
      <family val="2"/>
      <scheme val="minor"/>
    </font>
    <font>
      <b/>
      <sz val="10"/>
      <color theme="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1" fontId="0" fillId="4" borderId="0" xfId="1" applyNumberFormat="1" applyFont="1" applyFill="1" applyBorder="1" applyAlignment="1">
      <alignment horizontal="left" vertical="center"/>
    </xf>
    <xf numFmtId="164" fontId="0" fillId="4" borderId="0" xfId="1" applyNumberFormat="1" applyFont="1" applyFill="1" applyBorder="1" applyAlignment="1">
      <alignment vertical="center"/>
    </xf>
    <xf numFmtId="1" fontId="0" fillId="5" borderId="0" xfId="0" applyNumberFormat="1" applyFill="1" applyAlignment="1">
      <alignment horizontal="left"/>
    </xf>
    <xf numFmtId="0" fontId="0" fillId="5" borderId="0" xfId="0" applyFill="1"/>
    <xf numFmtId="165" fontId="0" fillId="5" borderId="0" xfId="1" applyNumberFormat="1" applyFont="1" applyFill="1" applyBorder="1"/>
    <xf numFmtId="0" fontId="3" fillId="3" borderId="0" xfId="0" quotePrefix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1" fontId="4" fillId="5" borderId="0" xfId="0" applyNumberFormat="1" applyFont="1" applyFill="1" applyAlignment="1">
      <alignment horizontal="left"/>
    </xf>
    <xf numFmtId="0" fontId="4" fillId="5" borderId="0" xfId="0" applyFont="1" applyFill="1"/>
    <xf numFmtId="0" fontId="3" fillId="3" borderId="0" xfId="0" applyFont="1" applyFill="1" applyAlignment="1">
      <alignment horizontal="left" vertical="center"/>
    </xf>
    <xf numFmtId="165" fontId="4" fillId="5" borderId="0" xfId="1" applyNumberFormat="1" applyFont="1" applyFill="1" applyBorder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1" fontId="0" fillId="4" borderId="0" xfId="1" quotePrefix="1" applyNumberFormat="1" applyFont="1" applyFill="1" applyBorder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nestina Brigida Perez Ardiles" id="{356EEE28-8576-443D-B147-B4C77924CDEB}" userId="S::ernestina.perez@un.org::4ee0888e-bef9-487c-81f9-dcc9061b9f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7" dT="2025-05-22T21:10:17.61" personId="{356EEE28-8576-443D-B147-B4C77924CDEB}" id="{1DC9B7CA-4E4A-4ABC-852F-F9E6E65385E3}">
    <text>Incluye Chocolate para cobertura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AFB2-2939-4EE4-9654-46D67CBFA51D}">
  <dimension ref="A1:E223"/>
  <sheetViews>
    <sheetView tabSelected="1" topLeftCell="A181" workbookViewId="0">
      <selection activeCell="F10" sqref="F10"/>
    </sheetView>
  </sheetViews>
  <sheetFormatPr defaultRowHeight="14.5"/>
  <cols>
    <col min="1" max="1" width="16.6328125" customWidth="1"/>
    <col min="2" max="2" width="8.7265625" style="1"/>
    <col min="4" max="4" width="91.08984375" customWidth="1"/>
    <col min="5" max="5" width="15.632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2" t="s">
        <v>5</v>
      </c>
      <c r="D2" s="3" t="s">
        <v>7</v>
      </c>
      <c r="E2" s="4">
        <v>1</v>
      </c>
    </row>
    <row r="3" spans="1:5" s="5" customFormat="1">
      <c r="A3" s="5" t="s">
        <v>8</v>
      </c>
      <c r="B3" s="6">
        <v>2</v>
      </c>
      <c r="C3" s="7">
        <v>10</v>
      </c>
      <c r="D3" s="8" t="s">
        <v>9</v>
      </c>
      <c r="E3" s="9">
        <f>E4+E6+E9+E12+E14+E27+E32+E39+E41+E44+E47+E51+E53+E56+E60+E62+E70</f>
        <v>0.41502392277958899</v>
      </c>
    </row>
    <row r="4" spans="1:5">
      <c r="A4" t="s">
        <v>10</v>
      </c>
      <c r="B4" s="1">
        <v>3</v>
      </c>
      <c r="C4" s="10">
        <v>1010</v>
      </c>
      <c r="D4" s="11" t="s">
        <v>11</v>
      </c>
      <c r="E4" s="11">
        <v>2.249018117813514E-2</v>
      </c>
    </row>
    <row r="5" spans="1:5">
      <c r="A5" t="s">
        <v>12</v>
      </c>
      <c r="B5" s="1">
        <v>4</v>
      </c>
      <c r="C5" s="12" t="s">
        <v>13</v>
      </c>
      <c r="D5" s="13" t="s">
        <v>14</v>
      </c>
      <c r="E5" s="14">
        <v>2.249018117813514E-2</v>
      </c>
    </row>
    <row r="6" spans="1:5">
      <c r="A6" t="s">
        <v>10</v>
      </c>
      <c r="B6" s="1">
        <v>3</v>
      </c>
      <c r="C6" s="10" t="s">
        <v>15</v>
      </c>
      <c r="D6" s="11" t="s">
        <v>16</v>
      </c>
      <c r="E6" s="11">
        <v>6.5073386795603712E-3</v>
      </c>
    </row>
    <row r="7" spans="1:5">
      <c r="A7" t="s">
        <v>17</v>
      </c>
      <c r="B7" s="1">
        <v>4</v>
      </c>
      <c r="C7" s="12" t="s">
        <v>18</v>
      </c>
      <c r="D7" s="13" t="s">
        <v>19</v>
      </c>
      <c r="E7" s="14">
        <v>5.733945855595367E-3</v>
      </c>
    </row>
    <row r="8" spans="1:5">
      <c r="A8" t="s">
        <v>20</v>
      </c>
      <c r="B8" s="1">
        <v>4</v>
      </c>
      <c r="C8" s="12" t="s">
        <v>21</v>
      </c>
      <c r="D8" s="13" t="s">
        <v>22</v>
      </c>
      <c r="E8" s="14">
        <v>7.7339282396500378E-4</v>
      </c>
    </row>
    <row r="9" spans="1:5">
      <c r="A9" t="s">
        <v>10</v>
      </c>
      <c r="B9" s="1">
        <v>3</v>
      </c>
      <c r="C9" s="10" t="s">
        <v>15</v>
      </c>
      <c r="D9" s="11" t="s">
        <v>23</v>
      </c>
      <c r="E9" s="11">
        <v>3.5805908621016867E-2</v>
      </c>
    </row>
    <row r="10" spans="1:5">
      <c r="A10" t="s">
        <v>24</v>
      </c>
      <c r="B10" s="1">
        <v>4</v>
      </c>
      <c r="C10" s="12" t="s">
        <v>25</v>
      </c>
      <c r="D10" s="13" t="s">
        <v>26</v>
      </c>
      <c r="E10" s="14">
        <v>2.148354517261012E-2</v>
      </c>
    </row>
    <row r="11" spans="1:5">
      <c r="A11" t="s">
        <v>27</v>
      </c>
      <c r="B11" s="1">
        <v>4</v>
      </c>
      <c r="C11" s="12">
        <v>21160</v>
      </c>
      <c r="D11" s="13" t="s">
        <v>28</v>
      </c>
      <c r="E11" s="14">
        <v>1.4322363448406747E-2</v>
      </c>
    </row>
    <row r="12" spans="1:5">
      <c r="A12" t="s">
        <v>10</v>
      </c>
      <c r="B12" s="1">
        <v>3</v>
      </c>
      <c r="C12" s="10" t="s">
        <v>15</v>
      </c>
      <c r="D12" s="11" t="s">
        <v>29</v>
      </c>
      <c r="E12" s="11">
        <v>1.1751897427462148E-2</v>
      </c>
    </row>
    <row r="13" spans="1:5">
      <c r="A13" t="s">
        <v>30</v>
      </c>
      <c r="B13" s="1">
        <v>4</v>
      </c>
      <c r="C13" s="12" t="s">
        <v>31</v>
      </c>
      <c r="D13" s="13" t="s">
        <v>32</v>
      </c>
      <c r="E13" s="14">
        <v>1.1751897427462148E-2</v>
      </c>
    </row>
    <row r="14" spans="1:5">
      <c r="A14" t="s">
        <v>33</v>
      </c>
      <c r="B14" s="1">
        <v>3</v>
      </c>
      <c r="C14" s="10" t="s">
        <v>34</v>
      </c>
      <c r="D14" s="11" t="s">
        <v>35</v>
      </c>
      <c r="E14" s="11">
        <f>SUM(E15:E26)</f>
        <v>1.4333404829023962E-2</v>
      </c>
    </row>
    <row r="15" spans="1:5">
      <c r="A15" t="s">
        <v>36</v>
      </c>
      <c r="B15" s="1">
        <v>4</v>
      </c>
      <c r="C15" s="12" t="s">
        <v>37</v>
      </c>
      <c r="D15" s="13" t="s">
        <v>38</v>
      </c>
      <c r="E15" s="14">
        <v>2.0992405491876117E-3</v>
      </c>
    </row>
    <row r="16" spans="1:5">
      <c r="A16" t="s">
        <v>39</v>
      </c>
      <c r="B16" s="1">
        <v>4</v>
      </c>
      <c r="C16" s="12" t="s">
        <v>40</v>
      </c>
      <c r="D16" s="13" t="s">
        <v>41</v>
      </c>
      <c r="E16" s="14">
        <v>2.0992405491876117E-3</v>
      </c>
    </row>
    <row r="17" spans="1:5">
      <c r="A17" t="s">
        <v>42</v>
      </c>
      <c r="B17" s="1">
        <v>4</v>
      </c>
      <c r="C17" s="12" t="s">
        <v>43</v>
      </c>
      <c r="D17" s="13" t="s">
        <v>44</v>
      </c>
      <c r="E17" s="14">
        <v>2.0992405491876117E-3</v>
      </c>
    </row>
    <row r="18" spans="1:5">
      <c r="A18" t="s">
        <v>45</v>
      </c>
      <c r="B18" s="1">
        <v>4</v>
      </c>
      <c r="C18" s="12">
        <v>21311</v>
      </c>
      <c r="D18" s="13" t="s">
        <v>46</v>
      </c>
      <c r="E18" s="14">
        <v>1.5066209623349203E-3</v>
      </c>
    </row>
    <row r="19" spans="1:5">
      <c r="A19" t="s">
        <v>47</v>
      </c>
      <c r="B19" s="1">
        <v>4</v>
      </c>
      <c r="C19" s="12">
        <v>21395</v>
      </c>
      <c r="D19" s="13" t="s">
        <v>48</v>
      </c>
      <c r="E19" s="14">
        <v>1.5066209623349203E-3</v>
      </c>
    </row>
    <row r="20" spans="1:5">
      <c r="A20" t="s">
        <v>49</v>
      </c>
      <c r="B20" s="1">
        <v>4</v>
      </c>
      <c r="C20" s="12">
        <v>21399</v>
      </c>
      <c r="D20" s="13" t="s">
        <v>50</v>
      </c>
      <c r="E20" s="14">
        <v>1.5066209623349203E-3</v>
      </c>
    </row>
    <row r="21" spans="1:5">
      <c r="A21" t="s">
        <v>51</v>
      </c>
      <c r="B21" s="1">
        <v>4</v>
      </c>
      <c r="C21" s="12" t="s">
        <v>52</v>
      </c>
      <c r="D21" s="13" t="s">
        <v>53</v>
      </c>
      <c r="E21" s="14">
        <v>5.8597004907606038E-4</v>
      </c>
    </row>
    <row r="22" spans="1:5">
      <c r="A22" t="s">
        <v>54</v>
      </c>
      <c r="B22" s="1">
        <v>4</v>
      </c>
      <c r="C22" s="12" t="s">
        <v>55</v>
      </c>
      <c r="D22" s="13" t="s">
        <v>56</v>
      </c>
      <c r="E22" s="14">
        <v>5.8597004907606038E-4</v>
      </c>
    </row>
    <row r="23" spans="1:5">
      <c r="A23" t="s">
        <v>57</v>
      </c>
      <c r="B23" s="1">
        <v>4</v>
      </c>
      <c r="C23" s="12" t="s">
        <v>58</v>
      </c>
      <c r="D23" s="13" t="s">
        <v>59</v>
      </c>
      <c r="E23" s="14">
        <v>5.8597004907606038E-4</v>
      </c>
    </row>
    <row r="24" spans="1:5">
      <c r="A24" t="s">
        <v>60</v>
      </c>
      <c r="B24" s="1">
        <v>4</v>
      </c>
      <c r="C24" s="12" t="s">
        <v>61</v>
      </c>
      <c r="D24" s="13" t="s">
        <v>62</v>
      </c>
      <c r="E24" s="14">
        <v>5.8597004907606038E-4</v>
      </c>
    </row>
    <row r="25" spans="1:5">
      <c r="A25" t="s">
        <v>63</v>
      </c>
      <c r="B25" s="1">
        <v>4</v>
      </c>
      <c r="C25" s="12" t="s">
        <v>64</v>
      </c>
      <c r="D25" s="13" t="s">
        <v>65</v>
      </c>
      <c r="E25" s="14">
        <v>5.8597004907606038E-4</v>
      </c>
    </row>
    <row r="26" spans="1:5">
      <c r="A26" t="s">
        <v>66</v>
      </c>
      <c r="B26" s="1">
        <v>4</v>
      </c>
      <c r="C26" s="12" t="s">
        <v>67</v>
      </c>
      <c r="D26" s="13" t="s">
        <v>68</v>
      </c>
      <c r="E26" s="14">
        <v>5.8597004907606038E-4</v>
      </c>
    </row>
    <row r="27" spans="1:5">
      <c r="A27" t="s">
        <v>74</v>
      </c>
      <c r="B27" s="1">
        <v>3</v>
      </c>
      <c r="C27" s="10" t="s">
        <v>75</v>
      </c>
      <c r="D27" s="11" t="s">
        <v>76</v>
      </c>
      <c r="E27" s="11">
        <v>5.7674403134640846E-2</v>
      </c>
    </row>
    <row r="28" spans="1:5">
      <c r="A28" t="s">
        <v>77</v>
      </c>
      <c r="B28" s="1">
        <v>4</v>
      </c>
      <c r="C28" s="12" t="s">
        <v>78</v>
      </c>
      <c r="D28" s="13" t="s">
        <v>79</v>
      </c>
      <c r="E28" s="14">
        <v>1.4418600783660212E-2</v>
      </c>
    </row>
    <row r="29" spans="1:5">
      <c r="A29" t="s">
        <v>80</v>
      </c>
      <c r="B29" s="1">
        <v>4</v>
      </c>
      <c r="C29" s="12" t="s">
        <v>81</v>
      </c>
      <c r="D29" s="13" t="s">
        <v>82</v>
      </c>
      <c r="E29" s="14">
        <v>1.4418600783660212E-2</v>
      </c>
    </row>
    <row r="30" spans="1:5">
      <c r="A30" t="s">
        <v>83</v>
      </c>
      <c r="B30" s="1">
        <v>4</v>
      </c>
      <c r="C30" s="12" t="s">
        <v>84</v>
      </c>
      <c r="D30" s="13" t="s">
        <v>85</v>
      </c>
      <c r="E30" s="14">
        <v>1.4418600783660212E-2</v>
      </c>
    </row>
    <row r="31" spans="1:5">
      <c r="A31" t="s">
        <v>86</v>
      </c>
      <c r="B31" s="1">
        <v>4</v>
      </c>
      <c r="C31" s="12" t="s">
        <v>87</v>
      </c>
      <c r="D31" s="13" t="s">
        <v>88</v>
      </c>
      <c r="E31" s="14">
        <v>1.4418600783660212E-2</v>
      </c>
    </row>
    <row r="32" spans="1:5">
      <c r="A32" t="s">
        <v>89</v>
      </c>
      <c r="B32" s="1">
        <v>3</v>
      </c>
      <c r="C32" s="10" t="s">
        <v>90</v>
      </c>
      <c r="D32" s="11" t="s">
        <v>91</v>
      </c>
      <c r="E32" s="11">
        <v>1.9659914850135591E-2</v>
      </c>
    </row>
    <row r="33" spans="1:5">
      <c r="A33" t="s">
        <v>92</v>
      </c>
      <c r="B33" s="1">
        <v>4</v>
      </c>
      <c r="C33" s="12" t="s">
        <v>93</v>
      </c>
      <c r="D33" s="13" t="s">
        <v>94</v>
      </c>
      <c r="E33" s="14">
        <v>3.2766524750225986E-3</v>
      </c>
    </row>
    <row r="34" spans="1:5">
      <c r="A34" t="s">
        <v>95</v>
      </c>
      <c r="B34" s="1">
        <v>4</v>
      </c>
      <c r="C34" s="12" t="s">
        <v>96</v>
      </c>
      <c r="D34" s="13" t="s">
        <v>97</v>
      </c>
      <c r="E34" s="14">
        <v>3.2766524750225986E-3</v>
      </c>
    </row>
    <row r="35" spans="1:5">
      <c r="A35" t="s">
        <v>98</v>
      </c>
      <c r="B35" s="1">
        <v>4</v>
      </c>
      <c r="C35" s="12" t="s">
        <v>99</v>
      </c>
      <c r="D35" s="13" t="s">
        <v>100</v>
      </c>
      <c r="E35" s="14">
        <v>3.2766524750225986E-3</v>
      </c>
    </row>
    <row r="36" spans="1:5">
      <c r="A36" t="s">
        <v>101</v>
      </c>
      <c r="B36" s="1">
        <v>4</v>
      </c>
      <c r="C36" s="12" t="s">
        <v>102</v>
      </c>
      <c r="D36" s="13" t="s">
        <v>103</v>
      </c>
      <c r="E36" s="14">
        <v>3.2766524750225986E-3</v>
      </c>
    </row>
    <row r="37" spans="1:5">
      <c r="A37" t="s">
        <v>104</v>
      </c>
      <c r="B37" s="1">
        <v>4</v>
      </c>
      <c r="C37" s="12" t="s">
        <v>105</v>
      </c>
      <c r="D37" s="13" t="s">
        <v>106</v>
      </c>
      <c r="E37" s="14">
        <v>3.2766524750225986E-3</v>
      </c>
    </row>
    <row r="38" spans="1:5">
      <c r="A38" t="s">
        <v>107</v>
      </c>
      <c r="B38" s="1">
        <v>4</v>
      </c>
      <c r="C38" s="12" t="s">
        <v>108</v>
      </c>
      <c r="D38" s="13" t="s">
        <v>109</v>
      </c>
      <c r="E38" s="14">
        <v>3.2766524750225986E-3</v>
      </c>
    </row>
    <row r="39" spans="1:5">
      <c r="A39" t="s">
        <v>110</v>
      </c>
      <c r="B39" s="1">
        <v>3</v>
      </c>
      <c r="C39" s="10" t="s">
        <v>111</v>
      </c>
      <c r="D39" s="11" t="s">
        <v>112</v>
      </c>
      <c r="E39" s="11">
        <v>9.5533525192419855E-3</v>
      </c>
    </row>
    <row r="40" spans="1:5">
      <c r="A40" t="s">
        <v>113</v>
      </c>
      <c r="B40" s="1">
        <v>4</v>
      </c>
      <c r="C40" s="12" t="s">
        <v>114</v>
      </c>
      <c r="D40" s="13" t="s">
        <v>115</v>
      </c>
      <c r="E40" s="14">
        <v>9.5533525192419855E-3</v>
      </c>
    </row>
    <row r="41" spans="1:5">
      <c r="A41" t="s">
        <v>110</v>
      </c>
      <c r="B41" s="1">
        <v>3</v>
      </c>
      <c r="C41" s="10" t="s">
        <v>111</v>
      </c>
      <c r="D41" s="11" t="s">
        <v>116</v>
      </c>
      <c r="E41" s="11">
        <v>7.5104750470264504E-3</v>
      </c>
    </row>
    <row r="42" spans="1:5">
      <c r="A42" t="s">
        <v>117</v>
      </c>
      <c r="B42" s="1">
        <v>4</v>
      </c>
      <c r="C42" s="12" t="s">
        <v>118</v>
      </c>
      <c r="D42" s="13" t="s">
        <v>119</v>
      </c>
      <c r="E42" s="14">
        <v>6.0083800376211603E-3</v>
      </c>
    </row>
    <row r="43" spans="1:5">
      <c r="A43" t="s">
        <v>120</v>
      </c>
      <c r="B43" s="1">
        <v>4</v>
      </c>
      <c r="C43" s="12" t="s">
        <v>121</v>
      </c>
      <c r="D43" s="13" t="s">
        <v>122</v>
      </c>
      <c r="E43" s="14">
        <v>1.5020950094052901E-3</v>
      </c>
    </row>
    <row r="44" spans="1:5">
      <c r="A44" t="s">
        <v>110</v>
      </c>
      <c r="B44" s="1">
        <v>3</v>
      </c>
      <c r="C44" s="10" t="s">
        <v>111</v>
      </c>
      <c r="D44" s="11" t="s">
        <v>123</v>
      </c>
      <c r="E44" s="11">
        <v>8.8215367860881126E-3</v>
      </c>
    </row>
    <row r="45" spans="1:5">
      <c r="A45" t="s">
        <v>124</v>
      </c>
      <c r="B45" s="1">
        <v>4</v>
      </c>
      <c r="C45" s="12" t="s">
        <v>125</v>
      </c>
      <c r="D45" s="13" t="s">
        <v>126</v>
      </c>
      <c r="E45" s="14">
        <v>4.4107683930440563E-3</v>
      </c>
    </row>
    <row r="46" spans="1:5">
      <c r="A46" t="s">
        <v>120</v>
      </c>
      <c r="B46" s="1">
        <v>4</v>
      </c>
      <c r="C46" s="12" t="s">
        <v>127</v>
      </c>
      <c r="D46" s="13" t="s">
        <v>128</v>
      </c>
      <c r="E46" s="14">
        <v>4.4107683930440563E-3</v>
      </c>
    </row>
    <row r="47" spans="1:5">
      <c r="A47" t="s">
        <v>129</v>
      </c>
      <c r="B47" s="1">
        <v>3</v>
      </c>
      <c r="C47" s="10" t="s">
        <v>130</v>
      </c>
      <c r="D47" s="11" t="s">
        <v>131</v>
      </c>
      <c r="E47" s="11">
        <v>5.8695646244056876E-2</v>
      </c>
    </row>
    <row r="48" spans="1:5">
      <c r="A48" t="s">
        <v>132</v>
      </c>
      <c r="B48" s="1">
        <v>4</v>
      </c>
      <c r="C48" s="12" t="s">
        <v>133</v>
      </c>
      <c r="D48" s="13" t="s">
        <v>134</v>
      </c>
      <c r="E48" s="14">
        <v>4.7088206281350853E-2</v>
      </c>
    </row>
    <row r="49" spans="1:5">
      <c r="A49" t="s">
        <v>135</v>
      </c>
      <c r="B49" s="1">
        <v>4</v>
      </c>
      <c r="C49" s="12" t="s">
        <v>136</v>
      </c>
      <c r="D49" s="13" t="s">
        <v>137</v>
      </c>
      <c r="E49" s="14">
        <v>5.8037199813530133E-3</v>
      </c>
    </row>
    <row r="50" spans="1:5">
      <c r="A50" t="s">
        <v>138</v>
      </c>
      <c r="B50" s="1">
        <v>4</v>
      </c>
      <c r="C50" s="12" t="s">
        <v>139</v>
      </c>
      <c r="D50" s="13" t="s">
        <v>140</v>
      </c>
      <c r="E50" s="14">
        <v>5.8037199813530133E-3</v>
      </c>
    </row>
    <row r="51" spans="1:5">
      <c r="A51" t="s">
        <v>129</v>
      </c>
      <c r="B51" s="1">
        <v>3</v>
      </c>
      <c r="C51" s="10" t="s">
        <v>130</v>
      </c>
      <c r="D51" s="11" t="s">
        <v>141</v>
      </c>
      <c r="E51" s="11">
        <v>5.5199028623794631E-2</v>
      </c>
    </row>
    <row r="52" spans="1:5">
      <c r="A52" t="s">
        <v>142</v>
      </c>
      <c r="B52" s="1">
        <v>4</v>
      </c>
      <c r="C52" s="12" t="s">
        <v>143</v>
      </c>
      <c r="D52" s="13" t="s">
        <v>134</v>
      </c>
      <c r="E52" s="14">
        <v>5.5199028623794631E-2</v>
      </c>
    </row>
    <row r="53" spans="1:5">
      <c r="A53" t="s">
        <v>144</v>
      </c>
      <c r="B53" s="1">
        <v>3</v>
      </c>
      <c r="C53" s="10" t="s">
        <v>145</v>
      </c>
      <c r="D53" s="11" t="s">
        <v>146</v>
      </c>
      <c r="E53" s="11">
        <v>3.9506309984605505E-2</v>
      </c>
    </row>
    <row r="54" spans="1:5">
      <c r="A54" t="s">
        <v>147</v>
      </c>
      <c r="B54" s="1">
        <v>4</v>
      </c>
      <c r="C54" s="12" t="s">
        <v>148</v>
      </c>
      <c r="D54" s="13" t="s">
        <v>149</v>
      </c>
      <c r="E54" s="14">
        <v>1.9753154992302752E-2</v>
      </c>
    </row>
    <row r="55" spans="1:5">
      <c r="A55" t="s">
        <v>150</v>
      </c>
      <c r="B55" s="1">
        <v>4</v>
      </c>
      <c r="C55" s="12" t="s">
        <v>151</v>
      </c>
      <c r="D55" s="13" t="s">
        <v>152</v>
      </c>
      <c r="E55" s="14">
        <v>1.9753154992302752E-2</v>
      </c>
    </row>
    <row r="56" spans="1:5">
      <c r="A56" t="s">
        <v>153</v>
      </c>
      <c r="B56" s="1">
        <v>3</v>
      </c>
      <c r="C56" s="10" t="s">
        <v>154</v>
      </c>
      <c r="D56" s="11" t="s">
        <v>155</v>
      </c>
      <c r="E56" s="11">
        <v>6.5211849649000004E-3</v>
      </c>
    </row>
    <row r="57" spans="1:5">
      <c r="A57" t="s">
        <v>156</v>
      </c>
      <c r="B57" s="1">
        <v>4</v>
      </c>
      <c r="C57" s="12" t="s">
        <v>157</v>
      </c>
      <c r="D57" s="13" t="s">
        <v>158</v>
      </c>
      <c r="E57" s="14">
        <v>2.1737283216333335E-3</v>
      </c>
    </row>
    <row r="58" spans="1:5">
      <c r="A58" t="s">
        <v>159</v>
      </c>
      <c r="B58" s="1">
        <v>4</v>
      </c>
      <c r="C58" s="12" t="s">
        <v>160</v>
      </c>
      <c r="D58" s="13" t="s">
        <v>161</v>
      </c>
      <c r="E58" s="14">
        <v>2.1737283216333335E-3</v>
      </c>
    </row>
    <row r="59" spans="1:5">
      <c r="A59" t="s">
        <v>162</v>
      </c>
      <c r="B59" s="1">
        <v>4</v>
      </c>
      <c r="C59" s="12" t="s">
        <v>163</v>
      </c>
      <c r="D59" s="13" t="s">
        <v>164</v>
      </c>
      <c r="E59" s="14">
        <v>2.1737283216333335E-3</v>
      </c>
    </row>
    <row r="60" spans="1:5">
      <c r="A60" t="s">
        <v>165</v>
      </c>
      <c r="B60" s="1">
        <v>3</v>
      </c>
      <c r="C60" s="10" t="s">
        <v>166</v>
      </c>
      <c r="D60" s="11" t="s">
        <v>167</v>
      </c>
      <c r="E60" s="11">
        <v>4.6279761451362483E-3</v>
      </c>
    </row>
    <row r="61" spans="1:5">
      <c r="A61" t="s">
        <v>168</v>
      </c>
      <c r="B61" s="1">
        <v>4</v>
      </c>
      <c r="C61" s="12" t="s">
        <v>169</v>
      </c>
      <c r="D61" s="13" t="s">
        <v>170</v>
      </c>
      <c r="E61" s="14">
        <v>4.6279761451362483E-3</v>
      </c>
    </row>
    <row r="62" spans="1:5">
      <c r="A62" t="s">
        <v>171</v>
      </c>
      <c r="B62" s="1">
        <v>3</v>
      </c>
      <c r="C62" s="10" t="s">
        <v>172</v>
      </c>
      <c r="D62" s="11" t="s">
        <v>173</v>
      </c>
      <c r="E62" s="11">
        <v>2.9645012862897713E-2</v>
      </c>
    </row>
    <row r="63" spans="1:5">
      <c r="A63" t="s">
        <v>174</v>
      </c>
      <c r="B63" s="1">
        <v>4</v>
      </c>
      <c r="C63" s="12" t="s">
        <v>175</v>
      </c>
      <c r="D63" s="13" t="s">
        <v>176</v>
      </c>
      <c r="E63" s="14">
        <v>7.4112532157244284E-3</v>
      </c>
    </row>
    <row r="64" spans="1:5">
      <c r="A64" t="s">
        <v>177</v>
      </c>
      <c r="B64" s="1">
        <v>4</v>
      </c>
      <c r="C64" s="12" t="s">
        <v>178</v>
      </c>
      <c r="D64" s="13" t="s">
        <v>179</v>
      </c>
      <c r="E64" s="14">
        <v>2.9645012862897714E-3</v>
      </c>
    </row>
    <row r="65" spans="1:5">
      <c r="A65" t="s">
        <v>180</v>
      </c>
      <c r="B65" s="1">
        <v>4</v>
      </c>
      <c r="C65" s="12" t="s">
        <v>181</v>
      </c>
      <c r="D65" s="13" t="s">
        <v>182</v>
      </c>
      <c r="E65" s="14">
        <v>2.9645012862897714E-3</v>
      </c>
    </row>
    <row r="66" spans="1:5">
      <c r="A66" t="s">
        <v>183</v>
      </c>
      <c r="B66" s="1">
        <v>4</v>
      </c>
      <c r="C66" s="12" t="s">
        <v>184</v>
      </c>
      <c r="D66" s="13" t="s">
        <v>185</v>
      </c>
      <c r="E66" s="14">
        <v>4.4467519294346574E-3</v>
      </c>
    </row>
    <row r="67" spans="1:5">
      <c r="A67" t="s">
        <v>186</v>
      </c>
      <c r="B67" s="1">
        <v>4</v>
      </c>
      <c r="C67" s="12" t="s">
        <v>187</v>
      </c>
      <c r="D67" s="13" t="s">
        <v>188</v>
      </c>
      <c r="E67" s="14">
        <v>5.9290025725795429E-3</v>
      </c>
    </row>
    <row r="68" spans="1:5">
      <c r="A68" t="s">
        <v>189</v>
      </c>
      <c r="B68" s="1">
        <v>4</v>
      </c>
      <c r="C68" s="12" t="s">
        <v>190</v>
      </c>
      <c r="D68" s="13" t="s">
        <v>191</v>
      </c>
      <c r="E68" s="14">
        <v>2.9645012862897714E-3</v>
      </c>
    </row>
    <row r="69" spans="1:5">
      <c r="A69" t="s">
        <v>192</v>
      </c>
      <c r="B69" s="1">
        <v>4</v>
      </c>
      <c r="C69" s="12" t="s">
        <v>193</v>
      </c>
      <c r="D69" s="13" t="s">
        <v>194</v>
      </c>
      <c r="E69" s="14">
        <v>2.9645012862897714E-3</v>
      </c>
    </row>
    <row r="70" spans="1:5">
      <c r="A70" t="s">
        <v>195</v>
      </c>
      <c r="B70" s="1">
        <v>3</v>
      </c>
      <c r="C70" s="10" t="s">
        <v>196</v>
      </c>
      <c r="D70" s="11" t="s">
        <v>197</v>
      </c>
      <c r="E70" s="11">
        <v>2.67203508818665E-2</v>
      </c>
    </row>
    <row r="71" spans="1:5">
      <c r="A71" t="s">
        <v>198</v>
      </c>
      <c r="B71" s="1">
        <v>4</v>
      </c>
      <c r="C71" s="12" t="s">
        <v>199</v>
      </c>
      <c r="D71" s="13" t="s">
        <v>200</v>
      </c>
      <c r="E71" s="14">
        <v>1.4696192985026576E-2</v>
      </c>
    </row>
    <row r="72" spans="1:5">
      <c r="A72" t="s">
        <v>201</v>
      </c>
      <c r="B72" s="1">
        <v>4</v>
      </c>
      <c r="C72" s="12" t="s">
        <v>202</v>
      </c>
      <c r="D72" s="13" t="s">
        <v>203</v>
      </c>
      <c r="E72" s="14">
        <v>1.2024157896839926E-2</v>
      </c>
    </row>
    <row r="73" spans="1:5" s="5" customFormat="1">
      <c r="A73" s="5" t="s">
        <v>204</v>
      </c>
      <c r="B73" s="6">
        <v>2</v>
      </c>
      <c r="C73" s="15" t="s">
        <v>205</v>
      </c>
      <c r="D73" s="16" t="s">
        <v>206</v>
      </c>
      <c r="E73" s="17">
        <f>E74+E76</f>
        <v>4.5226038240204172E-2</v>
      </c>
    </row>
    <row r="74" spans="1:5">
      <c r="A74" t="s">
        <v>207</v>
      </c>
      <c r="B74" s="1">
        <v>3</v>
      </c>
      <c r="C74" s="10" t="s">
        <v>208</v>
      </c>
      <c r="D74" s="11" t="s">
        <v>209</v>
      </c>
      <c r="E74" s="11">
        <v>6.7777780540725233E-3</v>
      </c>
    </row>
    <row r="75" spans="1:5">
      <c r="A75" t="s">
        <v>210</v>
      </c>
      <c r="B75" s="1">
        <v>4</v>
      </c>
      <c r="C75" s="12" t="s">
        <v>211</v>
      </c>
      <c r="D75" s="13" t="s">
        <v>212</v>
      </c>
      <c r="E75" s="14">
        <v>6.7777780540725233E-3</v>
      </c>
    </row>
    <row r="76" spans="1:5">
      <c r="A76" t="s">
        <v>213</v>
      </c>
      <c r="B76" s="1">
        <v>3</v>
      </c>
      <c r="C76" s="10" t="s">
        <v>214</v>
      </c>
      <c r="D76" s="11" t="s">
        <v>215</v>
      </c>
      <c r="E76" s="11">
        <f>SUM(E77:E80)</f>
        <v>3.844826018613165E-2</v>
      </c>
    </row>
    <row r="77" spans="1:5">
      <c r="A77" t="s">
        <v>562</v>
      </c>
      <c r="B77" s="1">
        <v>4</v>
      </c>
      <c r="C77" s="12" t="s">
        <v>72</v>
      </c>
      <c r="D77" s="13" t="s">
        <v>73</v>
      </c>
      <c r="E77" s="14">
        <v>1.0883230693514065E-3</v>
      </c>
    </row>
    <row r="78" spans="1:5">
      <c r="A78" t="s">
        <v>69</v>
      </c>
      <c r="B78" s="1">
        <v>4</v>
      </c>
      <c r="C78" s="12" t="s">
        <v>70</v>
      </c>
      <c r="D78" s="13" t="s">
        <v>71</v>
      </c>
      <c r="E78" s="14">
        <v>1.0883230693514065E-3</v>
      </c>
    </row>
    <row r="79" spans="1:5">
      <c r="A79" t="s">
        <v>216</v>
      </c>
      <c r="B79" s="1">
        <v>4</v>
      </c>
      <c r="C79" s="12" t="s">
        <v>217</v>
      </c>
      <c r="D79" s="13" t="s">
        <v>218</v>
      </c>
      <c r="E79" s="14">
        <v>1.6322226321342975E-2</v>
      </c>
    </row>
    <row r="80" spans="1:5">
      <c r="A80" t="s">
        <v>219</v>
      </c>
      <c r="B80" s="1">
        <v>4</v>
      </c>
      <c r="C80" s="12" t="s">
        <v>220</v>
      </c>
      <c r="D80" s="13" t="s">
        <v>221</v>
      </c>
      <c r="E80" s="14">
        <v>1.9949387726085861E-2</v>
      </c>
    </row>
    <row r="81" spans="1:5" s="5" customFormat="1">
      <c r="A81" s="5" t="s">
        <v>222</v>
      </c>
      <c r="B81" s="6">
        <v>2</v>
      </c>
      <c r="C81" s="15">
        <v>13</v>
      </c>
      <c r="D81" s="16" t="s">
        <v>223</v>
      </c>
      <c r="E81" s="17">
        <v>2.7560886271523199E-2</v>
      </c>
    </row>
    <row r="82" spans="1:5">
      <c r="A82" t="s">
        <v>224</v>
      </c>
      <c r="B82" s="1">
        <v>3</v>
      </c>
      <c r="C82" s="10" t="s">
        <v>225</v>
      </c>
      <c r="D82" s="11" t="s">
        <v>226</v>
      </c>
      <c r="E82" s="11">
        <f>SUM(E83:E84)</f>
        <v>3.2748930071439153E-3</v>
      </c>
    </row>
    <row r="83" spans="1:5">
      <c r="A83" t="s">
        <v>227</v>
      </c>
      <c r="B83" s="1">
        <v>4</v>
      </c>
      <c r="C83" s="12" t="s">
        <v>228</v>
      </c>
      <c r="D83" s="13" t="s">
        <v>229</v>
      </c>
      <c r="E83" s="14">
        <v>1.6374465035719577E-3</v>
      </c>
    </row>
    <row r="84" spans="1:5">
      <c r="A84" t="s">
        <v>230</v>
      </c>
      <c r="B84" s="1">
        <v>4</v>
      </c>
      <c r="C84" s="12" t="s">
        <v>231</v>
      </c>
      <c r="D84" s="13" t="s">
        <v>232</v>
      </c>
      <c r="E84" s="14">
        <v>1.6374465035719577E-3</v>
      </c>
    </row>
    <row r="85" spans="1:5">
      <c r="A85" t="s">
        <v>574</v>
      </c>
      <c r="B85" s="1">
        <v>3</v>
      </c>
      <c r="C85" s="10">
        <v>1312</v>
      </c>
      <c r="D85" s="11" t="s">
        <v>575</v>
      </c>
      <c r="E85" s="11">
        <f>SUM(E86:E89)</f>
        <v>6.5497860142878306E-3</v>
      </c>
    </row>
    <row r="86" spans="1:5">
      <c r="A86" t="s">
        <v>563</v>
      </c>
      <c r="B86" s="1">
        <v>4</v>
      </c>
      <c r="C86" s="12" t="s">
        <v>233</v>
      </c>
      <c r="D86" s="13" t="s">
        <v>234</v>
      </c>
      <c r="E86" s="14">
        <v>1.6374465035719577E-3</v>
      </c>
    </row>
    <row r="87" spans="1:5">
      <c r="A87" t="s">
        <v>564</v>
      </c>
      <c r="B87" s="1">
        <v>4</v>
      </c>
      <c r="C87" s="12" t="s">
        <v>235</v>
      </c>
      <c r="D87" s="13" t="s">
        <v>236</v>
      </c>
      <c r="E87" s="14">
        <v>1.6374465035719577E-3</v>
      </c>
    </row>
    <row r="88" spans="1:5">
      <c r="A88" t="s">
        <v>565</v>
      </c>
      <c r="B88" s="1">
        <v>4</v>
      </c>
      <c r="C88" s="12" t="s">
        <v>237</v>
      </c>
      <c r="D88" s="13" t="s">
        <v>238</v>
      </c>
      <c r="E88" s="14">
        <v>1.6374465035719577E-3</v>
      </c>
    </row>
    <row r="89" spans="1:5">
      <c r="A89" t="s">
        <v>566</v>
      </c>
      <c r="B89" s="1">
        <v>4</v>
      </c>
      <c r="C89" s="12" t="s">
        <v>239</v>
      </c>
      <c r="D89" s="13" t="s">
        <v>240</v>
      </c>
      <c r="E89" s="14">
        <v>1.6374465035719577E-3</v>
      </c>
    </row>
    <row r="90" spans="1:5">
      <c r="A90" t="s">
        <v>567</v>
      </c>
      <c r="B90" s="1">
        <v>3</v>
      </c>
      <c r="C90" s="10">
        <v>1392</v>
      </c>
      <c r="D90" s="11" t="s">
        <v>241</v>
      </c>
      <c r="E90" s="11">
        <f>SUM(E91:E93)</f>
        <v>1.4188965800073162E-2</v>
      </c>
    </row>
    <row r="91" spans="1:5">
      <c r="A91" t="s">
        <v>568</v>
      </c>
      <c r="B91" s="1">
        <v>4</v>
      </c>
      <c r="C91" s="12">
        <v>27120</v>
      </c>
      <c r="D91" s="13" t="s">
        <v>242</v>
      </c>
      <c r="E91" s="14">
        <v>5.3208621750274361E-3</v>
      </c>
    </row>
    <row r="92" spans="1:5">
      <c r="A92" t="s">
        <v>569</v>
      </c>
      <c r="B92" s="1">
        <v>4</v>
      </c>
      <c r="C92" s="12">
        <v>27180</v>
      </c>
      <c r="D92" s="13" t="s">
        <v>243</v>
      </c>
      <c r="E92" s="14">
        <v>4.4340518125228637E-3</v>
      </c>
    </row>
    <row r="93" spans="1:5">
      <c r="A93" t="s">
        <v>570</v>
      </c>
      <c r="B93" s="1">
        <v>4</v>
      </c>
      <c r="C93" s="12">
        <v>27190</v>
      </c>
      <c r="D93" s="13" t="s">
        <v>244</v>
      </c>
      <c r="E93" s="14">
        <v>4.4340518125228637E-3</v>
      </c>
    </row>
    <row r="94" spans="1:5">
      <c r="A94" t="s">
        <v>576</v>
      </c>
      <c r="B94" s="1">
        <v>3</v>
      </c>
      <c r="C94" s="24" t="s">
        <v>577</v>
      </c>
      <c r="D94" s="11" t="s">
        <v>578</v>
      </c>
      <c r="E94" s="11">
        <f>E95</f>
        <v>3.5472414500182913E-3</v>
      </c>
    </row>
    <row r="95" spans="1:5">
      <c r="A95" t="s">
        <v>571</v>
      </c>
      <c r="B95" s="1">
        <v>4</v>
      </c>
      <c r="C95" s="12">
        <v>27911</v>
      </c>
      <c r="D95" s="13" t="s">
        <v>245</v>
      </c>
      <c r="E95" s="14">
        <v>3.5472414500182913E-3</v>
      </c>
    </row>
    <row r="96" spans="1:5" s="5" customFormat="1">
      <c r="A96" s="5" t="s">
        <v>246</v>
      </c>
      <c r="B96" s="6">
        <v>2</v>
      </c>
      <c r="C96" s="15">
        <v>14</v>
      </c>
      <c r="D96" s="16" t="s">
        <v>247</v>
      </c>
      <c r="E96" s="17">
        <v>7.5032577137738726E-2</v>
      </c>
    </row>
    <row r="97" spans="1:5">
      <c r="A97" t="s">
        <v>248</v>
      </c>
      <c r="B97" s="1">
        <v>3</v>
      </c>
      <c r="C97" s="10" t="s">
        <v>249</v>
      </c>
      <c r="D97" s="11" t="s">
        <v>250</v>
      </c>
      <c r="E97" s="11">
        <v>7.5032577137738726E-2</v>
      </c>
    </row>
    <row r="98" spans="1:5">
      <c r="A98" t="s">
        <v>251</v>
      </c>
      <c r="B98" s="1">
        <v>4</v>
      </c>
      <c r="C98" s="12" t="s">
        <v>252</v>
      </c>
      <c r="D98" s="13" t="s">
        <v>253</v>
      </c>
      <c r="E98" s="14">
        <v>6.2446449293731198E-3</v>
      </c>
    </row>
    <row r="99" spans="1:5">
      <c r="A99" t="s">
        <v>254</v>
      </c>
      <c r="B99" s="1">
        <v>4</v>
      </c>
      <c r="C99" s="12" t="s">
        <v>255</v>
      </c>
      <c r="D99" s="13" t="s">
        <v>256</v>
      </c>
      <c r="E99" s="14">
        <v>6.2446449293731198E-3</v>
      </c>
    </row>
    <row r="100" spans="1:5">
      <c r="A100" t="s">
        <v>257</v>
      </c>
      <c r="B100" s="1">
        <v>4</v>
      </c>
      <c r="C100" s="12" t="s">
        <v>258</v>
      </c>
      <c r="D100" s="13" t="s">
        <v>259</v>
      </c>
      <c r="E100" s="14">
        <v>6.2446449293731198E-3</v>
      </c>
    </row>
    <row r="101" spans="1:5">
      <c r="A101" t="s">
        <v>260</v>
      </c>
      <c r="B101" s="1">
        <v>4</v>
      </c>
      <c r="C101" s="12" t="s">
        <v>261</v>
      </c>
      <c r="D101" s="13" t="s">
        <v>262</v>
      </c>
      <c r="E101" s="14">
        <v>6.2446449293731198E-3</v>
      </c>
    </row>
    <row r="102" spans="1:5">
      <c r="A102" t="s">
        <v>263</v>
      </c>
      <c r="B102" s="1">
        <v>4</v>
      </c>
      <c r="C102" s="12" t="s">
        <v>264</v>
      </c>
      <c r="D102" s="13" t="s">
        <v>265</v>
      </c>
      <c r="E102" s="14">
        <v>6.2446449293731198E-3</v>
      </c>
    </row>
    <row r="103" spans="1:5">
      <c r="A103" t="s">
        <v>266</v>
      </c>
      <c r="B103" s="1">
        <v>4</v>
      </c>
      <c r="C103" s="12" t="s">
        <v>267</v>
      </c>
      <c r="D103" s="13" t="s">
        <v>268</v>
      </c>
      <c r="E103" s="14">
        <v>6.2446449293731198E-3</v>
      </c>
    </row>
    <row r="104" spans="1:5">
      <c r="A104" t="s">
        <v>269</v>
      </c>
      <c r="B104" s="1">
        <v>4</v>
      </c>
      <c r="C104" s="12" t="s">
        <v>270</v>
      </c>
      <c r="D104" s="13" t="s">
        <v>271</v>
      </c>
      <c r="E104" s="14">
        <v>6.2446449293731198E-3</v>
      </c>
    </row>
    <row r="105" spans="1:5">
      <c r="A105" t="s">
        <v>272</v>
      </c>
      <c r="B105" s="1">
        <v>4</v>
      </c>
      <c r="C105" s="12" t="s">
        <v>273</v>
      </c>
      <c r="D105" s="13" t="s">
        <v>274</v>
      </c>
      <c r="E105" s="14">
        <v>6.2446449293731198E-3</v>
      </c>
    </row>
    <row r="106" spans="1:5">
      <c r="A106" t="s">
        <v>275</v>
      </c>
      <c r="B106" s="1">
        <v>4</v>
      </c>
      <c r="C106" s="18" t="s">
        <v>276</v>
      </c>
      <c r="D106" s="19" t="s">
        <v>277</v>
      </c>
      <c r="E106" s="14">
        <v>1.2537708851376882E-2</v>
      </c>
    </row>
    <row r="107" spans="1:5">
      <c r="A107" t="s">
        <v>278</v>
      </c>
      <c r="B107" s="1">
        <v>4</v>
      </c>
      <c r="C107" s="18" t="s">
        <v>279</v>
      </c>
      <c r="D107" s="19" t="s">
        <v>280</v>
      </c>
      <c r="E107" s="14">
        <v>1.2537708851376882E-2</v>
      </c>
    </row>
    <row r="108" spans="1:5" s="5" customFormat="1">
      <c r="A108" s="5" t="s">
        <v>281</v>
      </c>
      <c r="B108" s="6">
        <v>2</v>
      </c>
      <c r="C108" s="15">
        <v>15</v>
      </c>
      <c r="D108" s="16" t="s">
        <v>282</v>
      </c>
      <c r="E108" s="17">
        <v>1.0077211714344263E-2</v>
      </c>
    </row>
    <row r="109" spans="1:5">
      <c r="A109" t="s">
        <v>283</v>
      </c>
      <c r="B109" s="1">
        <v>3</v>
      </c>
      <c r="C109" s="10" t="s">
        <v>284</v>
      </c>
      <c r="D109" s="11" t="s">
        <v>285</v>
      </c>
      <c r="E109" s="11">
        <v>1.0077211714344263E-2</v>
      </c>
    </row>
    <row r="110" spans="1:5">
      <c r="A110" t="s">
        <v>286</v>
      </c>
      <c r="B110" s="1">
        <v>4</v>
      </c>
      <c r="C110" s="12" t="s">
        <v>287</v>
      </c>
      <c r="D110" s="13" t="s">
        <v>288</v>
      </c>
      <c r="E110" s="14">
        <v>3.5270241000204925E-3</v>
      </c>
    </row>
    <row r="111" spans="1:5">
      <c r="A111" t="s">
        <v>289</v>
      </c>
      <c r="B111" s="1">
        <v>4</v>
      </c>
      <c r="C111" s="12" t="s">
        <v>290</v>
      </c>
      <c r="D111" s="13" t="s">
        <v>291</v>
      </c>
      <c r="E111" s="14">
        <v>3.5270241000204925E-3</v>
      </c>
    </row>
    <row r="112" spans="1:5">
      <c r="A112" t="s">
        <v>292</v>
      </c>
      <c r="B112" s="1">
        <v>4</v>
      </c>
      <c r="C112" s="12" t="s">
        <v>293</v>
      </c>
      <c r="D112" s="13" t="s">
        <v>294</v>
      </c>
      <c r="E112" s="14">
        <v>3.0231635143032794E-3</v>
      </c>
    </row>
    <row r="113" spans="1:5" s="5" customFormat="1">
      <c r="A113" s="5" t="s">
        <v>295</v>
      </c>
      <c r="B113" s="6">
        <v>2</v>
      </c>
      <c r="C113" s="15">
        <v>16</v>
      </c>
      <c r="D113" s="20" t="s">
        <v>296</v>
      </c>
      <c r="E113" s="17">
        <v>1.9712632401548844E-2</v>
      </c>
    </row>
    <row r="114" spans="1:5">
      <c r="A114" t="s">
        <v>297</v>
      </c>
      <c r="B114" s="1">
        <v>3</v>
      </c>
      <c r="C114" s="10" t="s">
        <v>298</v>
      </c>
      <c r="D114" s="11" t="s">
        <v>299</v>
      </c>
      <c r="E114" s="11">
        <v>1.1871014514702016E-2</v>
      </c>
    </row>
    <row r="115" spans="1:5">
      <c r="A115" t="s">
        <v>300</v>
      </c>
      <c r="B115" s="1">
        <v>4</v>
      </c>
      <c r="C115" s="12" t="s">
        <v>301</v>
      </c>
      <c r="D115" s="13" t="s">
        <v>302</v>
      </c>
      <c r="E115" s="14">
        <v>3.9570048382340057E-3</v>
      </c>
    </row>
    <row r="116" spans="1:5">
      <c r="A116" t="s">
        <v>303</v>
      </c>
      <c r="B116" s="1">
        <v>4</v>
      </c>
      <c r="C116" s="12" t="s">
        <v>304</v>
      </c>
      <c r="D116" s="13" t="s">
        <v>305</v>
      </c>
      <c r="E116" s="14">
        <v>3.9570048382340057E-3</v>
      </c>
    </row>
    <row r="117" spans="1:5">
      <c r="A117" t="s">
        <v>306</v>
      </c>
      <c r="B117" s="1">
        <v>4</v>
      </c>
      <c r="C117" s="12" t="s">
        <v>307</v>
      </c>
      <c r="D117" s="13" t="s">
        <v>308</v>
      </c>
      <c r="E117" s="14">
        <v>3.9570048382340057E-3</v>
      </c>
    </row>
    <row r="118" spans="1:5">
      <c r="A118" t="s">
        <v>309</v>
      </c>
      <c r="B118" s="1">
        <v>3</v>
      </c>
      <c r="C118" s="10" t="s">
        <v>310</v>
      </c>
      <c r="D118" s="11" t="s">
        <v>311</v>
      </c>
      <c r="E118" s="11">
        <f>SUM(E119:E121)</f>
        <v>5.8812134151351204E-3</v>
      </c>
    </row>
    <row r="119" spans="1:5">
      <c r="A119" t="s">
        <v>312</v>
      </c>
      <c r="B119" s="1">
        <v>4</v>
      </c>
      <c r="C119" s="12">
        <v>31420</v>
      </c>
      <c r="D119" s="13" t="s">
        <v>313</v>
      </c>
      <c r="E119" s="14">
        <v>1.9604044717117068E-3</v>
      </c>
    </row>
    <row r="120" spans="1:5">
      <c r="A120" t="s">
        <v>314</v>
      </c>
      <c r="B120" s="1">
        <v>4</v>
      </c>
      <c r="C120" s="12" t="s">
        <v>315</v>
      </c>
      <c r="D120" s="13" t="s">
        <v>316</v>
      </c>
      <c r="E120" s="14">
        <v>1.9604044717117068E-3</v>
      </c>
    </row>
    <row r="121" spans="1:5">
      <c r="A121" t="s">
        <v>317</v>
      </c>
      <c r="B121" s="1">
        <v>4</v>
      </c>
      <c r="C121" s="12" t="s">
        <v>318</v>
      </c>
      <c r="D121" s="13" t="s">
        <v>319</v>
      </c>
      <c r="E121" s="14">
        <v>1.9604044717117068E-3</v>
      </c>
    </row>
    <row r="122" spans="1:5">
      <c r="A122" t="s">
        <v>579</v>
      </c>
      <c r="C122" s="24" t="s">
        <v>580</v>
      </c>
      <c r="D122" s="11" t="s">
        <v>581</v>
      </c>
      <c r="E122" s="11">
        <f>E123</f>
        <v>1.9604044717117068E-3</v>
      </c>
    </row>
    <row r="123" spans="1:5">
      <c r="A123" t="s">
        <v>320</v>
      </c>
      <c r="B123" s="1">
        <v>4</v>
      </c>
      <c r="C123" s="12" t="s">
        <v>321</v>
      </c>
      <c r="D123" s="13" t="s">
        <v>322</v>
      </c>
      <c r="E123" s="14">
        <v>1.9604044717117068E-3</v>
      </c>
    </row>
    <row r="124" spans="1:5" s="5" customFormat="1">
      <c r="A124" s="5" t="s">
        <v>323</v>
      </c>
      <c r="B124" s="6">
        <v>2</v>
      </c>
      <c r="C124" s="15">
        <v>17</v>
      </c>
      <c r="D124" s="16" t="s">
        <v>324</v>
      </c>
      <c r="E124" s="17">
        <v>2.5288330236080691E-2</v>
      </c>
    </row>
    <row r="125" spans="1:5">
      <c r="A125" t="s">
        <v>582</v>
      </c>
      <c r="B125" s="1">
        <v>3</v>
      </c>
      <c r="C125" s="10">
        <v>1702</v>
      </c>
      <c r="D125" s="11" t="s">
        <v>325</v>
      </c>
      <c r="E125" s="11">
        <f>E126</f>
        <v>1.4241801640192791E-2</v>
      </c>
    </row>
    <row r="126" spans="1:5">
      <c r="A126" t="s">
        <v>326</v>
      </c>
      <c r="B126" s="1">
        <v>4</v>
      </c>
      <c r="C126" s="12" t="s">
        <v>327</v>
      </c>
      <c r="D126" s="13" t="s">
        <v>328</v>
      </c>
      <c r="E126" s="14">
        <v>1.4241801640192791E-2</v>
      </c>
    </row>
    <row r="127" spans="1:5">
      <c r="A127" t="s">
        <v>583</v>
      </c>
      <c r="B127" s="1">
        <v>3</v>
      </c>
      <c r="C127" s="24" t="s">
        <v>584</v>
      </c>
      <c r="D127" s="11" t="s">
        <v>585</v>
      </c>
      <c r="E127" s="11">
        <f>E128+E129+E130</f>
        <v>1.1046528595887898E-2</v>
      </c>
    </row>
    <row r="128" spans="1:5">
      <c r="A128" t="s">
        <v>329</v>
      </c>
      <c r="B128" s="1">
        <v>4</v>
      </c>
      <c r="C128" s="12" t="s">
        <v>330</v>
      </c>
      <c r="D128" s="13" t="s">
        <v>331</v>
      </c>
      <c r="E128" s="14">
        <v>5.523264297943949E-3</v>
      </c>
    </row>
    <row r="129" spans="1:5">
      <c r="A129" t="s">
        <v>332</v>
      </c>
      <c r="B129" s="1">
        <v>4</v>
      </c>
      <c r="C129" s="12" t="s">
        <v>333</v>
      </c>
      <c r="D129" s="13" t="s">
        <v>334</v>
      </c>
      <c r="E129" s="14">
        <v>2.2093057191775799E-3</v>
      </c>
    </row>
    <row r="130" spans="1:5">
      <c r="A130" t="s">
        <v>335</v>
      </c>
      <c r="B130" s="1">
        <v>4</v>
      </c>
      <c r="C130" s="12">
        <v>32700</v>
      </c>
      <c r="D130" s="13" t="s">
        <v>336</v>
      </c>
      <c r="E130" s="14">
        <v>3.3139585787663691E-3</v>
      </c>
    </row>
    <row r="131" spans="1:5" s="5" customFormat="1">
      <c r="A131" s="5" t="s">
        <v>337</v>
      </c>
      <c r="B131" s="6">
        <v>2</v>
      </c>
      <c r="C131" s="15">
        <v>18</v>
      </c>
      <c r="D131" s="16" t="s">
        <v>338</v>
      </c>
      <c r="E131" s="17">
        <v>9.4820987499744849E-3</v>
      </c>
    </row>
    <row r="132" spans="1:5">
      <c r="A132" t="s">
        <v>572</v>
      </c>
      <c r="B132" s="1">
        <v>3</v>
      </c>
      <c r="C132" s="10">
        <v>1811</v>
      </c>
      <c r="D132" s="11" t="s">
        <v>339</v>
      </c>
      <c r="E132" s="11">
        <v>9.4820987499744849E-3</v>
      </c>
    </row>
    <row r="133" spans="1:5">
      <c r="A133" t="s">
        <v>340</v>
      </c>
      <c r="B133" s="1">
        <v>4</v>
      </c>
      <c r="C133" s="12">
        <v>32690</v>
      </c>
      <c r="D133" s="13" t="s">
        <v>336</v>
      </c>
      <c r="E133" s="14">
        <v>9.4820987499744849E-3</v>
      </c>
    </row>
    <row r="134" spans="1:5" s="5" customFormat="1">
      <c r="A134" s="5" t="s">
        <v>341</v>
      </c>
      <c r="B134" s="6">
        <v>2</v>
      </c>
      <c r="C134" s="15">
        <v>20</v>
      </c>
      <c r="D134" s="16" t="s">
        <v>342</v>
      </c>
      <c r="E134" s="17">
        <v>8.4199791540698704E-2</v>
      </c>
    </row>
    <row r="135" spans="1:5">
      <c r="A135" t="s">
        <v>343</v>
      </c>
      <c r="B135" s="1">
        <v>3</v>
      </c>
      <c r="C135" s="10" t="s">
        <v>344</v>
      </c>
      <c r="D135" s="11" t="s">
        <v>588</v>
      </c>
      <c r="E135" s="11">
        <f>SUM(E136:E140)</f>
        <v>1.211762234752788E-2</v>
      </c>
    </row>
    <row r="136" spans="1:5">
      <c r="A136" t="s">
        <v>345</v>
      </c>
      <c r="B136" s="1">
        <v>4</v>
      </c>
      <c r="C136" s="18" t="s">
        <v>346</v>
      </c>
      <c r="D136" s="19" t="s">
        <v>347</v>
      </c>
      <c r="E136" s="21">
        <v>6.6352856660274783E-3</v>
      </c>
    </row>
    <row r="137" spans="1:5">
      <c r="A137" t="s">
        <v>381</v>
      </c>
      <c r="B137" s="1">
        <v>4</v>
      </c>
      <c r="C137" s="12" t="s">
        <v>382</v>
      </c>
      <c r="D137" s="13" t="s">
        <v>383</v>
      </c>
      <c r="E137" s="14">
        <v>1.3705841703750997E-3</v>
      </c>
    </row>
    <row r="138" spans="1:5">
      <c r="A138" t="s">
        <v>384</v>
      </c>
      <c r="B138" s="1">
        <v>4</v>
      </c>
      <c r="C138" s="12" t="s">
        <v>385</v>
      </c>
      <c r="D138" s="13" t="s">
        <v>386</v>
      </c>
      <c r="E138" s="14">
        <v>1.3705841703750997E-3</v>
      </c>
    </row>
    <row r="139" spans="1:5">
      <c r="A139" t="s">
        <v>387</v>
      </c>
      <c r="B139" s="1">
        <v>4</v>
      </c>
      <c r="C139" s="12" t="s">
        <v>388</v>
      </c>
      <c r="D139" s="13" t="s">
        <v>389</v>
      </c>
      <c r="E139" s="14">
        <v>1.3705841703750997E-3</v>
      </c>
    </row>
    <row r="140" spans="1:5">
      <c r="A140" t="s">
        <v>390</v>
      </c>
      <c r="B140" s="1">
        <v>4</v>
      </c>
      <c r="C140" s="12" t="s">
        <v>391</v>
      </c>
      <c r="D140" s="13" t="s">
        <v>392</v>
      </c>
      <c r="E140" s="14">
        <v>1.3705841703750997E-3</v>
      </c>
    </row>
    <row r="141" spans="1:5">
      <c r="A141" t="s">
        <v>573</v>
      </c>
      <c r="B141" s="1">
        <v>3</v>
      </c>
      <c r="C141" s="24" t="s">
        <v>586</v>
      </c>
      <c r="D141" s="11" t="s">
        <v>587</v>
      </c>
      <c r="E141" s="11">
        <f>E142+E143+E144+E145</f>
        <v>2.1174734869300826E-2</v>
      </c>
    </row>
    <row r="142" spans="1:5">
      <c r="A142" t="s">
        <v>348</v>
      </c>
      <c r="B142" s="1">
        <v>4</v>
      </c>
      <c r="C142" s="12" t="s">
        <v>349</v>
      </c>
      <c r="D142" s="13" t="s">
        <v>350</v>
      </c>
      <c r="E142" s="14">
        <v>1.0587367434650413E-2</v>
      </c>
    </row>
    <row r="143" spans="1:5">
      <c r="A143" t="s">
        <v>351</v>
      </c>
      <c r="B143" s="1">
        <v>4</v>
      </c>
      <c r="C143" s="12">
        <v>34644</v>
      </c>
      <c r="D143" s="13" t="s">
        <v>352</v>
      </c>
      <c r="E143" s="14">
        <v>5.2936837173252066E-3</v>
      </c>
    </row>
    <row r="144" spans="1:5">
      <c r="A144" t="s">
        <v>353</v>
      </c>
      <c r="B144" s="1">
        <v>4</v>
      </c>
      <c r="C144" s="12" t="s">
        <v>354</v>
      </c>
      <c r="D144" s="13" t="s">
        <v>355</v>
      </c>
      <c r="E144" s="14">
        <v>2.6468418586626033E-3</v>
      </c>
    </row>
    <row r="145" spans="1:5">
      <c r="A145" t="s">
        <v>356</v>
      </c>
      <c r="B145" s="1">
        <v>4</v>
      </c>
      <c r="C145" s="12" t="s">
        <v>357</v>
      </c>
      <c r="D145" s="13" t="s">
        <v>358</v>
      </c>
      <c r="E145" s="14">
        <v>2.6468418586626033E-3</v>
      </c>
    </row>
    <row r="146" spans="1:5">
      <c r="A146" t="s">
        <v>591</v>
      </c>
      <c r="B146" s="1">
        <v>3</v>
      </c>
      <c r="C146" s="10">
        <v>2021</v>
      </c>
      <c r="D146" s="11" t="s">
        <v>592</v>
      </c>
      <c r="E146" s="11">
        <f>E147+E148</f>
        <v>1.0587367434650413E-2</v>
      </c>
    </row>
    <row r="147" spans="1:5">
      <c r="A147" t="s">
        <v>359</v>
      </c>
      <c r="B147" s="1">
        <v>4</v>
      </c>
      <c r="C147" s="12" t="s">
        <v>360</v>
      </c>
      <c r="D147" s="13" t="s">
        <v>361</v>
      </c>
      <c r="E147" s="14">
        <v>5.2936837173252066E-3</v>
      </c>
    </row>
    <row r="148" spans="1:5">
      <c r="A148" t="s">
        <v>362</v>
      </c>
      <c r="B148" s="1">
        <v>4</v>
      </c>
      <c r="C148" s="12" t="s">
        <v>363</v>
      </c>
      <c r="D148" s="13" t="s">
        <v>364</v>
      </c>
      <c r="E148" s="14">
        <v>5.2936837173252066E-3</v>
      </c>
    </row>
    <row r="149" spans="1:5">
      <c r="A149" t="s">
        <v>365</v>
      </c>
      <c r="B149" s="1">
        <v>3</v>
      </c>
      <c r="C149" s="10" t="s">
        <v>366</v>
      </c>
      <c r="D149" s="11" t="s">
        <v>593</v>
      </c>
      <c r="E149" s="11">
        <v>6.2540767340639909E-3</v>
      </c>
    </row>
    <row r="150" spans="1:5">
      <c r="A150" t="s">
        <v>367</v>
      </c>
      <c r="B150" s="1">
        <v>4</v>
      </c>
      <c r="C150" s="12" t="s">
        <v>368</v>
      </c>
      <c r="D150" s="13" t="s">
        <v>369</v>
      </c>
      <c r="E150" s="14">
        <v>6.2540767340639909E-3</v>
      </c>
    </row>
    <row r="151" spans="1:5">
      <c r="A151" t="s">
        <v>370</v>
      </c>
      <c r="B151" s="1">
        <v>3</v>
      </c>
      <c r="C151" s="10" t="s">
        <v>371</v>
      </c>
      <c r="D151" s="11" t="s">
        <v>594</v>
      </c>
      <c r="E151" s="11">
        <v>2.7213069303280088E-2</v>
      </c>
    </row>
    <row r="152" spans="1:5">
      <c r="A152" t="s">
        <v>372</v>
      </c>
      <c r="B152" s="1">
        <v>4</v>
      </c>
      <c r="C152" s="12" t="s">
        <v>373</v>
      </c>
      <c r="D152" s="13" t="s">
        <v>374</v>
      </c>
      <c r="E152" s="14">
        <v>9.5245742561480308E-3</v>
      </c>
    </row>
    <row r="153" spans="1:5">
      <c r="A153" t="s">
        <v>375</v>
      </c>
      <c r="B153" s="1">
        <v>4</v>
      </c>
      <c r="C153" s="12" t="s">
        <v>376</v>
      </c>
      <c r="D153" s="13" t="s">
        <v>377</v>
      </c>
      <c r="E153" s="14">
        <v>9.5245742561480308E-3</v>
      </c>
    </row>
    <row r="154" spans="1:5">
      <c r="A154" t="s">
        <v>378</v>
      </c>
      <c r="B154" s="1">
        <v>4</v>
      </c>
      <c r="C154" s="12" t="s">
        <v>379</v>
      </c>
      <c r="D154" s="13" t="s">
        <v>380</v>
      </c>
      <c r="E154" s="14">
        <v>8.1639207909840264E-3</v>
      </c>
    </row>
    <row r="155" spans="1:5">
      <c r="A155" t="s">
        <v>590</v>
      </c>
      <c r="B155" s="1">
        <v>3</v>
      </c>
      <c r="C155" s="24" t="s">
        <v>589</v>
      </c>
      <c r="D155" s="11" t="s">
        <v>595</v>
      </c>
      <c r="E155" s="11">
        <f>SUM(E156:E160)</f>
        <v>6.8529208518754983E-3</v>
      </c>
    </row>
    <row r="156" spans="1:5">
      <c r="A156" t="s">
        <v>393</v>
      </c>
      <c r="B156" s="1">
        <v>4</v>
      </c>
      <c r="C156" s="12" t="s">
        <v>394</v>
      </c>
      <c r="D156" s="13" t="s">
        <v>395</v>
      </c>
      <c r="E156" s="14">
        <v>1.3705841703750997E-3</v>
      </c>
    </row>
    <row r="157" spans="1:5">
      <c r="A157" t="s">
        <v>396</v>
      </c>
      <c r="B157" s="1">
        <v>4</v>
      </c>
      <c r="C157" s="12" t="s">
        <v>397</v>
      </c>
      <c r="D157" s="13" t="s">
        <v>398</v>
      </c>
      <c r="E157" s="14">
        <v>1.3705841703750997E-3</v>
      </c>
    </row>
    <row r="158" spans="1:5">
      <c r="A158" t="s">
        <v>399</v>
      </c>
      <c r="B158" s="1">
        <v>4</v>
      </c>
      <c r="C158" s="12" t="s">
        <v>400</v>
      </c>
      <c r="D158" s="13" t="s">
        <v>401</v>
      </c>
      <c r="E158" s="14">
        <v>1.3705841703750997E-3</v>
      </c>
    </row>
    <row r="159" spans="1:5">
      <c r="A159" t="s">
        <v>402</v>
      </c>
      <c r="B159" s="1">
        <v>4</v>
      </c>
      <c r="C159" s="12" t="s">
        <v>403</v>
      </c>
      <c r="D159" s="13" t="s">
        <v>404</v>
      </c>
      <c r="E159" s="14">
        <v>1.3705841703750997E-3</v>
      </c>
    </row>
    <row r="160" spans="1:5">
      <c r="A160" t="s">
        <v>405</v>
      </c>
      <c r="B160" s="1">
        <v>4</v>
      </c>
      <c r="C160" s="12" t="s">
        <v>406</v>
      </c>
      <c r="D160" s="13" t="s">
        <v>407</v>
      </c>
      <c r="E160" s="14">
        <v>1.3705841703750997E-3</v>
      </c>
    </row>
    <row r="161" spans="1:5" s="5" customFormat="1">
      <c r="A161" s="5" t="s">
        <v>408</v>
      </c>
      <c r="B161" s="6">
        <v>2</v>
      </c>
      <c r="C161" s="15">
        <v>21</v>
      </c>
      <c r="D161" s="22" t="s">
        <v>409</v>
      </c>
      <c r="E161" s="17">
        <v>2.1418793931301517E-2</v>
      </c>
    </row>
    <row r="162" spans="1:5">
      <c r="A162" t="s">
        <v>410</v>
      </c>
      <c r="B162" s="1">
        <v>3</v>
      </c>
      <c r="C162" s="10" t="s">
        <v>411</v>
      </c>
      <c r="D162" s="11" t="s">
        <v>412</v>
      </c>
      <c r="E162" s="11">
        <v>2.1418793931301517E-2</v>
      </c>
    </row>
    <row r="163" spans="1:5">
      <c r="A163" t="s">
        <v>413</v>
      </c>
      <c r="B163" s="1">
        <v>4</v>
      </c>
      <c r="C163" s="12" t="s">
        <v>414</v>
      </c>
      <c r="D163" s="13" t="s">
        <v>415</v>
      </c>
      <c r="E163" s="14">
        <v>1.285127635878091E-2</v>
      </c>
    </row>
    <row r="164" spans="1:5">
      <c r="A164" t="s">
        <v>416</v>
      </c>
      <c r="B164" s="1">
        <v>4</v>
      </c>
      <c r="C164" s="12" t="s">
        <v>417</v>
      </c>
      <c r="D164" s="13" t="s">
        <v>418</v>
      </c>
      <c r="E164" s="14">
        <v>8.5675175725206075E-3</v>
      </c>
    </row>
    <row r="165" spans="1:5" s="5" customFormat="1">
      <c r="A165" s="5" t="s">
        <v>419</v>
      </c>
      <c r="B165" s="6">
        <v>2</v>
      </c>
      <c r="C165" s="15">
        <v>22</v>
      </c>
      <c r="D165" s="23" t="s">
        <v>420</v>
      </c>
      <c r="E165" s="17">
        <v>6.1354259757413501E-2</v>
      </c>
    </row>
    <row r="166" spans="1:5">
      <c r="A166" t="s">
        <v>421</v>
      </c>
      <c r="B166" s="1">
        <v>3</v>
      </c>
      <c r="C166" s="10" t="s">
        <v>422</v>
      </c>
      <c r="D166" s="11" t="s">
        <v>423</v>
      </c>
      <c r="E166" s="11">
        <v>6.1354259757413501E-2</v>
      </c>
    </row>
    <row r="167" spans="1:5">
      <c r="A167" t="s">
        <v>424</v>
      </c>
      <c r="B167" s="1">
        <v>4</v>
      </c>
      <c r="C167" s="12" t="s">
        <v>425</v>
      </c>
      <c r="D167" s="13" t="s">
        <v>426</v>
      </c>
      <c r="E167" s="14">
        <v>1.0225709959568917E-2</v>
      </c>
    </row>
    <row r="168" spans="1:5">
      <c r="A168" t="s">
        <v>427</v>
      </c>
      <c r="B168" s="1">
        <v>4</v>
      </c>
      <c r="C168" s="12" t="s">
        <v>428</v>
      </c>
      <c r="D168" s="13" t="s">
        <v>429</v>
      </c>
      <c r="E168" s="14">
        <v>1.0225709959568917E-2</v>
      </c>
    </row>
    <row r="169" spans="1:5">
      <c r="A169" t="s">
        <v>430</v>
      </c>
      <c r="B169" s="1">
        <v>4</v>
      </c>
      <c r="C169" s="12" t="s">
        <v>431</v>
      </c>
      <c r="D169" s="13" t="s">
        <v>432</v>
      </c>
      <c r="E169" s="14">
        <v>1.0225709959568917E-2</v>
      </c>
    </row>
    <row r="170" spans="1:5">
      <c r="A170" t="s">
        <v>433</v>
      </c>
      <c r="B170" s="1">
        <v>4</v>
      </c>
      <c r="C170" s="12" t="s">
        <v>434</v>
      </c>
      <c r="D170" s="13" t="s">
        <v>435</v>
      </c>
      <c r="E170" s="14">
        <v>1.0225709959568917E-2</v>
      </c>
    </row>
    <row r="171" spans="1:5">
      <c r="A171" t="s">
        <v>436</v>
      </c>
      <c r="B171" s="1">
        <v>4</v>
      </c>
      <c r="C171" s="12" t="s">
        <v>437</v>
      </c>
      <c r="D171" s="13" t="s">
        <v>438</v>
      </c>
      <c r="E171" s="14">
        <v>1.0225709959568917E-2</v>
      </c>
    </row>
    <row r="172" spans="1:5">
      <c r="A172" t="s">
        <v>439</v>
      </c>
      <c r="B172" s="1">
        <v>4</v>
      </c>
      <c r="C172" s="12" t="s">
        <v>440</v>
      </c>
      <c r="D172" s="13" t="s">
        <v>441</v>
      </c>
      <c r="E172" s="14">
        <v>1.0225709959568917E-2</v>
      </c>
    </row>
    <row r="173" spans="1:5" s="5" customFormat="1">
      <c r="A173" s="5" t="s">
        <v>442</v>
      </c>
      <c r="B173" s="6">
        <v>2</v>
      </c>
      <c r="C173" s="15">
        <v>23</v>
      </c>
      <c r="D173" s="23" t="s">
        <v>443</v>
      </c>
      <c r="E173" s="17">
        <v>6.8947506698723154E-2</v>
      </c>
    </row>
    <row r="174" spans="1:5">
      <c r="A174" t="s">
        <v>444</v>
      </c>
      <c r="B174" s="1">
        <v>3</v>
      </c>
      <c r="C174" s="10" t="s">
        <v>445</v>
      </c>
      <c r="D174" s="11" t="s">
        <v>446</v>
      </c>
      <c r="E174" s="11">
        <v>4.8781114478136595E-3</v>
      </c>
    </row>
    <row r="175" spans="1:5">
      <c r="A175" t="s">
        <v>447</v>
      </c>
      <c r="B175" s="1">
        <v>4</v>
      </c>
      <c r="C175" s="12" t="s">
        <v>448</v>
      </c>
      <c r="D175" s="13" t="s">
        <v>449</v>
      </c>
      <c r="E175" s="14">
        <v>4.8781114478136595E-3</v>
      </c>
    </row>
    <row r="176" spans="1:5">
      <c r="A176" t="s">
        <v>450</v>
      </c>
      <c r="B176" s="1">
        <v>3</v>
      </c>
      <c r="C176" s="24" t="s">
        <v>451</v>
      </c>
      <c r="D176" s="11" t="s">
        <v>452</v>
      </c>
      <c r="E176" s="11">
        <v>1.0781164361621555E-2</v>
      </c>
    </row>
    <row r="177" spans="1:5">
      <c r="A177" t="s">
        <v>453</v>
      </c>
      <c r="B177" s="1">
        <v>4</v>
      </c>
      <c r="C177" s="12" t="s">
        <v>454</v>
      </c>
      <c r="D177" s="13" t="s">
        <v>455</v>
      </c>
      <c r="E177" s="14">
        <v>2.3892277674524187E-3</v>
      </c>
    </row>
    <row r="178" spans="1:5">
      <c r="A178" t="s">
        <v>456</v>
      </c>
      <c r="B178" s="1">
        <v>4</v>
      </c>
      <c r="C178" s="12" t="s">
        <v>457</v>
      </c>
      <c r="D178" s="13" t="s">
        <v>458</v>
      </c>
      <c r="E178" s="14">
        <v>4.1959682970845683E-3</v>
      </c>
    </row>
    <row r="179" spans="1:5">
      <c r="A179" t="s">
        <v>459</v>
      </c>
      <c r="B179" s="1">
        <v>4</v>
      </c>
      <c r="C179" s="12" t="s">
        <v>460</v>
      </c>
      <c r="D179" s="13" t="s">
        <v>461</v>
      </c>
      <c r="E179" s="14">
        <v>4.1959682970845683E-3</v>
      </c>
    </row>
    <row r="180" spans="1:5">
      <c r="A180" t="s">
        <v>462</v>
      </c>
      <c r="B180" s="1">
        <v>3</v>
      </c>
      <c r="C180" s="10" t="s">
        <v>463</v>
      </c>
      <c r="D180" s="11" t="s">
        <v>464</v>
      </c>
      <c r="E180" s="11">
        <v>4.3949921110845391E-2</v>
      </c>
    </row>
    <row r="181" spans="1:5">
      <c r="A181" t="s">
        <v>465</v>
      </c>
      <c r="B181" s="1">
        <v>4</v>
      </c>
      <c r="C181" s="12" t="s">
        <v>466</v>
      </c>
      <c r="D181" s="13" t="s">
        <v>467</v>
      </c>
      <c r="E181" s="14">
        <v>4.3949921110845391E-2</v>
      </c>
    </row>
    <row r="182" spans="1:5">
      <c r="A182" t="s">
        <v>468</v>
      </c>
      <c r="B182" s="1">
        <v>3</v>
      </c>
      <c r="C182" s="24" t="s">
        <v>469</v>
      </c>
      <c r="D182" s="11" t="s">
        <v>470</v>
      </c>
      <c r="E182" s="11">
        <v>9.3383097784425478E-3</v>
      </c>
    </row>
    <row r="183" spans="1:5">
      <c r="A183" t="s">
        <v>471</v>
      </c>
      <c r="B183" s="1">
        <v>4</v>
      </c>
      <c r="C183" s="12" t="s">
        <v>472</v>
      </c>
      <c r="D183" s="13" t="s">
        <v>473</v>
      </c>
      <c r="E183" s="14">
        <v>5.1360703781434015E-3</v>
      </c>
    </row>
    <row r="184" spans="1:5">
      <c r="A184" t="s">
        <v>474</v>
      </c>
      <c r="B184" s="1">
        <v>4</v>
      </c>
      <c r="C184" s="12" t="s">
        <v>475</v>
      </c>
      <c r="D184" s="13" t="s">
        <v>476</v>
      </c>
      <c r="E184" s="14">
        <v>4.2022394002991462E-3</v>
      </c>
    </row>
    <row r="185" spans="1:5">
      <c r="A185" t="s">
        <v>477</v>
      </c>
      <c r="B185" s="1">
        <v>2</v>
      </c>
      <c r="C185" s="25">
        <v>24</v>
      </c>
      <c r="D185" s="22" t="s">
        <v>478</v>
      </c>
      <c r="E185" s="26">
        <v>5.2187709331150536E-2</v>
      </c>
    </row>
    <row r="186" spans="1:5">
      <c r="A186" t="s">
        <v>479</v>
      </c>
      <c r="B186" s="1">
        <v>3</v>
      </c>
      <c r="C186" s="24" t="s">
        <v>480</v>
      </c>
      <c r="D186" s="11" t="s">
        <v>481</v>
      </c>
      <c r="E186" s="11">
        <v>5.2187709331150536E-2</v>
      </c>
    </row>
    <row r="187" spans="1:5">
      <c r="A187" t="s">
        <v>482</v>
      </c>
      <c r="B187" s="1">
        <v>4</v>
      </c>
      <c r="C187" s="12" t="s">
        <v>483</v>
      </c>
      <c r="D187" s="13" t="s">
        <v>484</v>
      </c>
      <c r="E187" s="14">
        <v>8.2009257520379419E-3</v>
      </c>
    </row>
    <row r="188" spans="1:5">
      <c r="A188" t="s">
        <v>485</v>
      </c>
      <c r="B188" s="1">
        <v>4</v>
      </c>
      <c r="C188" s="12" t="s">
        <v>486</v>
      </c>
      <c r="D188" s="13" t="s">
        <v>487</v>
      </c>
      <c r="E188" s="14">
        <v>8.2009257520379419E-3</v>
      </c>
    </row>
    <row r="189" spans="1:5">
      <c r="A189" t="s">
        <v>488</v>
      </c>
      <c r="B189" s="1">
        <v>4</v>
      </c>
      <c r="C189" s="12" t="s">
        <v>489</v>
      </c>
      <c r="D189" s="13" t="s">
        <v>490</v>
      </c>
      <c r="E189" s="14">
        <v>1.1183080570960829E-2</v>
      </c>
    </row>
    <row r="190" spans="1:5">
      <c r="A190" t="s">
        <v>491</v>
      </c>
      <c r="B190" s="1">
        <v>4</v>
      </c>
      <c r="C190" s="12" t="s">
        <v>492</v>
      </c>
      <c r="D190" s="13" t="s">
        <v>493</v>
      </c>
      <c r="E190" s="14">
        <v>3.7276935236536094E-3</v>
      </c>
    </row>
    <row r="191" spans="1:5">
      <c r="A191" t="s">
        <v>494</v>
      </c>
      <c r="B191" s="1">
        <v>4</v>
      </c>
      <c r="C191" s="12" t="s">
        <v>495</v>
      </c>
      <c r="D191" s="13" t="s">
        <v>496</v>
      </c>
      <c r="E191" s="14">
        <v>8.5736951044033012E-3</v>
      </c>
    </row>
    <row r="192" spans="1:5">
      <c r="A192" t="s">
        <v>497</v>
      </c>
      <c r="B192" s="1">
        <v>4</v>
      </c>
      <c r="C192" s="12" t="s">
        <v>498</v>
      </c>
      <c r="D192" s="13" t="s">
        <v>499</v>
      </c>
      <c r="E192" s="14">
        <v>8.5736951044033012E-3</v>
      </c>
    </row>
    <row r="193" spans="1:5">
      <c r="A193" t="s">
        <v>500</v>
      </c>
      <c r="B193" s="1">
        <v>4</v>
      </c>
      <c r="C193" s="12" t="s">
        <v>501</v>
      </c>
      <c r="D193" s="13" t="s">
        <v>502</v>
      </c>
      <c r="E193" s="14">
        <v>3.7276935236536094E-3</v>
      </c>
    </row>
    <row r="194" spans="1:5">
      <c r="A194" t="s">
        <v>503</v>
      </c>
      <c r="B194" s="1">
        <v>2</v>
      </c>
      <c r="C194" s="25">
        <v>25</v>
      </c>
      <c r="D194" s="22" t="s">
        <v>504</v>
      </c>
      <c r="E194" s="26">
        <v>1.4374797565040171E-2</v>
      </c>
    </row>
    <row r="195" spans="1:5">
      <c r="A195" t="s">
        <v>597</v>
      </c>
      <c r="B195" s="1">
        <v>3</v>
      </c>
      <c r="C195" s="24" t="s">
        <v>598</v>
      </c>
      <c r="D195" s="11" t="s">
        <v>602</v>
      </c>
      <c r="E195" s="11">
        <f>E196</f>
        <v>2.3957995941733617E-3</v>
      </c>
    </row>
    <row r="196" spans="1:5">
      <c r="A196" t="s">
        <v>520</v>
      </c>
      <c r="B196" s="1">
        <v>4</v>
      </c>
      <c r="C196" s="12" t="s">
        <v>521</v>
      </c>
      <c r="D196" s="13" t="s">
        <v>522</v>
      </c>
      <c r="E196" s="14">
        <v>2.3957995941733617E-3</v>
      </c>
    </row>
    <row r="197" spans="1:5">
      <c r="A197" t="s">
        <v>601</v>
      </c>
      <c r="B197" s="1">
        <v>3</v>
      </c>
      <c r="C197" s="24" t="s">
        <v>596</v>
      </c>
      <c r="D197" s="11" t="s">
        <v>603</v>
      </c>
      <c r="E197" s="11">
        <f>E198</f>
        <v>2.3957995941733617E-3</v>
      </c>
    </row>
    <row r="198" spans="1:5">
      <c r="A198" t="s">
        <v>505</v>
      </c>
      <c r="B198" s="1">
        <v>4</v>
      </c>
      <c r="C198" s="12" t="s">
        <v>506</v>
      </c>
      <c r="D198" s="13" t="s">
        <v>507</v>
      </c>
      <c r="E198" s="14">
        <v>2.3957995941733617E-3</v>
      </c>
    </row>
    <row r="199" spans="1:5">
      <c r="A199" t="s">
        <v>599</v>
      </c>
      <c r="B199" s="1">
        <v>3</v>
      </c>
      <c r="C199" s="24" t="s">
        <v>600</v>
      </c>
      <c r="D199" s="11" t="s">
        <v>604</v>
      </c>
      <c r="E199" s="11">
        <f>E200+E201+E202+E203</f>
        <v>9.5831983766934466E-3</v>
      </c>
    </row>
    <row r="200" spans="1:5">
      <c r="A200" t="s">
        <v>508</v>
      </c>
      <c r="B200" s="1">
        <v>4</v>
      </c>
      <c r="C200" s="12" t="s">
        <v>509</v>
      </c>
      <c r="D200" s="13" t="s">
        <v>510</v>
      </c>
      <c r="E200" s="14">
        <v>2.3957995941733617E-3</v>
      </c>
    </row>
    <row r="201" spans="1:5">
      <c r="A201" t="s">
        <v>511</v>
      </c>
      <c r="B201" s="1">
        <v>4</v>
      </c>
      <c r="C201" s="12" t="s">
        <v>512</v>
      </c>
      <c r="D201" s="13" t="s">
        <v>513</v>
      </c>
      <c r="E201" s="14">
        <v>2.3957995941733617E-3</v>
      </c>
    </row>
    <row r="202" spans="1:5">
      <c r="A202" t="s">
        <v>514</v>
      </c>
      <c r="B202" s="1">
        <v>4</v>
      </c>
      <c r="C202" s="12" t="s">
        <v>515</v>
      </c>
      <c r="D202" s="13" t="s">
        <v>516</v>
      </c>
      <c r="E202" s="14">
        <v>2.3957995941733617E-3</v>
      </c>
    </row>
    <row r="203" spans="1:5">
      <c r="A203" t="s">
        <v>517</v>
      </c>
      <c r="B203" s="1">
        <v>4</v>
      </c>
      <c r="C203" s="12" t="s">
        <v>518</v>
      </c>
      <c r="D203" s="13" t="s">
        <v>519</v>
      </c>
      <c r="E203" s="14">
        <v>2.3957995941733617E-3</v>
      </c>
    </row>
    <row r="204" spans="1:5">
      <c r="A204" t="s">
        <v>523</v>
      </c>
      <c r="B204" s="1">
        <v>2</v>
      </c>
      <c r="C204" s="25">
        <v>28</v>
      </c>
      <c r="D204" s="22" t="s">
        <v>524</v>
      </c>
      <c r="E204" s="26">
        <f>E205+E208</f>
        <v>2.4928203926475049E-2</v>
      </c>
    </row>
    <row r="205" spans="1:5">
      <c r="A205" t="s">
        <v>605</v>
      </c>
      <c r="B205" s="1">
        <v>3</v>
      </c>
      <c r="C205" s="24" t="s">
        <v>606</v>
      </c>
      <c r="D205" s="11" t="s">
        <v>607</v>
      </c>
      <c r="E205" s="11">
        <f>E206+E207</f>
        <v>2.2215568879380764E-2</v>
      </c>
    </row>
    <row r="206" spans="1:5">
      <c r="A206" t="s">
        <v>525</v>
      </c>
      <c r="B206" s="1">
        <v>4</v>
      </c>
      <c r="C206" s="18" t="s">
        <v>526</v>
      </c>
      <c r="D206" s="19" t="s">
        <v>527</v>
      </c>
      <c r="E206" s="21">
        <v>1.6644617371374598E-2</v>
      </c>
    </row>
    <row r="207" spans="1:5">
      <c r="A207" t="s">
        <v>528</v>
      </c>
      <c r="B207" s="1">
        <v>4</v>
      </c>
      <c r="C207" s="12" t="s">
        <v>529</v>
      </c>
      <c r="D207" s="13" t="s">
        <v>530</v>
      </c>
      <c r="E207" s="21">
        <v>5.5709515080061651E-3</v>
      </c>
    </row>
    <row r="208" spans="1:5">
      <c r="A208" t="s">
        <v>608</v>
      </c>
      <c r="B208" s="1">
        <v>3</v>
      </c>
      <c r="C208" s="24" t="s">
        <v>609</v>
      </c>
      <c r="D208" s="11" t="s">
        <v>610</v>
      </c>
      <c r="E208" s="11">
        <f>E209</f>
        <v>2.7126350470942856E-3</v>
      </c>
    </row>
    <row r="209" spans="1:5">
      <c r="A209" t="s">
        <v>537</v>
      </c>
      <c r="B209" s="1">
        <v>4</v>
      </c>
      <c r="C209" s="12" t="s">
        <v>538</v>
      </c>
      <c r="D209" s="13" t="s">
        <v>539</v>
      </c>
      <c r="E209" s="21">
        <v>2.7126350470942856E-3</v>
      </c>
    </row>
    <row r="210" spans="1:5">
      <c r="A210" t="s">
        <v>613</v>
      </c>
      <c r="B210" s="1">
        <v>2</v>
      </c>
      <c r="C210" s="25" t="s">
        <v>614</v>
      </c>
      <c r="D210" s="22" t="s">
        <v>616</v>
      </c>
      <c r="E210" s="26">
        <f>E211</f>
        <v>3.253138771377324E-3</v>
      </c>
    </row>
    <row r="211" spans="1:5">
      <c r="A211" t="s">
        <v>611</v>
      </c>
      <c r="B211" s="1">
        <v>3</v>
      </c>
      <c r="C211" s="24" t="s">
        <v>612</v>
      </c>
      <c r="D211" s="11" t="s">
        <v>615</v>
      </c>
      <c r="E211" s="11">
        <f>E212+E213</f>
        <v>3.253138771377324E-3</v>
      </c>
    </row>
    <row r="212" spans="1:5">
      <c r="A212" t="s">
        <v>531</v>
      </c>
      <c r="B212" s="1">
        <v>4</v>
      </c>
      <c r="C212" s="12" t="s">
        <v>532</v>
      </c>
      <c r="D212" s="13" t="s">
        <v>533</v>
      </c>
      <c r="E212" s="21">
        <v>1.626569385688662E-3</v>
      </c>
    </row>
    <row r="213" spans="1:5">
      <c r="A213" t="s">
        <v>534</v>
      </c>
      <c r="B213" s="1">
        <v>4</v>
      </c>
      <c r="C213" s="12" t="s">
        <v>535</v>
      </c>
      <c r="D213" s="13" t="s">
        <v>536</v>
      </c>
      <c r="E213" s="21">
        <v>1.626569385688662E-3</v>
      </c>
    </row>
    <row r="214" spans="1:5">
      <c r="A214" t="s">
        <v>540</v>
      </c>
      <c r="B214" s="1">
        <v>2</v>
      </c>
      <c r="C214" s="25">
        <v>31</v>
      </c>
      <c r="D214" s="22" t="s">
        <v>541</v>
      </c>
      <c r="E214" s="26">
        <v>3.390739502074714E-2</v>
      </c>
    </row>
    <row r="215" spans="1:5">
      <c r="A215" t="s">
        <v>542</v>
      </c>
      <c r="B215" s="1">
        <v>3</v>
      </c>
      <c r="C215" s="10" t="s">
        <v>543</v>
      </c>
      <c r="D215" s="11" t="s">
        <v>544</v>
      </c>
      <c r="E215" s="11">
        <v>3.390739502074714E-2</v>
      </c>
    </row>
    <row r="216" spans="1:5">
      <c r="A216" t="s">
        <v>545</v>
      </c>
      <c r="B216" s="1">
        <v>4</v>
      </c>
      <c r="C216" s="12" t="s">
        <v>546</v>
      </c>
      <c r="D216" s="13" t="s">
        <v>547</v>
      </c>
      <c r="E216" s="14">
        <v>1.1302465006915714E-2</v>
      </c>
    </row>
    <row r="217" spans="1:5">
      <c r="A217" t="s">
        <v>548</v>
      </c>
      <c r="B217" s="1">
        <v>4</v>
      </c>
      <c r="C217" s="12" t="s">
        <v>549</v>
      </c>
      <c r="D217" s="13" t="s">
        <v>550</v>
      </c>
      <c r="E217" s="14">
        <v>1.1302465006915714E-2</v>
      </c>
    </row>
    <row r="218" spans="1:5">
      <c r="A218" t="s">
        <v>551</v>
      </c>
      <c r="B218" s="1">
        <v>4</v>
      </c>
      <c r="C218" s="12" t="s">
        <v>552</v>
      </c>
      <c r="D218" s="13" t="s">
        <v>553</v>
      </c>
      <c r="E218" s="14">
        <v>1.1302465006915714E-2</v>
      </c>
    </row>
    <row r="219" spans="1:5">
      <c r="A219" t="s">
        <v>554</v>
      </c>
      <c r="B219" s="1">
        <v>2</v>
      </c>
      <c r="C219" s="25">
        <v>32</v>
      </c>
      <c r="D219" s="22" t="s">
        <v>555</v>
      </c>
      <c r="E219" s="26">
        <v>8.0247059260694902E-3</v>
      </c>
    </row>
    <row r="220" spans="1:5">
      <c r="A220" t="s">
        <v>617</v>
      </c>
      <c r="B220" s="1">
        <v>3</v>
      </c>
      <c r="C220" s="24" t="s">
        <v>620</v>
      </c>
      <c r="D220" s="11" t="s">
        <v>621</v>
      </c>
      <c r="E220" s="11">
        <f>E221</f>
        <v>1.2884637124878191E-3</v>
      </c>
    </row>
    <row r="221" spans="1:5">
      <c r="A221" t="s">
        <v>559</v>
      </c>
      <c r="B221" s="1">
        <v>4</v>
      </c>
      <c r="C221" s="12" t="s">
        <v>560</v>
      </c>
      <c r="D221" s="13" t="s">
        <v>561</v>
      </c>
      <c r="E221" s="14">
        <v>1.2884637124878191E-3</v>
      </c>
    </row>
    <row r="222" spans="1:5">
      <c r="A222" t="s">
        <v>619</v>
      </c>
      <c r="B222" s="1">
        <v>3</v>
      </c>
      <c r="C222" s="24" t="s">
        <v>618</v>
      </c>
      <c r="D222" s="11" t="s">
        <v>622</v>
      </c>
      <c r="E222" s="11">
        <f>E223</f>
        <v>6.7362422135816714E-3</v>
      </c>
    </row>
    <row r="223" spans="1:5">
      <c r="A223" t="s">
        <v>556</v>
      </c>
      <c r="B223" s="1">
        <v>4</v>
      </c>
      <c r="C223" s="12" t="s">
        <v>557</v>
      </c>
      <c r="D223" s="13" t="s">
        <v>558</v>
      </c>
      <c r="E223" s="14">
        <v>6.7362422135816714E-3</v>
      </c>
    </row>
  </sheetData>
  <autoFilter ref="A1:E223" xr:uid="{1F5EAFB2-2939-4EE4-9654-46D67CBFA51D}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estructura_IPP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2025-05-27T23:19:13Z</dcterms:created>
  <dcterms:modified xsi:type="dcterms:W3CDTF">2025-05-28T02:18:10Z</dcterms:modified>
</cp:coreProperties>
</file>