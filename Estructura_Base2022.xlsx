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ernestina_perez_un_org/Documents/0Escritorio/ESCRITORIO/AT Paises/AT Guatemala/2025/AT Mayo/IPP/"/>
    </mc:Choice>
  </mc:AlternateContent>
  <xr:revisionPtr revIDLastSave="787" documentId="8_{015DD49E-54F1-4D6B-B848-F7D4DED6C029}" xr6:coauthVersionLast="47" xr6:coauthVersionMax="47" xr10:uidLastSave="{F2D8D567-B644-4993-9E4D-E0E9B788C85D}"/>
  <bookViews>
    <workbookView xWindow="19090" yWindow="-110" windowWidth="19420" windowHeight="10300" activeTab="1" xr2:uid="{68FD1FFA-4BDE-43BC-8514-E7A9C6A7583A}"/>
  </bookViews>
  <sheets>
    <sheet name="Estructura 2022" sheetId="3" r:id="rId1"/>
    <sheet name="Sheet1" sheetId="4" r:id="rId2"/>
    <sheet name="Base_revision" sheetId="1" r:id="rId3"/>
    <sheet name="consultas" sheetId="2" r:id="rId4"/>
  </sheets>
  <externalReferences>
    <externalReference r:id="rId5"/>
  </externalReferences>
  <definedNames>
    <definedName name="_xlnm._FilterDatabase" localSheetId="2" hidden="1">Base_revision!$T$2:$AA$306</definedName>
    <definedName name="_xlnm._FilterDatabase" localSheetId="0" hidden="1">'Estructura 2022'!$A$1:$C$306</definedName>
    <definedName name="_xlnm._FilterDatabase" localSheetId="1" hidden="1">Sheet1!$A$1:$H$131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7" i="4" l="1"/>
  <c r="I122" i="4"/>
  <c r="I119" i="4"/>
  <c r="I117" i="4"/>
  <c r="I115" i="4"/>
  <c r="I113" i="4"/>
  <c r="I111" i="4"/>
  <c r="I108" i="4"/>
  <c r="I106" i="4"/>
  <c r="I104" i="4"/>
  <c r="I102" i="4"/>
  <c r="I99" i="4"/>
  <c r="I96" i="4"/>
  <c r="I94" i="4"/>
  <c r="I92" i="4"/>
  <c r="I90" i="4"/>
  <c r="I88" i="4"/>
  <c r="I85" i="4"/>
  <c r="I83" i="4"/>
  <c r="I81" i="4"/>
  <c r="I78" i="4"/>
  <c r="I76" i="4"/>
  <c r="I74" i="4"/>
  <c r="I72" i="4"/>
  <c r="I69" i="4"/>
  <c r="I66" i="4"/>
  <c r="I64" i="4"/>
  <c r="I61" i="4"/>
  <c r="I59" i="4"/>
  <c r="I57" i="4"/>
  <c r="I54" i="4"/>
  <c r="I52" i="4"/>
  <c r="I50" i="4"/>
  <c r="I48" i="4"/>
  <c r="I46" i="4"/>
  <c r="I44" i="4"/>
  <c r="I42" i="4"/>
  <c r="I40" i="4"/>
  <c r="I38" i="4"/>
  <c r="I35" i="4"/>
  <c r="I33" i="4"/>
  <c r="I30" i="4"/>
  <c r="I27" i="4"/>
  <c r="I25" i="4"/>
  <c r="I22" i="4"/>
  <c r="I20" i="4"/>
  <c r="I15" i="4"/>
  <c r="I12" i="4"/>
  <c r="I10" i="4"/>
  <c r="I8" i="4"/>
  <c r="I5" i="4"/>
  <c r="I129" i="4"/>
  <c r="I3" i="4"/>
  <c r="AE15" i="1" l="1"/>
  <c r="AE192" i="1"/>
  <c r="AE305" i="1"/>
  <c r="AE302" i="1"/>
  <c r="AE297" i="1"/>
  <c r="AE294" i="1"/>
  <c r="AE291" i="1"/>
  <c r="AE289" i="1"/>
  <c r="AE287" i="1"/>
  <c r="AE284" i="1"/>
  <c r="AE278" i="1"/>
  <c r="AE269" i="1"/>
  <c r="AE265" i="1"/>
  <c r="AE261" i="1"/>
  <c r="AE258" i="1"/>
  <c r="AE255" i="1"/>
  <c r="AE252" i="1"/>
  <c r="AE248" i="1"/>
  <c r="AE239" i="1"/>
  <c r="AE234" i="1"/>
  <c r="AE232" i="1"/>
  <c r="AE229" i="1"/>
  <c r="AE223" i="1"/>
  <c r="AE217" i="1"/>
  <c r="AE212" i="1"/>
  <c r="AE209" i="1"/>
  <c r="AE207" i="1"/>
  <c r="AE199" i="1"/>
  <c r="AE196" i="1"/>
  <c r="AE194" i="1"/>
  <c r="AE189" i="1"/>
  <c r="AE185" i="1"/>
  <c r="AE183" i="1"/>
  <c r="AE177" i="1"/>
  <c r="AE172" i="1"/>
  <c r="AE166" i="1"/>
  <c r="AE162" i="1"/>
  <c r="AE160" i="1"/>
  <c r="AE156" i="1"/>
  <c r="AE147" i="1"/>
  <c r="AE140" i="1"/>
  <c r="AE138" i="1"/>
  <c r="AE131" i="1"/>
  <c r="AE129" i="1"/>
  <c r="AE126" i="1"/>
  <c r="AE124" i="1"/>
  <c r="AE122" i="1"/>
  <c r="AE119" i="1"/>
  <c r="AE116" i="1"/>
  <c r="AE112" i="1"/>
  <c r="AE102" i="1"/>
  <c r="AE99" i="1"/>
  <c r="AE94" i="1"/>
  <c r="AE90" i="1"/>
  <c r="AE87" i="1"/>
  <c r="AE83" i="1"/>
  <c r="AE81" i="1"/>
  <c r="AE78" i="1"/>
  <c r="AE69" i="1"/>
  <c r="AE301" i="1"/>
  <c r="AE296" i="1"/>
  <c r="AE286" i="1"/>
  <c r="AE277" i="1"/>
  <c r="AE268" i="1"/>
  <c r="AE264" i="1"/>
  <c r="AE260" i="1"/>
  <c r="AE257" i="1"/>
  <c r="AE251" i="1"/>
  <c r="AE247" i="1"/>
  <c r="AE238" i="1"/>
  <c r="AE233" i="1"/>
  <c r="AE228" i="1"/>
  <c r="AE216" i="1"/>
  <c r="AE211" i="1"/>
  <c r="AE208" i="1"/>
  <c r="AE206" i="1"/>
  <c r="AE198" i="1"/>
  <c r="AE193" i="1"/>
  <c r="AE191" i="1"/>
  <c r="AE188" i="1"/>
  <c r="AE182" i="1"/>
  <c r="AE176" i="1"/>
  <c r="AE171" i="1"/>
  <c r="AE165" i="1"/>
  <c r="AE159" i="1"/>
  <c r="AE146" i="1"/>
  <c r="AE139" i="1"/>
  <c r="AE130" i="1"/>
  <c r="AE128" i="1"/>
  <c r="AE125" i="1"/>
  <c r="AE121" i="1"/>
  <c r="AE118" i="1"/>
  <c r="AE115" i="1"/>
  <c r="AE111" i="1"/>
  <c r="AE101" i="1"/>
  <c r="AE98" i="1"/>
  <c r="AE93" i="1"/>
  <c r="AE89" i="1"/>
  <c r="AE86" i="1"/>
  <c r="AE80" i="1"/>
  <c r="AE77" i="1"/>
  <c r="AE65" i="1"/>
  <c r="AE60" i="1"/>
  <c r="AE57" i="1"/>
  <c r="AE47" i="1"/>
  <c r="AE66" i="1"/>
  <c r="AE63" i="1"/>
  <c r="AE61" i="1"/>
  <c r="AE58" i="1"/>
  <c r="AE54" i="1"/>
  <c r="AE48" i="1"/>
  <c r="AE42" i="1"/>
  <c r="AE41" i="1"/>
  <c r="AE38" i="1"/>
  <c r="AE31" i="1"/>
  <c r="AE27" i="1"/>
  <c r="AE22" i="1"/>
  <c r="AE17" i="1"/>
  <c r="AE14" i="1"/>
  <c r="AE11" i="1"/>
  <c r="AE6" i="1"/>
  <c r="X301" i="1" l="1"/>
  <c r="AA301" i="1" s="1"/>
  <c r="AF301" i="1" s="1"/>
  <c r="X296" i="1"/>
  <c r="AA296" i="1" s="1"/>
  <c r="AF296" i="1" s="1"/>
  <c r="AF297" i="1" s="1"/>
  <c r="X286" i="1"/>
  <c r="AA286" i="1" s="1"/>
  <c r="AF286" i="1" s="1"/>
  <c r="X277" i="1"/>
  <c r="AA277" i="1" s="1"/>
  <c r="AF277" i="1" s="1"/>
  <c r="X268" i="1"/>
  <c r="AA268" i="1" s="1"/>
  <c r="AF268" i="1" s="1"/>
  <c r="AF269" i="1" s="1"/>
  <c r="X264" i="1"/>
  <c r="AA264" i="1" s="1"/>
  <c r="AF264" i="1" s="1"/>
  <c r="AF265" i="1" s="1"/>
  <c r="X260" i="1"/>
  <c r="AA260" i="1" s="1"/>
  <c r="AF260" i="1" s="1"/>
  <c r="AF261" i="1" s="1"/>
  <c r="X257" i="1"/>
  <c r="AA257" i="1" s="1"/>
  <c r="AF257" i="1" s="1"/>
  <c r="AF258" i="1" s="1"/>
  <c r="X251" i="1"/>
  <c r="AA251" i="1" s="1"/>
  <c r="AF251" i="1" s="1"/>
  <c r="X247" i="1"/>
  <c r="AA247" i="1" s="1"/>
  <c r="AF247" i="1" s="1"/>
  <c r="AF248" i="1" s="1"/>
  <c r="X238" i="1"/>
  <c r="AA238" i="1" s="1"/>
  <c r="AF238" i="1" s="1"/>
  <c r="AF239" i="1" s="1"/>
  <c r="X233" i="1"/>
  <c r="AA233" i="1" s="1"/>
  <c r="AF233" i="1" s="1"/>
  <c r="AF234" i="1" s="1"/>
  <c r="X228" i="1"/>
  <c r="AA228" i="1" s="1"/>
  <c r="AF228" i="1" s="1"/>
  <c r="X216" i="1"/>
  <c r="AA216" i="1" s="1"/>
  <c r="AF216" i="1" s="1"/>
  <c r="X211" i="1"/>
  <c r="AA211" i="1" s="1"/>
  <c r="AF211" i="1" s="1"/>
  <c r="AF212" i="1" s="1"/>
  <c r="X208" i="1"/>
  <c r="AA208" i="1" s="1"/>
  <c r="AF208" i="1" s="1"/>
  <c r="AF209" i="1" s="1"/>
  <c r="X206" i="1"/>
  <c r="AA206" i="1" s="1"/>
  <c r="AF206" i="1" s="1"/>
  <c r="X198" i="1"/>
  <c r="AA198" i="1" s="1"/>
  <c r="AF198" i="1" s="1"/>
  <c r="AF199" i="1" s="1"/>
  <c r="X193" i="1"/>
  <c r="AA193" i="1" s="1"/>
  <c r="AF193" i="1" s="1"/>
  <c r="X191" i="1"/>
  <c r="AA191" i="1" s="1"/>
  <c r="AF191" i="1" s="1"/>
  <c r="X188" i="1"/>
  <c r="AA188" i="1" s="1"/>
  <c r="AF188" i="1" s="1"/>
  <c r="AF207" i="1" s="1"/>
  <c r="X182" i="1"/>
  <c r="AA182" i="1" s="1"/>
  <c r="AF182" i="1" s="1"/>
  <c r="X176" i="1"/>
  <c r="AA176" i="1" s="1"/>
  <c r="AF176" i="1" s="1"/>
  <c r="AF177" i="1" s="1"/>
  <c r="X171" i="1"/>
  <c r="AA171" i="1" s="1"/>
  <c r="AF171" i="1" s="1"/>
  <c r="AF172" i="1" s="1"/>
  <c r="X165" i="1"/>
  <c r="AA165" i="1" s="1"/>
  <c r="AF165" i="1" s="1"/>
  <c r="AF166" i="1" s="1"/>
  <c r="X159" i="1"/>
  <c r="AA159" i="1" s="1"/>
  <c r="AF159" i="1" s="1"/>
  <c r="X146" i="1"/>
  <c r="AA146" i="1" s="1"/>
  <c r="X139" i="1"/>
  <c r="AA139" i="1" s="1"/>
  <c r="X130" i="1"/>
  <c r="AA130" i="1" s="1"/>
  <c r="X128" i="1"/>
  <c r="AA128" i="1" s="1"/>
  <c r="X125" i="1"/>
  <c r="AA125" i="1" s="1"/>
  <c r="X121" i="1"/>
  <c r="AA121" i="1" s="1"/>
  <c r="X118" i="1"/>
  <c r="AA118" i="1" s="1"/>
  <c r="X115" i="1"/>
  <c r="AA115" i="1" s="1"/>
  <c r="X111" i="1"/>
  <c r="AA111" i="1" s="1"/>
  <c r="X101" i="1"/>
  <c r="AA101" i="1" s="1"/>
  <c r="X98" i="1"/>
  <c r="AA98" i="1" s="1"/>
  <c r="X93" i="1"/>
  <c r="AA93" i="1" s="1"/>
  <c r="X89" i="1"/>
  <c r="AA89" i="1" s="1"/>
  <c r="X86" i="1"/>
  <c r="AA86" i="1" s="1"/>
  <c r="X80" i="1"/>
  <c r="AA80" i="1" s="1"/>
  <c r="X77" i="1"/>
  <c r="AA77" i="1" s="1"/>
  <c r="X65" i="1"/>
  <c r="AA65" i="1" s="1"/>
  <c r="X60" i="1"/>
  <c r="AA60" i="1" s="1"/>
  <c r="X57" i="1"/>
  <c r="AA57" i="1" s="1"/>
  <c r="X47" i="1"/>
  <c r="AA47" i="1" s="1"/>
  <c r="X41" i="1"/>
  <c r="AA41" i="1" s="1"/>
  <c r="X22" i="1"/>
  <c r="AA22" i="1" s="1"/>
  <c r="X17" i="1"/>
  <c r="AA17" i="1" s="1"/>
  <c r="X14" i="1"/>
  <c r="AA14" i="1" s="1"/>
  <c r="X11" i="1"/>
  <c r="AA11" i="1" s="1"/>
  <c r="X6" i="1"/>
  <c r="AA6" i="1" s="1"/>
  <c r="X3" i="1"/>
  <c r="AA3" i="1" s="1"/>
  <c r="AF305" i="1" l="1"/>
  <c r="AF302" i="1"/>
  <c r="AF294" i="1"/>
  <c r="AF291" i="1"/>
  <c r="AF289" i="1"/>
  <c r="AF287" i="1"/>
  <c r="AF284" i="1"/>
  <c r="AF278" i="1"/>
  <c r="AF255" i="1"/>
  <c r="AF252" i="1"/>
  <c r="AF232" i="1"/>
  <c r="AF229" i="1"/>
  <c r="AF223" i="1"/>
  <c r="AF217" i="1"/>
  <c r="AF196" i="1"/>
  <c r="AF194" i="1"/>
  <c r="AF189" i="1"/>
  <c r="AF192" i="1"/>
  <c r="AF185" i="1"/>
  <c r="AF183" i="1"/>
  <c r="AF162" i="1"/>
  <c r="AF160" i="1"/>
  <c r="AF156" i="1"/>
  <c r="AF147" i="1"/>
  <c r="AF146" i="1"/>
  <c r="Y307" i="1"/>
  <c r="AC301" i="1"/>
  <c r="G297" i="1"/>
  <c r="AC296" i="1"/>
  <c r="G294" i="1"/>
  <c r="AC286" i="1"/>
  <c r="G284" i="1"/>
  <c r="AC277" i="1"/>
  <c r="G269" i="1"/>
  <c r="AC268" i="1"/>
  <c r="G265" i="1"/>
  <c r="AC264" i="1"/>
  <c r="G261" i="1"/>
  <c r="AC260" i="1"/>
  <c r="G258" i="1"/>
  <c r="AC257" i="1"/>
  <c r="G255" i="1"/>
  <c r="AC251" i="1"/>
  <c r="G248" i="1"/>
  <c r="AC247" i="1"/>
  <c r="G239" i="1"/>
  <c r="AC238" i="1"/>
  <c r="G234" i="1"/>
  <c r="AC233" i="1"/>
  <c r="G232" i="1"/>
  <c r="AC228" i="1"/>
  <c r="G223" i="1"/>
  <c r="AC216" i="1"/>
  <c r="G212" i="1"/>
  <c r="AC211" i="1"/>
  <c r="G209" i="1"/>
  <c r="AC208" i="1"/>
  <c r="G207" i="1"/>
  <c r="AC206" i="1"/>
  <c r="G199" i="1"/>
  <c r="AC198" i="1"/>
  <c r="G196" i="1"/>
  <c r="AC193" i="1"/>
  <c r="G192" i="1"/>
  <c r="AC191" i="1"/>
  <c r="G189" i="1"/>
  <c r="AC188" i="1"/>
  <c r="G185" i="1"/>
  <c r="AC182" i="1"/>
  <c r="G177" i="1"/>
  <c r="AC176" i="1"/>
  <c r="G172" i="1"/>
  <c r="AC171" i="1"/>
  <c r="G166" i="1"/>
  <c r="AC165" i="1"/>
  <c r="G162" i="1"/>
  <c r="AD159" i="1"/>
  <c r="AC159" i="1"/>
  <c r="G156" i="1"/>
  <c r="AC146" i="1"/>
  <c r="G140" i="1"/>
  <c r="AC139" i="1"/>
  <c r="AF139" i="1"/>
  <c r="AF140" i="1" s="1"/>
  <c r="G138" i="1"/>
  <c r="AC130" i="1"/>
  <c r="AF130" i="1"/>
  <c r="AF131" i="1" s="1"/>
  <c r="G129" i="1"/>
  <c r="AC128" i="1"/>
  <c r="AF128" i="1"/>
  <c r="AF129" i="1" s="1"/>
  <c r="AF138" i="1" s="1"/>
  <c r="R128" i="1"/>
  <c r="Q128" i="1"/>
  <c r="N128" i="1"/>
  <c r="G126" i="1"/>
  <c r="AC125" i="1"/>
  <c r="AF125" i="1"/>
  <c r="AF126" i="1" s="1"/>
  <c r="G124" i="1"/>
  <c r="AC121" i="1"/>
  <c r="AF121" i="1"/>
  <c r="G119" i="1"/>
  <c r="AC118" i="1"/>
  <c r="AF118" i="1"/>
  <c r="AF119" i="1" s="1"/>
  <c r="G116" i="1"/>
  <c r="AC115" i="1"/>
  <c r="AF115" i="1"/>
  <c r="AF116" i="1" s="1"/>
  <c r="G112" i="1"/>
  <c r="AC111" i="1"/>
  <c r="AF111" i="1"/>
  <c r="AF112" i="1" s="1"/>
  <c r="G102" i="1"/>
  <c r="AD101" i="1"/>
  <c r="AC101" i="1"/>
  <c r="AF101" i="1"/>
  <c r="AF102" i="1" s="1"/>
  <c r="G99" i="1"/>
  <c r="AC98" i="1"/>
  <c r="AF98" i="1"/>
  <c r="AF99" i="1" s="1"/>
  <c r="G94" i="1"/>
  <c r="AC93" i="1"/>
  <c r="AF93" i="1"/>
  <c r="AF94" i="1" s="1"/>
  <c r="G90" i="1"/>
  <c r="AC89" i="1"/>
  <c r="AF89" i="1"/>
  <c r="AF90" i="1" s="1"/>
  <c r="G87" i="1"/>
  <c r="AC86" i="1"/>
  <c r="AF86" i="1"/>
  <c r="AF87" i="1" s="1"/>
  <c r="G83" i="1"/>
  <c r="AC80" i="1"/>
  <c r="AF80" i="1"/>
  <c r="G78" i="1"/>
  <c r="AC77" i="1"/>
  <c r="AF77" i="1"/>
  <c r="AF78" i="1" s="1"/>
  <c r="G69" i="1"/>
  <c r="AC65" i="1"/>
  <c r="AF65" i="1"/>
  <c r="G63" i="1"/>
  <c r="AC60" i="1"/>
  <c r="AF60" i="1"/>
  <c r="G58" i="1"/>
  <c r="AC57" i="1"/>
  <c r="AF57" i="1"/>
  <c r="AF58" i="1" s="1"/>
  <c r="G54" i="1"/>
  <c r="AC47" i="1"/>
  <c r="AF47" i="1"/>
  <c r="G42" i="1"/>
  <c r="AC41" i="1"/>
  <c r="AF41" i="1"/>
  <c r="AF42" i="1" s="1"/>
  <c r="G38" i="1"/>
  <c r="AC22" i="1"/>
  <c r="AF22" i="1"/>
  <c r="G20" i="1"/>
  <c r="AC17" i="1"/>
  <c r="AF18" i="1"/>
  <c r="G15" i="1"/>
  <c r="AC14" i="1"/>
  <c r="AF14" i="1"/>
  <c r="AF15" i="1" s="1"/>
  <c r="G12" i="1"/>
  <c r="AC11" i="1"/>
  <c r="AF11" i="1"/>
  <c r="AF12" i="1" s="1"/>
  <c r="G9" i="1"/>
  <c r="AC6" i="1"/>
  <c r="AF6" i="1"/>
  <c r="AC4" i="1"/>
  <c r="G4" i="1"/>
  <c r="AC3" i="1"/>
  <c r="G2" i="1"/>
  <c r="AF122" i="1" l="1"/>
  <c r="AF124" i="1"/>
  <c r="AF81" i="1"/>
  <c r="AF83" i="1"/>
  <c r="AF66" i="1"/>
  <c r="AF69" i="1"/>
  <c r="AF61" i="1"/>
  <c r="AF63" i="1"/>
  <c r="AF48" i="1"/>
  <c r="AF54" i="1"/>
  <c r="G306" i="1"/>
  <c r="AA307" i="1"/>
  <c r="AF9" i="1"/>
  <c r="AF7" i="1"/>
  <c r="AF31" i="1"/>
  <c r="AF27" i="1"/>
  <c r="AF23" i="1"/>
  <c r="AF38" i="1"/>
  <c r="AF17" i="1"/>
  <c r="AF20" i="1" s="1"/>
  <c r="AF3" i="1"/>
  <c r="AF4" i="1" l="1"/>
  <c r="AF30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tc={61BAB182-D5EA-4E8B-9932-342879BF5B93}</author>
  </authors>
  <commentList>
    <comment ref="B95" authorId="0" shapeId="0" xr:uid="{61BAB182-D5EA-4E8B-9932-342879BF5B9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Incluye Chocolate para cobertura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tc={F0D47A98-3F4D-4355-AB09-0A77DB472A9F}</author>
  </authors>
  <commentList>
    <comment ref="AE95" authorId="0" shapeId="0" xr:uid="{F0D47A98-3F4D-4355-AB09-0A77DB472A9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Incluye Chocolate para cobertura</t>
      </text>
    </comment>
  </commentList>
</comments>
</file>

<file path=xl/sharedStrings.xml><?xml version="1.0" encoding="utf-8"?>
<sst xmlns="http://schemas.openxmlformats.org/spreadsheetml/2006/main" count="2362" uniqueCount="666">
  <si>
    <t>Seccion</t>
  </si>
  <si>
    <t>NAEG</t>
  </si>
  <si>
    <t>Nombre/NPG</t>
  </si>
  <si>
    <t>Nom_prod</t>
  </si>
  <si>
    <t>VALOR</t>
  </si>
  <si>
    <t>Participacion</t>
  </si>
  <si>
    <t>VAB</t>
  </si>
  <si>
    <t>VAB2022</t>
  </si>
  <si>
    <t>VAB2023</t>
  </si>
  <si>
    <t>VBP2022</t>
  </si>
  <si>
    <t>VBP2023</t>
  </si>
  <si>
    <t>SECCIÓN</t>
  </si>
  <si>
    <t>NPG/NombreNAEG</t>
  </si>
  <si>
    <t>Glosa_NPG</t>
  </si>
  <si>
    <t>PRODUCCIÓN</t>
  </si>
  <si>
    <t>ESTRUCTURA %</t>
  </si>
  <si>
    <t>Porcentaje VBP</t>
  </si>
  <si>
    <t>CIIU correl</t>
  </si>
  <si>
    <t>CIIU_Clase</t>
  </si>
  <si>
    <t>C</t>
  </si>
  <si>
    <t>AE029</t>
  </si>
  <si>
    <t>Elaboración y conservación de carne de ganado bovino</t>
  </si>
  <si>
    <t>Industrias manufactureras</t>
  </si>
  <si>
    <t>P2101</t>
  </si>
  <si>
    <t>Carne y despojos comestibles de ganado bovino</t>
  </si>
  <si>
    <t>AE030</t>
  </si>
  <si>
    <t>Elaboración y conservación de carne de ganado porcino</t>
  </si>
  <si>
    <t>10101</t>
  </si>
  <si>
    <t>AE031</t>
  </si>
  <si>
    <t>Elaboración y conservación de carne de aves de corral</t>
  </si>
  <si>
    <t>21111</t>
  </si>
  <si>
    <t>P2102</t>
  </si>
  <si>
    <t>Carne y despojos comestibles de ganado porcino</t>
  </si>
  <si>
    <t>AE032</t>
  </si>
  <si>
    <t>Elaboración de productos cárnicos y elaboración de otros productos de origen animal n.c.p.</t>
  </si>
  <si>
    <t>10102</t>
  </si>
  <si>
    <t>P2104</t>
  </si>
  <si>
    <t>Carne y despojos de otros animales y conservas y preparados de carne</t>
  </si>
  <si>
    <t>AE033</t>
  </si>
  <si>
    <t>Elaboración y conservación de pescado, crustáceos y moluscos</t>
  </si>
  <si>
    <t>21113</t>
  </si>
  <si>
    <t>Carne de cerdo, fresca o refrigerada</t>
  </si>
  <si>
    <t>AE034</t>
  </si>
  <si>
    <t>Elaboración y conservación de frutas, legumbres y hortalizas</t>
  </si>
  <si>
    <t>NO</t>
  </si>
  <si>
    <t>P2103</t>
  </si>
  <si>
    <t>Carne y despojos comestibles de aves</t>
  </si>
  <si>
    <t>AE035</t>
  </si>
  <si>
    <t>Elaboración de aceites y grasas de origen vegetal y animal</t>
  </si>
  <si>
    <t>10103</t>
  </si>
  <si>
    <t>AE036</t>
  </si>
  <si>
    <t>Elaboración de productos lácteos</t>
  </si>
  <si>
    <t>21121</t>
  </si>
  <si>
    <t>Carne de pollo, fresca o refrigerada</t>
  </si>
  <si>
    <t>AE037</t>
  </si>
  <si>
    <t>Elaboración de harina de trigo</t>
  </si>
  <si>
    <t>10104</t>
  </si>
  <si>
    <t>AE038</t>
  </si>
  <si>
    <t>Beneficios de arroz</t>
  </si>
  <si>
    <t>21174</t>
  </si>
  <si>
    <t>Embutidos y productos similares de carne, despojos o sangre</t>
  </si>
  <si>
    <t>P2202</t>
  </si>
  <si>
    <t>Crustáceos, muloscos y demás invertebrados acuáticos congelados, preparados o en conserva y sus productos</t>
  </si>
  <si>
    <t>AE039</t>
  </si>
  <si>
    <t>Elaboración de otros productos de molinería n.c.p. por cuenta propia</t>
  </si>
  <si>
    <t>1020</t>
  </si>
  <si>
    <t>P2201</t>
  </si>
  <si>
    <t>Pescado congelado, preparado o en conserva y sus productos</t>
  </si>
  <si>
    <t>AE040</t>
  </si>
  <si>
    <t>Elaboración de almidones y productos derivados del almidón</t>
  </si>
  <si>
    <t>21250</t>
  </si>
  <si>
    <t>Crustáceos, congelados</t>
  </si>
  <si>
    <t>AE041</t>
  </si>
  <si>
    <t>Elaboración de productos de panadería</t>
  </si>
  <si>
    <t>Pescado congelado (excepto filetes y carne de pescado)</t>
  </si>
  <si>
    <t>P2303</t>
  </si>
  <si>
    <t>Jugos de frutas</t>
  </si>
  <si>
    <t>AE042</t>
  </si>
  <si>
    <t>Elaboración de tortillas de maíz</t>
  </si>
  <si>
    <t>1030</t>
  </si>
  <si>
    <t>P2301</t>
  </si>
  <si>
    <t>Vegetales preparados o en conserva, legumbres y papas</t>
  </si>
  <si>
    <t>AE043</t>
  </si>
  <si>
    <t>Elaboración de azúcar</t>
  </si>
  <si>
    <t>P2304</t>
  </si>
  <si>
    <t>Otras frutas y nueces preparadas y preservadas (excepto por azúcar)</t>
  </si>
  <si>
    <t>AE044</t>
  </si>
  <si>
    <t>Elaboración de cacao y chocolate y de productos de confitería</t>
  </si>
  <si>
    <t>Frijoles estén o no desenvainados, cocidos en agua o vapor, Congelados.</t>
  </si>
  <si>
    <t>Frijoles, preparados o conservados, sin congelar. (excepto en vinagre o ácido acético).</t>
  </si>
  <si>
    <t>Otros vegetales y legumbres, conservados por algo que no sea vinagre, ácido acético o azúcar, n.c.p.</t>
  </si>
  <si>
    <t>P3401</t>
  </si>
  <si>
    <t>Bebidas no alcohólicas</t>
  </si>
  <si>
    <t>AE045</t>
  </si>
  <si>
    <t>Elaboración de macarrones, fideos, alcuzcuz y productos farináceos similares</t>
  </si>
  <si>
    <t>AE046</t>
  </si>
  <si>
    <t xml:space="preserve">Elaboración de otros productos alimenticios n.c.p  incluyendo comidas y platos preparados </t>
  </si>
  <si>
    <t>P2401</t>
  </si>
  <si>
    <t>Aceites de origen vegetal</t>
  </si>
  <si>
    <t>AE047</t>
  </si>
  <si>
    <t>Elaboración de alimentos preparados para animales</t>
  </si>
  <si>
    <t>1040</t>
  </si>
  <si>
    <t>AE048</t>
  </si>
  <si>
    <t>Destilación, rectificación y mezcla de bebidas alcohólicas</t>
  </si>
  <si>
    <t>P2503</t>
  </si>
  <si>
    <t>Otros productos lácteos n.c.p.</t>
  </si>
  <si>
    <t>AE049</t>
  </si>
  <si>
    <t>Elaboración de vinos</t>
  </si>
  <si>
    <t>1050</t>
  </si>
  <si>
    <t>P2501</t>
  </si>
  <si>
    <t>Leche líquida y crema procesadas</t>
  </si>
  <si>
    <t>AE050</t>
  </si>
  <si>
    <t>Elaboración de bebidas malteadas y de malta</t>
  </si>
  <si>
    <t>AE051</t>
  </si>
  <si>
    <t>Elaboración de bebidas no alcohólicas; producción de aguas minerales y otras aguas embotelladas</t>
  </si>
  <si>
    <t>P2601</t>
  </si>
  <si>
    <t>Harina de trigo</t>
  </si>
  <si>
    <t>AE052</t>
  </si>
  <si>
    <t>Elaboración de productos de tabaco</t>
  </si>
  <si>
    <t>10611</t>
  </si>
  <si>
    <t>AE053</t>
  </si>
  <si>
    <t>Hilatura, tejedura y acabado de productos textiles</t>
  </si>
  <si>
    <t>P2602</t>
  </si>
  <si>
    <t>Arroz sin cáscara</t>
  </si>
  <si>
    <t>AE054</t>
  </si>
  <si>
    <t>Fabricación de otros productos textiles</t>
  </si>
  <si>
    <t>10612</t>
  </si>
  <si>
    <t>P2603</t>
  </si>
  <si>
    <t>Otros productos de molinería n.c.p.</t>
  </si>
  <si>
    <t>AE055</t>
  </si>
  <si>
    <t>Fabricación de prendas de vestir</t>
  </si>
  <si>
    <t>AE056</t>
  </si>
  <si>
    <t>Curtido, adobo, teñido de cueros y pieles; fabricación de maletas, bolsos de mano y artículos similares, y  artículos de talabartería y guarnicionería</t>
  </si>
  <si>
    <t>AE057</t>
  </si>
  <si>
    <t>Fabricación de calzado de cualquier material y de cualquier uso; partes de calzado de cuero</t>
  </si>
  <si>
    <t>10613</t>
  </si>
  <si>
    <t>P3101</t>
  </si>
  <si>
    <t>Productos alimenticios n.c.p.</t>
  </si>
  <si>
    <t>AE058</t>
  </si>
  <si>
    <t>Aserrado y acepilladura de madera</t>
  </si>
  <si>
    <t>AE059</t>
  </si>
  <si>
    <t>Fabricación de productos de madera, productos de corcho, paja y materiales trenzables</t>
  </si>
  <si>
    <t>P6212</t>
  </si>
  <si>
    <t>Servicios de manufactura</t>
  </si>
  <si>
    <t>AE060</t>
  </si>
  <si>
    <t>Fabricación de papel y productos de papel</t>
  </si>
  <si>
    <t>1062</t>
  </si>
  <si>
    <t>AE061</t>
  </si>
  <si>
    <t>Impresión y actividades de servicios relacionados con la impresión y reproducción de grabaciones.</t>
  </si>
  <si>
    <t>P2701</t>
  </si>
  <si>
    <t>Pan</t>
  </si>
  <si>
    <t>AE062</t>
  </si>
  <si>
    <t>Fabricación de coque y productos de la refinación del petróleo</t>
  </si>
  <si>
    <t>10711</t>
  </si>
  <si>
    <t>P2702</t>
  </si>
  <si>
    <t>Otros productos de panadería y repostería n.c.p.</t>
  </si>
  <si>
    <t>AE063</t>
  </si>
  <si>
    <t xml:space="preserve">Fabricación de alcoholes </t>
  </si>
  <si>
    <t>AE064</t>
  </si>
  <si>
    <t>Fabricación de abonos , compuestos de nitrógeno, plaguicidas y otros productos químicos de uso agropecuario</t>
  </si>
  <si>
    <t>P2703</t>
  </si>
  <si>
    <t>Tortillas de maíz, incluso tostadas, horneadas o fritas</t>
  </si>
  <si>
    <t>AE065</t>
  </si>
  <si>
    <t>Fabricación de plásticos y caucho sintético en formas primarias</t>
  </si>
  <si>
    <t>10712</t>
  </si>
  <si>
    <t>AE066</t>
  </si>
  <si>
    <t>Fabricación de pinturas, barnices y productos de revestimiento similares, tintas de imprenta y masillas</t>
  </si>
  <si>
    <t>P2801</t>
  </si>
  <si>
    <t>Azúcar de caña sin refinar, refinada y los demás azúcares n.c.p.</t>
  </si>
  <si>
    <t>AE067</t>
  </si>
  <si>
    <t>Fabricación de jabones y detergentes, preparados para limpiar y pulir, perfumes y preparados de tocador</t>
  </si>
  <si>
    <t>1072</t>
  </si>
  <si>
    <t>AE068</t>
  </si>
  <si>
    <t>Fabricación de otras sustancias químicas básicas, otros productos químicos y fibras artificiales</t>
  </si>
  <si>
    <t>P2901</t>
  </si>
  <si>
    <t>Cacao, chocolate y productos de confitería</t>
  </si>
  <si>
    <t>AE069</t>
  </si>
  <si>
    <t>Fabricación de productos farmacéuticos, sustancias químicas medicinales y productos botánicos de uso farmacéutico</t>
  </si>
  <si>
    <t>1073</t>
  </si>
  <si>
    <t>AE070</t>
  </si>
  <si>
    <t>Fabricación de productos de caucho</t>
  </si>
  <si>
    <t>P3001</t>
  </si>
  <si>
    <t>Macarrones, fideos y productos farináceos similares</t>
  </si>
  <si>
    <t>AE071</t>
  </si>
  <si>
    <t>Fabricación de productos de plástico</t>
  </si>
  <si>
    <t>1074</t>
  </si>
  <si>
    <t>AE072</t>
  </si>
  <si>
    <t>Fabricación de vidrio y productos de vidrio</t>
  </si>
  <si>
    <t>AE073</t>
  </si>
  <si>
    <t>Fabricación de productos refractarios y no refractarios de arcilla, cerámica, porcelana y otros minerales no metálicos</t>
  </si>
  <si>
    <t>1075, 1079</t>
  </si>
  <si>
    <t>AE074</t>
  </si>
  <si>
    <t>Fabricación de cemento, cal y yeso</t>
  </si>
  <si>
    <t>P3201</t>
  </si>
  <si>
    <t>Preparados para alimentación animal</t>
  </si>
  <si>
    <t>AE075</t>
  </si>
  <si>
    <t>Fabricación de artículos de hormigón, cemento y yeso</t>
  </si>
  <si>
    <t>1080</t>
  </si>
  <si>
    <t>AE076</t>
  </si>
  <si>
    <t>Fabricación de otros productos minerales no metálicos</t>
  </si>
  <si>
    <t>P3301</t>
  </si>
  <si>
    <t>Aguardientes, licores y demás bebidas espirituosas</t>
  </si>
  <si>
    <t>AE077</t>
  </si>
  <si>
    <t>Fabricación de metales comunes</t>
  </si>
  <si>
    <t>1101</t>
  </si>
  <si>
    <t>AE078</t>
  </si>
  <si>
    <t>Fabricación de productos elaborados de metal, excepto maquinaria y equipo</t>
  </si>
  <si>
    <t>P3302</t>
  </si>
  <si>
    <t>Vinos</t>
  </si>
  <si>
    <t>AE079</t>
  </si>
  <si>
    <t>Fabricación, reparación e instalación de maquinaria y equipo industrial, n.c.p.</t>
  </si>
  <si>
    <t>1102</t>
  </si>
  <si>
    <t>AE080</t>
  </si>
  <si>
    <t>Fabricación de muebles</t>
  </si>
  <si>
    <t>P3303</t>
  </si>
  <si>
    <t>Cerveza de malta</t>
  </si>
  <si>
    <t>AE081</t>
  </si>
  <si>
    <t>Otras industrias manufactureras</t>
  </si>
  <si>
    <t>1103</t>
  </si>
  <si>
    <t>P5401</t>
  </si>
  <si>
    <t xml:space="preserve">Servicios de Comercio </t>
  </si>
  <si>
    <t>1104</t>
  </si>
  <si>
    <t>P3501</t>
  </si>
  <si>
    <t>Productos del tabaco</t>
  </si>
  <si>
    <t>1200</t>
  </si>
  <si>
    <t>P3601</t>
  </si>
  <si>
    <t>Hilados e hilos, tejidos y telas textiles</t>
  </si>
  <si>
    <t>1311, 1312, 1313</t>
  </si>
  <si>
    <t>P3701</t>
  </si>
  <si>
    <t>Otros productos textiles (artículos textiles excepto prendas de vestir)</t>
  </si>
  <si>
    <t>1391, 1392, 1393, 1394, 1399</t>
  </si>
  <si>
    <t>P3702</t>
  </si>
  <si>
    <t>Prendas de vestir, adobo y teñido de pieles</t>
  </si>
  <si>
    <t>NPG</t>
  </si>
  <si>
    <t>DESCRIPCIÓN NPG</t>
  </si>
  <si>
    <t>Producción</t>
  </si>
  <si>
    <t>Importación</t>
  </si>
  <si>
    <t>OFERTA
TOTAL pb.</t>
  </si>
  <si>
    <t>1410, 1420, 1430</t>
  </si>
  <si>
    <t>P3801</t>
  </si>
  <si>
    <t>Cuero de piel curtida o adobada y cuero artificial o regenerado</t>
  </si>
  <si>
    <t>1511 ,1512</t>
  </si>
  <si>
    <t>P3802</t>
  </si>
  <si>
    <t>Artículos de cuero</t>
  </si>
  <si>
    <t>P3803</t>
  </si>
  <si>
    <t>Calzado y sus partes, de cualquier material y de cualquier uso</t>
  </si>
  <si>
    <t>1520</t>
  </si>
  <si>
    <t>P3901</t>
  </si>
  <si>
    <t>Madera aserrada y acepillada</t>
  </si>
  <si>
    <t>1610</t>
  </si>
  <si>
    <t>P3902</t>
  </si>
  <si>
    <t>Productos de madera, corcho, paja, materiales trenzables</t>
  </si>
  <si>
    <t>1621, 1622, 1623, 1629</t>
  </si>
  <si>
    <t>P4002</t>
  </si>
  <si>
    <t>Envases de papel y cartón</t>
  </si>
  <si>
    <t>1701, 1702, 1709</t>
  </si>
  <si>
    <t>P4001</t>
  </si>
  <si>
    <t>Pasta de papel y papel</t>
  </si>
  <si>
    <t>P4004</t>
  </si>
  <si>
    <t>Productos de la impresión</t>
  </si>
  <si>
    <t xml:space="preserve">1811, 1812, </t>
  </si>
  <si>
    <t>P0101</t>
  </si>
  <si>
    <t>Trigo</t>
  </si>
  <si>
    <t>1910, 1920</t>
  </si>
  <si>
    <t>P4201</t>
  </si>
  <si>
    <t>Alcoholes</t>
  </si>
  <si>
    <t>20111</t>
  </si>
  <si>
    <t>P4202</t>
  </si>
  <si>
    <t>Abonos, fertilizantes y pesticidas</t>
  </si>
  <si>
    <t>2012, 2021</t>
  </si>
  <si>
    <t>2013</t>
  </si>
  <si>
    <t>P4204</t>
  </si>
  <si>
    <t>Pinturas y barnices y productos relacionados, colores artisticos, tinta</t>
  </si>
  <si>
    <t>2022</t>
  </si>
  <si>
    <t>P4205</t>
  </si>
  <si>
    <t>Jabón, preparados de limpieza, perfumes y preparados de toilet</t>
  </si>
  <si>
    <t>2023</t>
  </si>
  <si>
    <t>P4206</t>
  </si>
  <si>
    <t>Productos Químicos Básicos excepto alcoholes</t>
  </si>
  <si>
    <t>20112,2029,2030</t>
  </si>
  <si>
    <t>P4207</t>
  </si>
  <si>
    <t>Productos químicos n.c.p. y fibras sintéticas o artificiales</t>
  </si>
  <si>
    <t>P4208</t>
  </si>
  <si>
    <t>Productos Farmaceúticos</t>
  </si>
  <si>
    <t>2100</t>
  </si>
  <si>
    <t>P4301</t>
  </si>
  <si>
    <t>Productos de caucho</t>
  </si>
  <si>
    <t>2211, 2219</t>
  </si>
  <si>
    <t>P4302</t>
  </si>
  <si>
    <t>Productos de plástico</t>
  </si>
  <si>
    <t>2220</t>
  </si>
  <si>
    <t>P4401</t>
  </si>
  <si>
    <t>Vidrio y productos de vidrio</t>
  </si>
  <si>
    <t>2310</t>
  </si>
  <si>
    <t>P4403</t>
  </si>
  <si>
    <t>Productos refractarios y productos estructurales de arcilla no refractarios</t>
  </si>
  <si>
    <t>2391, 2392, 2393</t>
  </si>
  <si>
    <t>P4402</t>
  </si>
  <si>
    <t>Productos no estructurales de cerámica</t>
  </si>
  <si>
    <t>P4404</t>
  </si>
  <si>
    <t>Cemento, cal y yeso</t>
  </si>
  <si>
    <t>2394</t>
  </si>
  <si>
    <t>P4405</t>
  </si>
  <si>
    <t>Artículos de hormigón, cemento y yeso</t>
  </si>
  <si>
    <t>2395</t>
  </si>
  <si>
    <t>P4406</t>
  </si>
  <si>
    <t xml:space="preserve">Piedras talladas para construcción </t>
  </si>
  <si>
    <t>2396, 2399</t>
  </si>
  <si>
    <t>P4501</t>
  </si>
  <si>
    <t>Métales básicos de hierro y acero</t>
  </si>
  <si>
    <t>2410, 2431, 2420, 2432</t>
  </si>
  <si>
    <t>P4602</t>
  </si>
  <si>
    <t>Otros productos elaborados de metal</t>
  </si>
  <si>
    <t>2511, 2512, 2513, 2520, 2591, 2592, 2593, 2599</t>
  </si>
  <si>
    <t>P4601</t>
  </si>
  <si>
    <t>Productos metálicos estructurales y sus partes de hierro o de acero</t>
  </si>
  <si>
    <t>P6207</t>
  </si>
  <si>
    <t>Servicio de mantenimiento, reparación e instalación de productos metálicos elaborados, maquinaria y equipo</t>
  </si>
  <si>
    <t>261-309, 331-332</t>
  </si>
  <si>
    <t>P4603</t>
  </si>
  <si>
    <t>Maquinaria para usos generales, sus partes y piezas</t>
  </si>
  <si>
    <t>P4610</t>
  </si>
  <si>
    <t>Equipo de transporte</t>
  </si>
  <si>
    <t>P4604</t>
  </si>
  <si>
    <t>Maquinaria para usos especiales, partes y piezas; excepto electrodomesticos</t>
  </si>
  <si>
    <t>P4701</t>
  </si>
  <si>
    <t>Muebles</t>
  </si>
  <si>
    <t>3100</t>
  </si>
  <si>
    <t>P4804</t>
  </si>
  <si>
    <t>Otros artículos n.c.p.</t>
  </si>
  <si>
    <t>3211, 3212, 3220, 3230, 3240, 3250, 3290</t>
  </si>
  <si>
    <t>P4801</t>
  </si>
  <si>
    <t>Joyas y artículos conexos</t>
  </si>
  <si>
    <t>Total Suma</t>
  </si>
  <si>
    <t>21491</t>
  </si>
  <si>
    <t>Piñas, preparadas o conservados</t>
  </si>
  <si>
    <t>21493</t>
  </si>
  <si>
    <t>Otras frutas, sin cocer o cocidos, congelados</t>
  </si>
  <si>
    <t>21492</t>
  </si>
  <si>
    <t>Melocotones, preparados o conservados</t>
  </si>
  <si>
    <t>21494</t>
  </si>
  <si>
    <t>Compotas, jaleas y mermeladas, purés y pastas de frutas u otros frutos</t>
  </si>
  <si>
    <t>21495</t>
  </si>
  <si>
    <t>Mantequilla de maní, pastas de almendra y otras mezclas de nueces y semillas tosdados, salados o preparados de otro modo n.c.p</t>
  </si>
  <si>
    <t>21499</t>
  </si>
  <si>
    <t>Otras preparaciones y conservas de frutas y nueces, n.c.p.</t>
  </si>
  <si>
    <t>21431</t>
  </si>
  <si>
    <t>21435</t>
  </si>
  <si>
    <t>21439</t>
  </si>
  <si>
    <t>Jugo de naranja</t>
  </si>
  <si>
    <t>Jugo de manzana</t>
  </si>
  <si>
    <t>Otros jugos de frutas, n.c.p.</t>
  </si>
  <si>
    <t>24490</t>
  </si>
  <si>
    <t>Otras bebidas calóricas no alcohólicas (Bebidas gaseosas, jugos y refrescos artificiales, bebidas deportivas, agua mineral con sabor)</t>
  </si>
  <si>
    <t>24410</t>
  </si>
  <si>
    <t>Aguas embotelladas, no endulzadas ni saborizadas (Agua pura, agua con gas o mineral sin sabor, hielo)</t>
  </si>
  <si>
    <t>21535</t>
  </si>
  <si>
    <t>21539</t>
  </si>
  <si>
    <t>21545</t>
  </si>
  <si>
    <t>21549</t>
  </si>
  <si>
    <t>Aceite de palma, crudo</t>
  </si>
  <si>
    <t>Los demás aceites vegetales, crudo, n.c.p.</t>
  </si>
  <si>
    <t>Aceite de palma, refinado</t>
  </si>
  <si>
    <t>Otros aceites vegetales, refinados, n.c.p.</t>
  </si>
  <si>
    <t>22110</t>
  </si>
  <si>
    <t>22120</t>
  </si>
  <si>
    <t>Leche liquida procesada</t>
  </si>
  <si>
    <t>Crema fresca</t>
  </si>
  <si>
    <t>22229</t>
  </si>
  <si>
    <t>22251</t>
  </si>
  <si>
    <t>22270</t>
  </si>
  <si>
    <t>22290</t>
  </si>
  <si>
    <t>Leche y crema, n.c.p.</t>
  </si>
  <si>
    <t>Quesos de leche de bovino, frescos o procesados</t>
  </si>
  <si>
    <t>Helados y productos similares</t>
  </si>
  <si>
    <t>Productos lácteos n.c.p.</t>
  </si>
  <si>
    <t>23110</t>
  </si>
  <si>
    <t>23130</t>
  </si>
  <si>
    <t>23140</t>
  </si>
  <si>
    <t xml:space="preserve">Harina de trigo o de morcajo (tranquillón)                                                                                                    </t>
  </si>
  <si>
    <t>Grañones (Avena), sémola y pellets de cereales excepto trigo y arroz</t>
  </si>
  <si>
    <t>Otros productos de cereales incluyendo hojuelas de maíz</t>
  </si>
  <si>
    <t>Otros productos de cereales de arroz</t>
  </si>
  <si>
    <t>23161</t>
  </si>
  <si>
    <t>Arroz, semi- o totalmente molido</t>
  </si>
  <si>
    <t>22260</t>
  </si>
  <si>
    <t>Caseina</t>
  </si>
  <si>
    <t>23911</t>
  </si>
  <si>
    <t>23912</t>
  </si>
  <si>
    <t>23921</t>
  </si>
  <si>
    <t>23928</t>
  </si>
  <si>
    <t>23992</t>
  </si>
  <si>
    <t>23995</t>
  </si>
  <si>
    <t>23996</t>
  </si>
  <si>
    <t>Café, descafeinado o tostado</t>
  </si>
  <si>
    <t>Sustitutos de café que contienen café; extractos, esencias y concentrados del café, y preparaciones con a base de ellos o con base a café; achicoria tostada y otros substitutos de café tostados, y extractos, esencias y sus concentrados</t>
  </si>
  <si>
    <t>Pimienta procesada</t>
  </si>
  <si>
    <t>Vainilla procesada, triturada o pulverizada</t>
  </si>
  <si>
    <t>Sopas y caldos y preparaciones de los mismos</t>
  </si>
  <si>
    <t>Salsas; condimentos mixtos; harinas de mostaza y sustancias en polvo; mostaza preparada</t>
  </si>
  <si>
    <t>Levaduras (activas o inactivas); otros microorganismos unicelulares, muertos; polvos de hornear preparados</t>
  </si>
  <si>
    <t xml:space="preserve">Servicios de elaboración de almidones y productos elaborados de almidones </t>
  </si>
  <si>
    <t>88162</t>
  </si>
  <si>
    <t>23490</t>
  </si>
  <si>
    <t>Pan y productos de panadería</t>
  </si>
  <si>
    <t>23420</t>
  </si>
  <si>
    <t>23430</t>
  </si>
  <si>
    <t>Pan de especias, galletas dulces, obleas y barquillos</t>
  </si>
  <si>
    <t>Los demás productos de panadería y repostería n.c.p. incluso tortillas de harina de trigo (Pasteles)</t>
  </si>
  <si>
    <t>P102</t>
  </si>
  <si>
    <t>Servicios de comercio</t>
  </si>
  <si>
    <t>P103</t>
  </si>
  <si>
    <t>Mantenimiento y reparación de vehículos automotores y motocicletas</t>
  </si>
  <si>
    <t>P104</t>
  </si>
  <si>
    <t>Servicio de transporte de pasajeros por vía terrestre</t>
  </si>
  <si>
    <t>P105</t>
  </si>
  <si>
    <t>Servicio de transporte de carga por vía terrestre</t>
  </si>
  <si>
    <t>P5402</t>
  </si>
  <si>
    <t>Mantenimiento y Reparación de Vehículos automotores y Motocicletas</t>
  </si>
  <si>
    <t>P5501</t>
  </si>
  <si>
    <t>P5502</t>
  </si>
  <si>
    <t>23511</t>
  </si>
  <si>
    <t>23520</t>
  </si>
  <si>
    <t>Azúcar de caña en bruto (sin refinar) sin adición de aromatizantes ni colorantes</t>
  </si>
  <si>
    <t>Azúcar refinada</t>
  </si>
  <si>
    <t>23650</t>
  </si>
  <si>
    <t>23660</t>
  </si>
  <si>
    <t>23670</t>
  </si>
  <si>
    <t>Chocolate y demás preparaciones alimenticias que contengan cacao (excepto cacao en polvo edulcorado) a granel</t>
  </si>
  <si>
    <t>Chocolate y demás preparaciones alimenticias que contengan cacao (excepto cacao en polvo edulcorado), en bloques, tabletas, o barras excepto a granel</t>
  </si>
  <si>
    <t>Artículos de confitería preparados con azúcar (incluyendo chocolate blanco) que no contengan cacao; vegetales, frutas, frutos secos, cascara de frutas y otras partes de plantas, conservadas por azúcar (Dulces).</t>
  </si>
  <si>
    <t>23710</t>
  </si>
  <si>
    <t>Pastas alimenticias sin cocer, rellenar ni preparar de otra forma</t>
  </si>
  <si>
    <t>23999</t>
  </si>
  <si>
    <t>Otros productos alimenticios n.c.p.</t>
  </si>
  <si>
    <t>23311</t>
  </si>
  <si>
    <t>23319</t>
  </si>
  <si>
    <t>Alimentos para perros o gatos, acondicionados para la venta al por menor (Concentrados).</t>
  </si>
  <si>
    <t xml:space="preserve">Alimentos preparados para otros animales y premezclas para la fabricación de alimentos para animales (Concentrados). </t>
  </si>
  <si>
    <t>24131</t>
  </si>
  <si>
    <t>Aguardientes, licores, y otras bebidas destiladas de un grado alcohólico por volumen de alrededor de un 40%</t>
  </si>
  <si>
    <t>24211</t>
  </si>
  <si>
    <t>Vino de uvas frescas, excepto vino espumoso; mosto (zumo) de uva</t>
  </si>
  <si>
    <t>24310</t>
  </si>
  <si>
    <t>Cerveza de malta (con o sin alcohol)</t>
  </si>
  <si>
    <t>26360</t>
  </si>
  <si>
    <t>Hilados de filamentos artificiales o sintéticos, múltiples o cableados (que no sea hilo de coser, hilados de gran resistencia de poliamidas, poliéster o rayón viscosa), no apto para la venta al por menor; hilados artificiales o sintéticos (que no sea hilo de coser), apto para la venta al por menor</t>
  </si>
  <si>
    <t>26420</t>
  </si>
  <si>
    <t>Hilados de algodón (excepto hilo de coser), que contiene 85% o más en peso de algodón</t>
  </si>
  <si>
    <t>26610</t>
  </si>
  <si>
    <t>26690</t>
  </si>
  <si>
    <t>26720</t>
  </si>
  <si>
    <t>26730</t>
  </si>
  <si>
    <t>Tejidos de algodón con un contenido 85% o más en peso de algodón, de peso no superior 200 g/m2</t>
  </si>
  <si>
    <t>Otros tejidos de algodón</t>
  </si>
  <si>
    <t>Otros tejidos de hilados de filamentos sintéticos o artificiales, que contienen 85% o más en peso de tales filamentos</t>
  </si>
  <si>
    <t>Otros tejidos de hilados de filamentos artificiales o sintéticos</t>
  </si>
  <si>
    <t>Ropa de cama, mantelería, toallas de baño y paños de cocina</t>
  </si>
  <si>
    <t>Cortinas (incluyendo cortinajes de paño) y persianas; cortinas y cenefas (rodapiés) para camas</t>
  </si>
  <si>
    <t>Colchas, edredones, cojines, pufs, almohadas, sacos de dormir y artículos similares, con resortes o rellenos o guarnecidos interiormente con cualquier material o de caucho celular o plástico</t>
  </si>
  <si>
    <t>Otros artículos confeccionados con materias textiles (incluyendo paños para pisos -trapeadores-, paños para platos, limpia polvo y artículos similares para limpieza, chalecos salvavidas y cinturones salvavidas)</t>
  </si>
  <si>
    <t>Cintas (Tejidos estrechos);  Cintas (tejidos estrechos) de urdimbre sin trama sujeta por pegamento adhesivo (balduques); etiquetas, insignias y artículos similares de materias textiles, sin bordar, trencillas en piezas; artículos de pasamanería en piezas, sin bordados, que no sea tejido de punto o ganchillo; borlas, pompones y artículos similares</t>
  </si>
  <si>
    <t>28221</t>
  </si>
  <si>
    <t>28222</t>
  </si>
  <si>
    <t>28224</t>
  </si>
  <si>
    <t>28225</t>
  </si>
  <si>
    <t>28231</t>
  </si>
  <si>
    <t>28232</t>
  </si>
  <si>
    <t>28233</t>
  </si>
  <si>
    <t>28234</t>
  </si>
  <si>
    <t>Trajes, abrigos, chaquetas, pantalones largos, pantalones cortos y artículos análogos para hombres o niños, de punto o ganchillo</t>
  </si>
  <si>
    <t>Camisas, calzoncillos (ropa interior), pijamas, batas y artículos similares para hombres o niños, de punto o ganchillo</t>
  </si>
  <si>
    <t>Blusas, camisas (Incluso los Güipiles típicos), enaguas, bragas, camisones, batas y artículos similares para mujeres o niñas, de punto o ganchillo</t>
  </si>
  <si>
    <t>Camisetas y T-shirts (playeras) de todo tipo, de punto o ganchillo</t>
  </si>
  <si>
    <t>Trajes, abrigos, chaquetas, pantalones largos, pantalones cortos y artículos similares para hombres o niños, de tejidos que no sean de punto o ganchillo</t>
  </si>
  <si>
    <t>Camisas, camisetas, calzoncillos, pijamas, batas y artículos análogos para hombres o niños, de tejidos que no sean de punto o ganchillo</t>
  </si>
  <si>
    <t>Trajes sastre, abrigos, chaquetas, vestidos, faldas, pantalones largos, pantalones cortos y artículos análogos para mujeres o niñas, de tejidos que no sean de punto o ganchillo</t>
  </si>
  <si>
    <t>Blusas, camisas, camisetas, enaguas, bragas, camisones, batas y artículos análogos para mujeres o niñas, de tejidos que no sean de punto o ganchillo</t>
  </si>
  <si>
    <t>88221</t>
  </si>
  <si>
    <t>88223</t>
  </si>
  <si>
    <t>Servicios de fabricación de prendas de vestir, excepto prendas de piel</t>
  </si>
  <si>
    <t>Servicios de fabricación de prendas de vestir de punto y ganchillo</t>
  </si>
  <si>
    <t>Otros cueros de bovinos y equinos depilados</t>
  </si>
  <si>
    <t>29220</t>
  </si>
  <si>
    <t>29230</t>
  </si>
  <si>
    <t>29120</t>
  </si>
  <si>
    <t>Consignas, bolsos de mano y artículos similares, de cuero, cuero artificial, plástico, materias textiles, fibra vulcanizada o cartón, juegos de viaje para aseo personal, costura o limpieza del calzado o ropa</t>
  </si>
  <si>
    <t>Correas para relojes de bolsillo o pulsera, excepto de metal</t>
  </si>
  <si>
    <t>29310</t>
  </si>
  <si>
    <t>29320</t>
  </si>
  <si>
    <t>29330</t>
  </si>
  <si>
    <t>29490</t>
  </si>
  <si>
    <t xml:space="preserve">Calzado impermeable con suela y parte superior de caucho o de plástico, excepto el calzado con puntera metálica de protección </t>
  </si>
  <si>
    <t>Calzado con suela y parte superior de caucho o de plástico, excepto el impermeable y el calzado deportivo</t>
  </si>
  <si>
    <t>Calzado con la parte superior de cuero, excepto el calzado deportivo, calzado con puntera metálica de protección y calzado especial diverso</t>
  </si>
  <si>
    <t>Otro calzado de deporte, excepto las botas de patinaje</t>
  </si>
  <si>
    <t>31100</t>
  </si>
  <si>
    <t>31210</t>
  </si>
  <si>
    <t>31310</t>
  </si>
  <si>
    <t>Madera aserrada o desbastada longitudinalmente, cortadas o desenrolladas, de un espesor superior a 6 mm, traviesas de ferrocarril o tranvía (durmientes) de madera sin impregnar</t>
  </si>
  <si>
    <t>Madera con librado continuo a lo largo de cualquiera de sus bordes o caras (incluidas las tablillas y frisos para parqués, sin ensamblar, listones y molduras)</t>
  </si>
  <si>
    <t>Madera sin elaborar, tratada con pintura colorantes, creosota u otros preservativos</t>
  </si>
  <si>
    <t>31430</t>
  </si>
  <si>
    <t>31600</t>
  </si>
  <si>
    <t>31440</t>
  </si>
  <si>
    <t>Las demás madera contrachapada, madera chapada y madera estratificada similar, con excepción de bambú</t>
  </si>
  <si>
    <t>Tableros de partículas (aglomerados) y Tableros similares de madera u otras materias leñosas</t>
  </si>
  <si>
    <t>Tableros de fibra de madera u otros materiales leñosos</t>
  </si>
  <si>
    <t>Obras y piezas de carpintería para edificios y construcción (incluso tableros de madera celular, tableros armados para pisos de parqué, tablillas y ripias)</t>
  </si>
  <si>
    <t>32153</t>
  </si>
  <si>
    <t>32199</t>
  </si>
  <si>
    <t>Los demás artículos de papel n.c.p.</t>
  </si>
  <si>
    <t>Cajas de cartón, estuches, fundas de discos y otros envases (excepto bolsas) de papel, cartón, guata de celulosa o napa de fibras de celulosa; archivadores, clasificadores de cartas, y artículos similares, de papel o cartón del tipo utilizado en oficinas, tiendas o similares</t>
  </si>
  <si>
    <t>32193</t>
  </si>
  <si>
    <t>Papel higiénico, pañuelos, toallas, servilletas, pañales para lactantes, tampones higiénicos y artículos similares higiénicos para el hogar u hospitales; y prendas de vestir, pulpa de papel, papel, guata de celulosa o redes de fibras de celulosa</t>
  </si>
  <si>
    <t>32700</t>
  </si>
  <si>
    <t>Libros de registro, libros de contabilidad, cuadernillos de notas, bloques para cartas, agendas y artículos similares, secantes, encuadernadores, clasificadores para archivos, formularios y otros artículos de escritorio de papel o cartón</t>
  </si>
  <si>
    <t>24110</t>
  </si>
  <si>
    <t>Alcohol etílico sin desnaturalizar con grado alcohólico volumétrico de 80% o más</t>
  </si>
  <si>
    <t>34659</t>
  </si>
  <si>
    <t>34649</t>
  </si>
  <si>
    <t>Fertilizantes n.c.p.</t>
  </si>
  <si>
    <t>Otros fertilizantes minerales o químicos que contienen al menos dos nutrientes (nitrógeno, fosfato, potasio), n.c.p.</t>
  </si>
  <si>
    <t>34629</t>
  </si>
  <si>
    <t>Otros fertilizantes fosfatados, n.c.p.</t>
  </si>
  <si>
    <t>34641</t>
  </si>
  <si>
    <t>34661</t>
  </si>
  <si>
    <t>34663</t>
  </si>
  <si>
    <t>Herbicidas, inhibidores de germinación y reguladores del crecimiento de las plantas</t>
  </si>
  <si>
    <t>Insecticidas</t>
  </si>
  <si>
    <t>Fertilizantes minerales que contienen tres nutrientes: nitrógeno, fosfatos y potasio</t>
  </si>
  <si>
    <t>35110</t>
  </si>
  <si>
    <t>Pinturas y barnices y productos relacionados</t>
  </si>
  <si>
    <t>35321</t>
  </si>
  <si>
    <t>Jabón, productos orgánicos tensoactivos y preparados para usar como jabón, papel, guata, fieltro y telas sin tejer, impregnados, recubiertos o revestidos de jabón o detergente</t>
  </si>
  <si>
    <t>35322</t>
  </si>
  <si>
    <t>Detergentes y preparaciones para lavar</t>
  </si>
  <si>
    <t>35323</t>
  </si>
  <si>
    <t>Perfumes y preparaciones de tocador</t>
  </si>
  <si>
    <t>34210</t>
  </si>
  <si>
    <t>34240</t>
  </si>
  <si>
    <t>34280</t>
  </si>
  <si>
    <t>34310</t>
  </si>
  <si>
    <t>34340</t>
  </si>
  <si>
    <t>Preparaciones y materias colorantes orgánicas sintéticas y preparaciones en base a ellas, productos orgánicos sintéticos de los utilizados para el avivado fluorescente o como luminóforos; lacas colorantes y preparaciones a base a ellas</t>
  </si>
  <si>
    <t>Materias colorantes n.c.p.; productos inorgánicos de los tipos utilizados como luminóforos</t>
  </si>
  <si>
    <t>Hidrógeno, nitrógeno, oxígeno, dióxido de carbono y gases nobles, compuestos oxigenados inorgánicos de elementos no metálicos n.c.p.</t>
  </si>
  <si>
    <t>Fosfatos de triamonio, sus sales y peroxisales de ácidos inorgánicos y metales n.c.p.</t>
  </si>
  <si>
    <t>Peróxido de hidrógeno; fosfuros, carburos, hidruros, nitruros, azidas siliciuros y boruros</t>
  </si>
  <si>
    <t>35420</t>
  </si>
  <si>
    <t>35450</t>
  </si>
  <si>
    <t>35460</t>
  </si>
  <si>
    <t>35490</t>
  </si>
  <si>
    <t>Pegamentos y gelatina, peptonas y sus derivados y productos semejantes; caseinatos y otros derivados de la caseína; albuminatos y otros derivados de las albúminas</t>
  </si>
  <si>
    <t>Explosivos preparados, mechas de seguridad, cordones detonantes, fulminantes o detonadores, equipos de encendido, detonadores eléctricos (pólvora)</t>
  </si>
  <si>
    <t>Artículos pirotécnicos</t>
  </si>
  <si>
    <t>Otros productos químicos n.c.p.</t>
  </si>
  <si>
    <t>35260</t>
  </si>
  <si>
    <t>35270</t>
  </si>
  <si>
    <t>Medicamentos, para usos terapéuticos o profilácticos</t>
  </si>
  <si>
    <t>Otros productos farmacéuticos</t>
  </si>
  <si>
    <t>36120</t>
  </si>
  <si>
    <t>36260</t>
  </si>
  <si>
    <t>36270</t>
  </si>
  <si>
    <t>Neumáticos recauchutados (recauchados), de caucho</t>
  </si>
  <si>
    <t>Prendas y accesorios de vestir (incluso guantes) de caucho vulcanizado no endurecido</t>
  </si>
  <si>
    <t>Artículos de caucho vulcanizado n.c.p.; caucho endurecido; artículos de caucho endurecido</t>
  </si>
  <si>
    <t>36320</t>
  </si>
  <si>
    <t>36410</t>
  </si>
  <si>
    <t>36490</t>
  </si>
  <si>
    <t>36920</t>
  </si>
  <si>
    <t>36950</t>
  </si>
  <si>
    <t>36960</t>
  </si>
  <si>
    <t>36990</t>
  </si>
  <si>
    <t>Tubos, caños y mangueras y accesorios, de plástico</t>
  </si>
  <si>
    <t>Sacos y bolsas de plástico</t>
  </si>
  <si>
    <t>Otros artículos para el transporte o envasado, de plástico; tapones, tapas, cápsulas y demás dispositivos de cierre, de plástico</t>
  </si>
  <si>
    <t>Planchas, hojas, películas, cintas, tiras y otras formas planas autoadhesivas, de plásticos</t>
  </si>
  <si>
    <t>Artículos para la construcción, de plástico, n.c.p.</t>
  </si>
  <si>
    <t>Partes n.c.p. de lámparas, accesorios para alumbrado, señales iluminadas, rótulos iluminados y similares, de plásticos</t>
  </si>
  <si>
    <t>Artículos plásticos n.c.p.</t>
  </si>
  <si>
    <t>37113</t>
  </si>
  <si>
    <t>37191</t>
  </si>
  <si>
    <t>Vidrio templado y vidrio pulido o pulimentado, en planchas</t>
  </si>
  <si>
    <t>Botellas, tarros, frascos y otros recipientes de vidrio, del tipo de los utilizados para el transporte o envasado de mercancías, excepto ampollas; tapones, tapas y demás dispositivos de cierre, de vidrio</t>
  </si>
  <si>
    <t>37350</t>
  </si>
  <si>
    <t>37370</t>
  </si>
  <si>
    <t>Ladrillos de construcción, bloques para pisos, losas de apoyo o de relleno, tejas, cañones de chimeneas, sombreretes y revestimientos de chimeneas, ornamentos arquitectónicos y otros artículos de construcción, de cerámicos no refractarios</t>
  </si>
  <si>
    <t>Baldosas y losas para pavimentos, chimeneas o muros; cubos de mosaicos de cerámicos y artículos similares</t>
  </si>
  <si>
    <t>37210</t>
  </si>
  <si>
    <t>Lavaderos, bañeras, inodoros, cisternas de descarga de agua y artefactos sanitarios similares de cerámicos</t>
  </si>
  <si>
    <t>37440</t>
  </si>
  <si>
    <t>Cemento Portland, cemento alumináceo, cemento de escorias y cementos hidráulicos similares, excepto en forma de clinkers (CEMENTO GRIS)</t>
  </si>
  <si>
    <t>37510</t>
  </si>
  <si>
    <t>37540</t>
  </si>
  <si>
    <t>Hormigones (Concreto) y morteros, no refractarios</t>
  </si>
  <si>
    <t>Azulejos, baldosas, ladrillos y artículos similares, de cemento, hormigón o piedra artificial (Block)</t>
  </si>
  <si>
    <t>37610</t>
  </si>
  <si>
    <t>37690</t>
  </si>
  <si>
    <t>Mármol, travertino y alabastro, labrados, y sus manufacturas (excepto adoquines, encintados, losas para pavimento, baldosas, cubos y artículos análogos); gravilla, lasca y polvo artificialmente coloreados de mármol, travertino y alabastro</t>
  </si>
  <si>
    <t>Otros artículos de piedra de construcción o de talla labrada y sus manufacturas; otros tipos de gravilla, lasca y polvo artificialmente coloreados de piedra natural; artículos de pizarra aglomerada (Adoquín)</t>
  </si>
  <si>
    <t>41211</t>
  </si>
  <si>
    <t>41231</t>
  </si>
  <si>
    <t>41241</t>
  </si>
  <si>
    <t>41242</t>
  </si>
  <si>
    <t>41251</t>
  </si>
  <si>
    <t>41262</t>
  </si>
  <si>
    <t>41283</t>
  </si>
  <si>
    <t>Productos laminados planos de hierro o acero no aleado, sin otra elaboración que el laminado en caliente, de un ancho de 600 mm o más</t>
  </si>
  <si>
    <t>Productos laminados planos de hierro o acero no aleado, revestidos, enchapados, recubiertos o con mayor elaboración</t>
  </si>
  <si>
    <t>Barras y varillas, laminadas en caliente, enrolladas irregularmente, de hierro o acero no aleado</t>
  </si>
  <si>
    <t>Otras barras y varillas de hierro o acero no aleado, sin otra elaboración que el forjado, laminado, estirado o la extrusión en caliente, incluso las sometidas a torsión después del laminado</t>
  </si>
  <si>
    <t>Ángulos, perfiles y secciones, sin otra elaboración que el laminado o extrusión en caliente o extrudidos, de hierro o acero no aleado</t>
  </si>
  <si>
    <t>Ángulos, perfiles y secciones, de hierro o acero no aleados, moldeado o acabado en frío, con mayor elaboración</t>
  </si>
  <si>
    <t>Otros tubos y cañerías, de sección transversal circular, sin soldadura</t>
  </si>
  <si>
    <t>42210</t>
  </si>
  <si>
    <t>42912</t>
  </si>
  <si>
    <t>42931</t>
  </si>
  <si>
    <t>42945</t>
  </si>
  <si>
    <t>42993</t>
  </si>
  <si>
    <t>Depósitos, cisternas, cubas y recipientes similares (excepto para gas comprimido o licuado), de hierro, acero o aluminio, de una capacidad superior a 300 litros, sin dispositivos mecánicos o térmicos</t>
  </si>
  <si>
    <t>Artículos de mesa, cocina u otros artículos de uso doméstico y sus partes y piezas, de hierro, acero, cobre o aluminio; aparatos para cocinar o calentar de uso doméstico, no eléctricos, de cobre; esponjas, estropajos y almohadillas para fregar o pulir ollas, guantes y artículos similares, de hierro, acero, cobre o aluminio; lana (virutilla) de hierro o acero; aparatos mecánicos accionados de forma manual, de un peso máximo de 10 kg, utilizados para preparar, acondicionar o servir comidas o bebid</t>
  </si>
  <si>
    <t>Cisternas, barriles, tambores, bidones, cajas y recipientes similares (excepto para gas comprimido o licuado) de hierro, acero o aluminio, de una capacidad no superior a 300 litros, sin dispositivos mecánicos o térmicos</t>
  </si>
  <si>
    <t>Resortes y hojas para resortes, de hierro o acero</t>
  </si>
  <si>
    <t>Cajas fuertes blindadas o reforzadas, cofres de seguridad, puertas y casilleros de seguridad para habitaciones o cámaras blindadas, cajas de dinero o documentos y artículos similares, de metales comunes</t>
  </si>
  <si>
    <t>42190</t>
  </si>
  <si>
    <t>Otras estructuras (excepto edificios prefabricados) y partes de estructuras de hierro, acero o aluminio; placas, varillas, ángulos, perfiles, secciones, tubos y similares, preparados para su utilización en estructuras de hierro, acero o aluminio; accesorios y equipos similares para andamios, encofrados o apuntalamiento</t>
  </si>
  <si>
    <t>87310</t>
  </si>
  <si>
    <t>Servicios de instalación de productos metálicos elaborados, excepto maquinaria y equipo</t>
  </si>
  <si>
    <t>43913</t>
  </si>
  <si>
    <t>Equipo de refrigeración o congelación y bombas de calor, excepto equipo para uso doméstico</t>
  </si>
  <si>
    <t>49129</t>
  </si>
  <si>
    <t>49229</t>
  </si>
  <si>
    <t>Otras partes y accesorios de vehículos automotores (incluso frenos, cajas de engranajes, ejes, ruedas, amortiguadores de suspensión, radiadores, silenciadores, tubos de escape, embragues, volantes, columnas de dirección, cárteres de dirección y sus partes) n.c.p.</t>
  </si>
  <si>
    <t>Otros tipos de remolques y semi-remolques (incluidos los de uso  para transporte de mercancías), con excepción de los de uso  para fines agrícolas con sistema de carga o descarga automática</t>
  </si>
  <si>
    <t>44160</t>
  </si>
  <si>
    <t>Remolques y semirremolques, autocargadores o autodescargadores, para uso agrícola</t>
  </si>
  <si>
    <t>38122</t>
  </si>
  <si>
    <t>38140</t>
  </si>
  <si>
    <t>38150</t>
  </si>
  <si>
    <t>Otros muebles de madera, del tipo utilizado en oficinas</t>
  </si>
  <si>
    <t>Otros muebles n.c.p.</t>
  </si>
  <si>
    <t>Somieres; colchones, con resortes o rellenos con cualquier material, incluidos los de caucho o plástico celular, estén o no recubiertos</t>
  </si>
  <si>
    <t>38997</t>
  </si>
  <si>
    <t>38998</t>
  </si>
  <si>
    <t>Bisutería (joyas de fantasía)</t>
  </si>
  <si>
    <t xml:space="preserve">Fósforos o cerillas </t>
  </si>
  <si>
    <t>38240</t>
  </si>
  <si>
    <t>Joyas y otros artículos de metales preciosos o de metales revestidos con metales preciosos; artículos de perlas naturales o cultivadas, de piedras preciosas o semipreciosas (naturales, sintéticas o reconstituidas)</t>
  </si>
  <si>
    <t>1010</t>
  </si>
  <si>
    <t>1061</t>
  </si>
  <si>
    <t>1071</t>
  </si>
  <si>
    <t>1410</t>
  </si>
  <si>
    <t>1391</t>
  </si>
  <si>
    <t>1311</t>
  </si>
  <si>
    <t>2011</t>
  </si>
  <si>
    <t>Carne de ganado bovino, fresca o refrigerada</t>
  </si>
  <si>
    <t>Otras carnes de mamíferos, fresca o refrigerada</t>
  </si>
  <si>
    <t>21119</t>
  </si>
  <si>
    <t>21221</t>
  </si>
  <si>
    <t>Filetes y carne de pescado (este o no picada), frescos o refrigerados</t>
  </si>
  <si>
    <t>code</t>
  </si>
  <si>
    <t>NOMBRE</t>
  </si>
  <si>
    <t>1079</t>
  </si>
  <si>
    <t>1512</t>
  </si>
  <si>
    <t>VALOR AGREGADO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</si>
</sst>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_ ;_ * \-#,##0.0_ ;_ * &quot;-&quot;??_ ;_ @_ "/>
    <numFmt numFmtId="165" formatCode="_ * #,##0.00_ ;_ * \-#,##0.00_ ;_ * &quot;-&quot;??_ ;_ @_ "/>
    <numFmt numFmtId="166" formatCode="#,##0.0"/>
    <numFmt numFmtId="167" formatCode="0.000%"/>
    <numFmt numFmtId="168" formatCode="0.0000%"/>
    <numFmt numFmtId="171" formatCode="0.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rial Unicode MS"/>
      <family val="2"/>
    </font>
    <font>
      <sz val="11"/>
      <color theme="1"/>
      <name val="Arial Unicode MS"/>
    </font>
    <font>
      <b/>
      <sz val="11"/>
      <color theme="0"/>
      <name val="Arial Unicode MS"/>
      <family val="2"/>
    </font>
    <font>
      <b/>
      <sz val="11"/>
      <color theme="1"/>
      <name val="Arial Unicode MS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trike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164" fontId="4" fillId="2" borderId="3" xfId="1" applyNumberFormat="1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0" fillId="4" borderId="8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164" fontId="0" fillId="4" borderId="8" xfId="1" applyNumberFormat="1" applyFont="1" applyFill="1" applyBorder="1" applyAlignment="1">
      <alignment vertical="center"/>
    </xf>
    <xf numFmtId="165" fontId="0" fillId="4" borderId="8" xfId="1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166" fontId="6" fillId="2" borderId="2" xfId="0" applyNumberFormat="1" applyFont="1" applyFill="1" applyBorder="1" applyAlignment="1">
      <alignment vertical="center"/>
    </xf>
    <xf numFmtId="164" fontId="6" fillId="2" borderId="3" xfId="1" applyNumberFormat="1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164" fontId="0" fillId="0" borderId="11" xfId="1" applyNumberFormat="1" applyFont="1" applyBorder="1" applyAlignment="1">
      <alignment vertical="center"/>
    </xf>
    <xf numFmtId="167" fontId="0" fillId="4" borderId="8" xfId="2" applyNumberFormat="1" applyFont="1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164" fontId="0" fillId="0" borderId="14" xfId="1" applyNumberFormat="1" applyFont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164" fontId="2" fillId="4" borderId="8" xfId="1" applyNumberFormat="1" applyFont="1" applyFill="1" applyBorder="1" applyAlignment="1">
      <alignment vertical="center"/>
    </xf>
    <xf numFmtId="167" fontId="0" fillId="0" borderId="0" xfId="2" applyNumberFormat="1" applyFont="1"/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164" fontId="0" fillId="0" borderId="17" xfId="1" applyNumberFormat="1" applyFont="1" applyBorder="1" applyAlignment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43" fontId="5" fillId="3" borderId="20" xfId="1" applyFont="1" applyFill="1" applyBorder="1" applyAlignment="1">
      <alignment horizontal="center" vertical="center"/>
    </xf>
    <xf numFmtId="43" fontId="5" fillId="3" borderId="21" xfId="1" applyFont="1" applyFill="1" applyBorder="1" applyAlignment="1">
      <alignment horizontal="center" vertical="center"/>
    </xf>
    <xf numFmtId="43" fontId="5" fillId="3" borderId="23" xfId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166" fontId="3" fillId="2" borderId="2" xfId="0" applyNumberFormat="1" applyFont="1" applyFill="1" applyBorder="1" applyAlignment="1">
      <alignment vertical="center"/>
    </xf>
    <xf numFmtId="9" fontId="6" fillId="2" borderId="2" xfId="2" applyFont="1" applyFill="1" applyBorder="1" applyAlignment="1">
      <alignment vertical="center"/>
    </xf>
    <xf numFmtId="0" fontId="0" fillId="4" borderId="17" xfId="0" applyFill="1" applyBorder="1" applyAlignment="1">
      <alignment vertical="center"/>
    </xf>
    <xf numFmtId="0" fontId="0" fillId="4" borderId="18" xfId="0" applyFill="1" applyBorder="1" applyAlignment="1">
      <alignment vertical="center"/>
    </xf>
    <xf numFmtId="0" fontId="0" fillId="4" borderId="19" xfId="0" applyFill="1" applyBorder="1" applyAlignment="1">
      <alignment vertical="center"/>
    </xf>
    <xf numFmtId="164" fontId="0" fillId="4" borderId="17" xfId="1" applyNumberFormat="1" applyFont="1" applyFill="1" applyBorder="1" applyAlignment="1">
      <alignment vertical="center"/>
    </xf>
    <xf numFmtId="165" fontId="0" fillId="4" borderId="0" xfId="1" applyNumberFormat="1" applyFont="1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0" fontId="0" fillId="4" borderId="25" xfId="0" applyFill="1" applyBorder="1" applyAlignment="1">
      <alignment vertical="center"/>
    </xf>
    <xf numFmtId="0" fontId="0" fillId="4" borderId="26" xfId="0" applyFill="1" applyBorder="1" applyAlignment="1">
      <alignment vertical="center"/>
    </xf>
    <xf numFmtId="164" fontId="0" fillId="4" borderId="24" xfId="1" applyNumberFormat="1" applyFont="1" applyFill="1" applyBorder="1" applyAlignment="1">
      <alignment vertical="center"/>
    </xf>
    <xf numFmtId="164" fontId="2" fillId="4" borderId="24" xfId="1" applyNumberFormat="1" applyFont="1" applyFill="1" applyBorder="1" applyAlignment="1">
      <alignment vertical="center"/>
    </xf>
    <xf numFmtId="168" fontId="0" fillId="0" borderId="0" xfId="2" applyNumberFormat="1" applyFont="1"/>
    <xf numFmtId="0" fontId="7" fillId="5" borderId="14" xfId="0" applyFont="1" applyFill="1" applyBorder="1"/>
    <xf numFmtId="0" fontId="7" fillId="0" borderId="14" xfId="0" applyFont="1" applyBorder="1"/>
    <xf numFmtId="164" fontId="2" fillId="4" borderId="17" xfId="1" applyNumberFormat="1" applyFont="1" applyFill="1" applyBorder="1" applyAlignment="1">
      <alignment vertical="center"/>
    </xf>
    <xf numFmtId="0" fontId="2" fillId="0" borderId="0" xfId="0" applyFont="1"/>
    <xf numFmtId="164" fontId="2" fillId="0" borderId="11" xfId="1" applyNumberFormat="1" applyFont="1" applyBorder="1" applyAlignment="1">
      <alignment vertical="center"/>
    </xf>
    <xf numFmtId="0" fontId="2" fillId="6" borderId="11" xfId="0" applyFont="1" applyFill="1" applyBorder="1" applyAlignment="1">
      <alignment vertical="center"/>
    </xf>
    <xf numFmtId="0" fontId="2" fillId="6" borderId="12" xfId="0" applyFont="1" applyFill="1" applyBorder="1" applyAlignment="1">
      <alignment vertical="center"/>
    </xf>
    <xf numFmtId="0" fontId="2" fillId="6" borderId="0" xfId="0" applyFont="1" applyFill="1"/>
    <xf numFmtId="0" fontId="0" fillId="0" borderId="26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164" fontId="0" fillId="0" borderId="24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164" fontId="0" fillId="0" borderId="0" xfId="1" applyNumberFormat="1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0" xfId="0" applyFont="1"/>
    <xf numFmtId="0" fontId="9" fillId="6" borderId="0" xfId="0" applyFont="1" applyFill="1"/>
    <xf numFmtId="167" fontId="0" fillId="4" borderId="0" xfId="2" applyNumberFormat="1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1" fontId="5" fillId="3" borderId="0" xfId="0" applyNumberFormat="1" applyFont="1" applyFill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4" borderId="8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left"/>
    </xf>
    <xf numFmtId="1" fontId="8" fillId="0" borderId="16" xfId="0" applyNumberFormat="1" applyFont="1" applyBorder="1" applyAlignment="1">
      <alignment horizontal="left" vertical="center"/>
    </xf>
    <xf numFmtId="1" fontId="2" fillId="0" borderId="0" xfId="0" applyNumberFormat="1" applyFont="1" applyAlignment="1">
      <alignment horizontal="left"/>
    </xf>
    <xf numFmtId="1" fontId="9" fillId="6" borderId="0" xfId="0" applyNumberFormat="1" applyFont="1" applyFill="1" applyAlignment="1">
      <alignment horizontal="left"/>
    </xf>
    <xf numFmtId="1" fontId="2" fillId="6" borderId="0" xfId="0" applyNumberFormat="1" applyFont="1" applyFill="1" applyAlignment="1">
      <alignment horizontal="left"/>
    </xf>
    <xf numFmtId="1" fontId="6" fillId="2" borderId="2" xfId="2" applyNumberFormat="1" applyFont="1" applyFill="1" applyBorder="1" applyAlignment="1">
      <alignment horizontal="left" vertical="center"/>
    </xf>
    <xf numFmtId="1" fontId="5" fillId="3" borderId="0" xfId="0" applyNumberFormat="1" applyFont="1" applyFill="1" applyAlignment="1">
      <alignment vertical="center"/>
    </xf>
    <xf numFmtId="0" fontId="6" fillId="2" borderId="1" xfId="0" applyFont="1" applyFill="1" applyBorder="1" applyAlignment="1">
      <alignment vertical="center"/>
    </xf>
    <xf numFmtId="1" fontId="8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1" fontId="9" fillId="6" borderId="0" xfId="0" applyNumberFormat="1" applyFont="1" applyFill="1"/>
    <xf numFmtId="1" fontId="2" fillId="6" borderId="0" xfId="0" applyNumberFormat="1" applyFont="1" applyFill="1"/>
    <xf numFmtId="1" fontId="0" fillId="4" borderId="9" xfId="2" applyNumberFormat="1" applyFont="1" applyFill="1" applyBorder="1" applyAlignment="1">
      <alignment vertical="center"/>
    </xf>
    <xf numFmtId="1" fontId="8" fillId="0" borderId="27" xfId="0" applyNumberFormat="1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167" fontId="6" fillId="2" borderId="0" xfId="2" applyNumberFormat="1" applyFont="1" applyFill="1" applyBorder="1" applyAlignment="1">
      <alignment horizontal="right" vertical="center"/>
    </xf>
    <xf numFmtId="167" fontId="0" fillId="0" borderId="0" xfId="2" applyNumberFormat="1" applyFont="1" applyBorder="1"/>
    <xf numFmtId="0" fontId="8" fillId="0" borderId="0" xfId="0" applyFont="1" applyAlignment="1">
      <alignment vertical="center"/>
    </xf>
    <xf numFmtId="168" fontId="0" fillId="0" borderId="0" xfId="2" applyNumberFormat="1" applyFont="1" applyBorder="1"/>
    <xf numFmtId="49" fontId="0" fillId="0" borderId="0" xfId="0" applyNumberFormat="1" applyAlignment="1">
      <alignment horizontal="left"/>
    </xf>
    <xf numFmtId="0" fontId="5" fillId="3" borderId="5" xfId="0" applyFont="1" applyFill="1" applyBorder="1" applyAlignment="1">
      <alignment horizontal="center" vertical="center"/>
    </xf>
    <xf numFmtId="166" fontId="6" fillId="2" borderId="28" xfId="0" applyNumberFormat="1" applyFont="1" applyFill="1" applyBorder="1" applyAlignment="1">
      <alignment vertical="center"/>
    </xf>
    <xf numFmtId="164" fontId="0" fillId="0" borderId="0" xfId="1" applyNumberFormat="1" applyFont="1" applyAlignment="1">
      <alignment vertical="center"/>
    </xf>
    <xf numFmtId="171" fontId="0" fillId="0" borderId="0" xfId="1" applyNumberFormat="1" applyFon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14">
    <dxf>
      <fill>
        <patternFill patternType="solid">
          <fgColor rgb="FFF2CEEF"/>
          <bgColor rgb="FF00000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tednations-my.sharepoint.com/personal/ernestina_perez_un_org/Documents/0Escritorio/ESCRITORIO/AT%20Paises/AT%20Guatemala/2025/AT%20Mayo/IPP/MATRIZ_COU%20%20con%20VAB.xlsx" TargetMode="External"/><Relationship Id="rId1" Type="http://schemas.openxmlformats.org/officeDocument/2006/relationships/externalLinkPath" Target="MATRIZ_COU%20%20con%20VA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% SECCION_ECONOMIA 2022"/>
      <sheetName val="OFERTA_UTILIZACIÓN 2022"/>
      <sheetName val="% SECCION_ECONOMIA 2023"/>
      <sheetName val="OFERTA_UTILIZACIÓN 2023"/>
    </sheetNames>
    <sheetDataSet>
      <sheetData sheetId="0">
        <row r="81">
          <cell r="C81" t="str">
            <v>AE029</v>
          </cell>
          <cell r="D81" t="str">
            <v>Elaboración y conservación de carne de ganado bovino</v>
          </cell>
          <cell r="F81">
            <v>9298.8396443836882</v>
          </cell>
          <cell r="G81">
            <v>100</v>
          </cell>
          <cell r="I81">
            <v>2293.4968473362023</v>
          </cell>
        </row>
        <row r="82">
          <cell r="C82" t="str">
            <v>AE029</v>
          </cell>
          <cell r="D82" t="str">
            <v>P2101</v>
          </cell>
          <cell r="E82" t="str">
            <v>Carne y despojos comestibles de ganado bovino</v>
          </cell>
          <cell r="F82">
            <v>8904.6478325257722</v>
          </cell>
          <cell r="G82">
            <v>95.760849450759153</v>
          </cell>
        </row>
        <row r="83">
          <cell r="C83" t="str">
            <v>AE030</v>
          </cell>
          <cell r="D83" t="str">
            <v>Elaboración y conservación de carne de ganado porcino</v>
          </cell>
          <cell r="F83">
            <v>2340.48297879141</v>
          </cell>
          <cell r="G83">
            <v>100</v>
          </cell>
          <cell r="I83">
            <v>663.60340220959324</v>
          </cell>
        </row>
        <row r="84">
          <cell r="C84" t="str">
            <v>AE030</v>
          </cell>
          <cell r="D84" t="str">
            <v>P2102</v>
          </cell>
          <cell r="E84" t="str">
            <v>Carne y despojos comestibles de ganado porcino</v>
          </cell>
          <cell r="F84">
            <v>1769.5300020838727</v>
          </cell>
          <cell r="G84">
            <v>75.605335228612986</v>
          </cell>
        </row>
        <row r="85">
          <cell r="C85" t="str">
            <v>AE030</v>
          </cell>
          <cell r="D85" t="str">
            <v>P2104</v>
          </cell>
          <cell r="E85" t="str">
            <v>Carne y despojos de otros animales y conservas y preparados de carne</v>
          </cell>
          <cell r="F85">
            <v>238.67365333890947</v>
          </cell>
          <cell r="G85">
            <v>10.197623973414109</v>
          </cell>
        </row>
        <row r="86">
          <cell r="C86" t="str">
            <v>AE031</v>
          </cell>
          <cell r="D86" t="str">
            <v>Elaboración y conservación de carne de aves de corral</v>
          </cell>
          <cell r="F86">
            <v>13487.919419543732</v>
          </cell>
          <cell r="G86">
            <v>100</v>
          </cell>
          <cell r="I86">
            <v>3651.4040455195518</v>
          </cell>
        </row>
        <row r="87">
          <cell r="C87" t="str">
            <v>AE031</v>
          </cell>
          <cell r="D87" t="str">
            <v>P2103</v>
          </cell>
          <cell r="E87" t="str">
            <v>Carne y despojos comestibles de aves</v>
          </cell>
          <cell r="F87">
            <v>12872.662512351295</v>
          </cell>
          <cell r="G87">
            <v>95.438459498053192</v>
          </cell>
        </row>
        <row r="88">
          <cell r="C88" t="str">
            <v>AE032</v>
          </cell>
          <cell r="D88" t="str">
            <v>Elaboración de productos cárnicos y elaboración de otros productos de origen animal n.c.p.</v>
          </cell>
          <cell r="F88">
            <v>3804.6624030937569</v>
          </cell>
          <cell r="G88">
            <v>100</v>
          </cell>
          <cell r="I88">
            <v>1198.4314170979824</v>
          </cell>
        </row>
        <row r="89">
          <cell r="C89" t="str">
            <v>AE032</v>
          </cell>
          <cell r="D89" t="str">
            <v>P2104</v>
          </cell>
          <cell r="E89" t="str">
            <v>Carne y despojos de otros animales y conservas y preparados de carne</v>
          </cell>
          <cell r="F89">
            <v>3603.9197009061836</v>
          </cell>
          <cell r="G89">
            <v>94.723770970471918</v>
          </cell>
        </row>
        <row r="90">
          <cell r="C90" t="str">
            <v>AE033</v>
          </cell>
          <cell r="D90" t="str">
            <v>Elaboración y conservación de pescado, crustáceos y moluscos</v>
          </cell>
          <cell r="F90">
            <v>1491.6421119058491</v>
          </cell>
          <cell r="G90">
            <v>100</v>
          </cell>
          <cell r="I90">
            <v>353.14674514522858</v>
          </cell>
        </row>
        <row r="91">
          <cell r="C91" t="str">
            <v>AE033</v>
          </cell>
          <cell r="D91" t="str">
            <v>P2202</v>
          </cell>
          <cell r="E91" t="str">
            <v>Crustáceos, muloscos y demás invertebrados acuáticos congelados, preparados o en conserva y sus productos</v>
          </cell>
          <cell r="F91">
            <v>745.05685835623672</v>
          </cell>
          <cell r="G91">
            <v>49.94876803285532</v>
          </cell>
        </row>
        <row r="92">
          <cell r="C92" t="str">
            <v>AE033</v>
          </cell>
          <cell r="D92" t="str">
            <v>P2201</v>
          </cell>
          <cell r="E92" t="str">
            <v>Pescado congelado, preparado o en conserva y sus productos</v>
          </cell>
          <cell r="F92">
            <v>743.18318429215969</v>
          </cell>
          <cell r="G92">
            <v>49.82315653066442</v>
          </cell>
        </row>
        <row r="93">
          <cell r="C93" t="str">
            <v>AE034</v>
          </cell>
          <cell r="D93" t="str">
            <v>Elaboración y conservación de frutas, legumbres y hortalizas</v>
          </cell>
          <cell r="F93">
            <v>5901.3351995864268</v>
          </cell>
          <cell r="G93">
            <v>100</v>
          </cell>
          <cell r="I93">
            <v>1683.6569498450417</v>
          </cell>
        </row>
        <row r="94">
          <cell r="C94" t="str">
            <v>AE034</v>
          </cell>
          <cell r="D94" t="str">
            <v>P2303</v>
          </cell>
          <cell r="E94" t="str">
            <v>Jugos de frutas</v>
          </cell>
          <cell r="F94">
            <v>1940.2444613754376</v>
          </cell>
          <cell r="G94">
            <v>32.878058875750902</v>
          </cell>
        </row>
        <row r="95">
          <cell r="C95" t="str">
            <v>AE034</v>
          </cell>
          <cell r="D95" t="str">
            <v>P2301</v>
          </cell>
          <cell r="E95" t="str">
            <v>Vegetales preparados o en conserva, legumbres y papas</v>
          </cell>
          <cell r="F95">
            <v>1392.5097715427228</v>
          </cell>
          <cell r="G95">
            <v>23.596520523699649</v>
          </cell>
        </row>
        <row r="96">
          <cell r="C96" t="str">
            <v>AE034</v>
          </cell>
          <cell r="D96" t="str">
            <v>P2304</v>
          </cell>
          <cell r="E96" t="str">
            <v>Otras frutas y nueces preparadas y preservadas (excepto por azúcar)</v>
          </cell>
          <cell r="F96">
            <v>1083.1775736150867</v>
          </cell>
          <cell r="G96">
            <v>18.354788145079389</v>
          </cell>
        </row>
        <row r="97">
          <cell r="C97" t="str">
            <v>AE034</v>
          </cell>
          <cell r="D97" t="str">
            <v>P3401</v>
          </cell>
          <cell r="E97" t="str">
            <v>Bebidas no alcohólicas</v>
          </cell>
          <cell r="F97">
            <v>670.59578865742958</v>
          </cell>
          <cell r="G97">
            <v>11.363458708538126</v>
          </cell>
        </row>
        <row r="98">
          <cell r="C98" t="str">
            <v>AE035</v>
          </cell>
          <cell r="D98" t="str">
            <v>Elaboración de aceites y grasas de origen vegetal y animal</v>
          </cell>
          <cell r="F98">
            <v>15864.34442747215</v>
          </cell>
          <cell r="G98">
            <v>100</v>
          </cell>
          <cell r="I98">
            <v>5881.5027195020648</v>
          </cell>
        </row>
        <row r="99">
          <cell r="C99" t="str">
            <v>AE035</v>
          </cell>
          <cell r="D99" t="str">
            <v>P2401</v>
          </cell>
          <cell r="E99" t="str">
            <v>Aceites de origen vegetal</v>
          </cell>
          <cell r="F99">
            <v>12982.824730678154</v>
          </cell>
          <cell r="G99">
            <v>81.836503172459544</v>
          </cell>
        </row>
        <row r="100">
          <cell r="C100" t="str">
            <v>AE036</v>
          </cell>
          <cell r="D100" t="str">
            <v>Elaboración de productos lácteos</v>
          </cell>
          <cell r="F100">
            <v>4950.6646427537808</v>
          </cell>
          <cell r="G100">
            <v>100</v>
          </cell>
          <cell r="I100">
            <v>2004.8728096294944</v>
          </cell>
        </row>
        <row r="101">
          <cell r="C101" t="str">
            <v>AE036</v>
          </cell>
          <cell r="D101" t="str">
            <v>P2503</v>
          </cell>
          <cell r="E101" t="str">
            <v>Otros productos lácteos n.c.p.</v>
          </cell>
          <cell r="F101">
            <v>3340.5071829020808</v>
          </cell>
          <cell r="G101">
            <v>67.475933515139928</v>
          </cell>
        </row>
        <row r="102">
          <cell r="C102" t="str">
            <v>AE036</v>
          </cell>
          <cell r="D102" t="str">
            <v>P2501</v>
          </cell>
          <cell r="E102" t="str">
            <v>Leche líquida y crema procesadas</v>
          </cell>
          <cell r="F102">
            <v>1560.7598771317005</v>
          </cell>
          <cell r="G102">
            <v>31.526269496281937</v>
          </cell>
        </row>
        <row r="103">
          <cell r="C103" t="str">
            <v>AE037</v>
          </cell>
          <cell r="D103" t="str">
            <v>Elaboración de harina de trigo</v>
          </cell>
          <cell r="F103">
            <v>3945.6109500818343</v>
          </cell>
          <cell r="G103">
            <v>100</v>
          </cell>
          <cell r="I103">
            <v>974.22887396186206</v>
          </cell>
        </row>
        <row r="104">
          <cell r="C104" t="str">
            <v>AE037</v>
          </cell>
          <cell r="D104" t="str">
            <v>P2601</v>
          </cell>
          <cell r="E104" t="str">
            <v>Harina de trigo</v>
          </cell>
          <cell r="F104">
            <v>3450.3240786082069</v>
          </cell>
          <cell r="G104">
            <v>87.447143731610069</v>
          </cell>
        </row>
        <row r="105">
          <cell r="C105" t="str">
            <v>AE038</v>
          </cell>
          <cell r="D105" t="str">
            <v>Beneficios de arroz</v>
          </cell>
          <cell r="F105">
            <v>1520.33015374405</v>
          </cell>
          <cell r="G105">
            <v>100</v>
          </cell>
          <cell r="I105">
            <v>765.900937209821</v>
          </cell>
        </row>
        <row r="106">
          <cell r="C106" t="str">
            <v>AE038</v>
          </cell>
          <cell r="D106" t="str">
            <v>P2602</v>
          </cell>
          <cell r="E106" t="str">
            <v>Arroz sin cáscara</v>
          </cell>
          <cell r="F106">
            <v>967.800986927233</v>
          </cell>
          <cell r="G106">
            <v>63.657290789363884</v>
          </cell>
        </row>
        <row r="107">
          <cell r="C107" t="str">
            <v>AE038</v>
          </cell>
          <cell r="D107" t="str">
            <v>P2603</v>
          </cell>
          <cell r="E107" t="str">
            <v>Otros productos de molinería n.c.p.</v>
          </cell>
          <cell r="F107">
            <v>386.30193112372262</v>
          </cell>
          <cell r="G107">
            <v>25.409081716388631</v>
          </cell>
        </row>
        <row r="108">
          <cell r="C108" t="str">
            <v>AE039</v>
          </cell>
          <cell r="D108" t="str">
            <v>Elaboración de otros productos de molinería n.c.p. por cuenta propia</v>
          </cell>
          <cell r="F108">
            <v>2366.5371905558918</v>
          </cell>
          <cell r="G108">
            <v>100</v>
          </cell>
          <cell r="I108">
            <v>899.59999198330388</v>
          </cell>
        </row>
        <row r="109">
          <cell r="C109" t="str">
            <v>AE039</v>
          </cell>
          <cell r="D109" t="str">
            <v>P2603</v>
          </cell>
          <cell r="E109" t="str">
            <v>Otros productos de molinería n.c.p.</v>
          </cell>
          <cell r="F109">
            <v>1827.8865945315831</v>
          </cell>
          <cell r="G109">
            <v>77.238870440156433</v>
          </cell>
        </row>
        <row r="110">
          <cell r="C110" t="str">
            <v>AE039</v>
          </cell>
          <cell r="D110" t="str">
            <v>P3101</v>
          </cell>
          <cell r="E110" t="str">
            <v>Productos alimenticios n.c.p.</v>
          </cell>
          <cell r="F110">
            <v>319.81572529933311</v>
          </cell>
          <cell r="G110">
            <v>13.514079836801951</v>
          </cell>
        </row>
        <row r="111">
          <cell r="C111" t="str">
            <v>AE040</v>
          </cell>
          <cell r="D111" t="str">
            <v>Elaboración de almidones y productos derivados del almidón</v>
          </cell>
          <cell r="F111">
            <v>2091.5041076723992</v>
          </cell>
          <cell r="G111">
            <v>100</v>
          </cell>
          <cell r="I111">
            <v>1181.3967791707048</v>
          </cell>
        </row>
        <row r="112">
          <cell r="C112" t="str">
            <v>AE040</v>
          </cell>
          <cell r="D112" t="str">
            <v>P6212</v>
          </cell>
          <cell r="E112" t="str">
            <v>Servicios de manufactura</v>
          </cell>
          <cell r="F112">
            <v>2021.8558307581347</v>
          </cell>
          <cell r="G112">
            <v>96.669943096990863</v>
          </cell>
        </row>
        <row r="113">
          <cell r="C113" t="str">
            <v>AE041</v>
          </cell>
          <cell r="D113" t="str">
            <v>Elaboración de productos de panadería</v>
          </cell>
          <cell r="F113">
            <v>12936.486303296619</v>
          </cell>
          <cell r="G113">
            <v>100</v>
          </cell>
          <cell r="I113">
            <v>5985.6467383188892</v>
          </cell>
        </row>
        <row r="114">
          <cell r="C114" t="str">
            <v>AE041</v>
          </cell>
          <cell r="D114" t="str">
            <v>P2701</v>
          </cell>
          <cell r="E114" t="str">
            <v>Pan</v>
          </cell>
          <cell r="F114">
            <v>10246.002565375236</v>
          </cell>
          <cell r="G114">
            <v>79.202360866445147</v>
          </cell>
        </row>
        <row r="115">
          <cell r="C115" t="str">
            <v>AE041</v>
          </cell>
          <cell r="D115" t="str">
            <v>P2702</v>
          </cell>
          <cell r="E115" t="str">
            <v>Otros productos de panadería y repostería n.c.p.</v>
          </cell>
          <cell r="F115">
            <v>2525.6825228109574</v>
          </cell>
          <cell r="G115">
            <v>19.523713499911757</v>
          </cell>
        </row>
        <row r="116">
          <cell r="C116" t="str">
            <v>AE042</v>
          </cell>
          <cell r="D116" t="str">
            <v>Elaboración de tortillas de maíz</v>
          </cell>
          <cell r="F116">
            <v>10633.24960188697</v>
          </cell>
          <cell r="G116">
            <v>100</v>
          </cell>
          <cell r="I116">
            <v>5629.0697314511908</v>
          </cell>
        </row>
        <row r="117">
          <cell r="C117" t="str">
            <v>AE042</v>
          </cell>
          <cell r="D117" t="str">
            <v>P2703</v>
          </cell>
          <cell r="E117" t="str">
            <v>Tortillas de maíz, incluso tostadas, horneadas o fritas</v>
          </cell>
          <cell r="F117">
            <v>10581.927533079841</v>
          </cell>
          <cell r="G117">
            <v>99.517343514648417</v>
          </cell>
        </row>
        <row r="118">
          <cell r="C118" t="str">
            <v>AE043</v>
          </cell>
          <cell r="D118" t="str">
            <v>Elaboración de azúcar</v>
          </cell>
          <cell r="F118">
            <v>13926.703018197051</v>
          </cell>
          <cell r="G118">
            <v>100</v>
          </cell>
          <cell r="I118">
            <v>4028.7624489067166</v>
          </cell>
        </row>
        <row r="119">
          <cell r="C119" t="str">
            <v>AE043</v>
          </cell>
          <cell r="D119" t="str">
            <v>P2801</v>
          </cell>
          <cell r="E119" t="str">
            <v>Azúcar de caña sin refinar, refinada y los demás azúcares n.c.p.</v>
          </cell>
          <cell r="F119">
            <v>12219.085600297092</v>
          </cell>
          <cell r="G119">
            <v>87.738537860190348</v>
          </cell>
        </row>
        <row r="120">
          <cell r="C120" t="str">
            <v>AE044</v>
          </cell>
          <cell r="D120" t="str">
            <v>Elaboración de cacao y chocolate y de productos de confitería</v>
          </cell>
          <cell r="F120">
            <v>2058.1049198310357</v>
          </cell>
          <cell r="G120">
            <v>100</v>
          </cell>
          <cell r="I120">
            <v>665.01541447940258</v>
          </cell>
        </row>
        <row r="121">
          <cell r="C121" t="str">
            <v>AE044</v>
          </cell>
          <cell r="D121" t="str">
            <v>P2901</v>
          </cell>
          <cell r="E121" t="str">
            <v>Cacao, chocolate y productos de confitería</v>
          </cell>
          <cell r="F121">
            <v>1874.9165041829406</v>
          </cell>
          <cell r="G121">
            <v>91.09917021805019</v>
          </cell>
        </row>
        <row r="122">
          <cell r="C122" t="str">
            <v>AE045</v>
          </cell>
          <cell r="D122" t="str">
            <v>Elaboración de macarrones, fideos, alcuzcuz y productos farináceos similares</v>
          </cell>
          <cell r="F122">
            <v>1155.3669533160687</v>
          </cell>
          <cell r="G122">
            <v>100</v>
          </cell>
          <cell r="I122">
            <v>471.95034198907513</v>
          </cell>
        </row>
        <row r="123">
          <cell r="C123" t="str">
            <v>AE045</v>
          </cell>
          <cell r="D123" t="str">
            <v>P3001</v>
          </cell>
          <cell r="E123" t="str">
            <v>Macarrones, fideos y productos farináceos similares</v>
          </cell>
          <cell r="F123">
            <v>1101.7418991776758</v>
          </cell>
          <cell r="G123">
            <v>95.358612778002581</v>
          </cell>
        </row>
        <row r="124">
          <cell r="C124" t="str">
            <v>AE046</v>
          </cell>
          <cell r="D124" t="str">
            <v xml:space="preserve">Elaboración de otros productos alimenticios n.c.p  incluyendo comidas y platos preparados </v>
          </cell>
          <cell r="F124">
            <v>8185.5011525767268</v>
          </cell>
          <cell r="G124">
            <v>100</v>
          </cell>
          <cell r="I124">
            <v>3023.1300940517722</v>
          </cell>
        </row>
        <row r="125">
          <cell r="C125" t="str">
            <v>AE046</v>
          </cell>
          <cell r="D125" t="str">
            <v>P3101</v>
          </cell>
          <cell r="E125" t="str">
            <v>Productos alimenticios n.c.p.</v>
          </cell>
          <cell r="F125">
            <v>7822.1232879446334</v>
          </cell>
          <cell r="G125">
            <v>95.560713292212967</v>
          </cell>
        </row>
        <row r="126">
          <cell r="C126" t="str">
            <v>AE047</v>
          </cell>
          <cell r="D126" t="str">
            <v>Elaboración de alimentos preparados para animales</v>
          </cell>
          <cell r="F126">
            <v>7267.5921563897145</v>
          </cell>
          <cell r="G126">
            <v>100</v>
          </cell>
          <cell r="I126">
            <v>2724.8798051861431</v>
          </cell>
        </row>
        <row r="127">
          <cell r="C127" t="str">
            <v>AE047</v>
          </cell>
          <cell r="D127" t="str">
            <v>P3201</v>
          </cell>
          <cell r="E127" t="str">
            <v>Preparados para alimentación animal</v>
          </cell>
          <cell r="F127">
            <v>7162.7511675951937</v>
          </cell>
          <cell r="G127">
            <v>98.557417827824253</v>
          </cell>
        </row>
        <row r="128">
          <cell r="C128" t="str">
            <v>AE048</v>
          </cell>
          <cell r="D128" t="str">
            <v>Destilación, rectificación y mezcla de bebidas alcohólicas</v>
          </cell>
          <cell r="F128">
            <v>878.1311479969014</v>
          </cell>
          <cell r="G128">
            <v>100</v>
          </cell>
          <cell r="I128">
            <v>240.86267546609474</v>
          </cell>
        </row>
        <row r="129">
          <cell r="C129" t="str">
            <v>AE048</v>
          </cell>
          <cell r="D129" t="str">
            <v>P3301</v>
          </cell>
          <cell r="E129" t="str">
            <v>Aguardientes, licores y demás bebidas espirituosas</v>
          </cell>
          <cell r="F129">
            <v>799.91634450329082</v>
          </cell>
          <cell r="G129">
            <v>91.09303847471692</v>
          </cell>
        </row>
        <row r="130">
          <cell r="C130" t="str">
            <v>AE049</v>
          </cell>
          <cell r="D130" t="str">
            <v>Elaboración de vinos</v>
          </cell>
          <cell r="F130">
            <v>34.667856858564441</v>
          </cell>
          <cell r="G130">
            <v>100</v>
          </cell>
          <cell r="I130">
            <v>13.349359091360686</v>
          </cell>
        </row>
        <row r="131">
          <cell r="C131" t="str">
            <v>AE049</v>
          </cell>
          <cell r="D131" t="str">
            <v>P3302</v>
          </cell>
          <cell r="E131" t="str">
            <v>Vinos</v>
          </cell>
          <cell r="F131">
            <v>32.035334722564535</v>
          </cell>
          <cell r="G131">
            <v>92.406446851503134</v>
          </cell>
        </row>
        <row r="132">
          <cell r="C132" t="str">
            <v>AE050</v>
          </cell>
          <cell r="D132" t="str">
            <v>Elaboración de bebidas malteadas y de malta</v>
          </cell>
          <cell r="F132">
            <v>3029.7594103614033</v>
          </cell>
          <cell r="G132">
            <v>100</v>
          </cell>
          <cell r="I132">
            <v>658.64412518399376</v>
          </cell>
        </row>
        <row r="133">
          <cell r="C133" t="str">
            <v>AE050</v>
          </cell>
          <cell r="D133" t="str">
            <v>P3303</v>
          </cell>
          <cell r="E133" t="str">
            <v>Cerveza de malta</v>
          </cell>
          <cell r="F133">
            <v>2573.7402812742039</v>
          </cell>
          <cell r="G133">
            <v>84.948668612838688</v>
          </cell>
        </row>
        <row r="134">
          <cell r="C134" t="str">
            <v>AE050</v>
          </cell>
          <cell r="D134" t="str">
            <v>P5401</v>
          </cell>
          <cell r="E134" t="str">
            <v xml:space="preserve">Servicios de Comercio </v>
          </cell>
          <cell r="F134">
            <v>368.268524007949</v>
          </cell>
          <cell r="G134">
            <v>12.155041840897205</v>
          </cell>
        </row>
        <row r="135">
          <cell r="C135" t="str">
            <v>AE051</v>
          </cell>
          <cell r="D135" t="str">
            <v>Elaboración de bebidas no alcohólicas; producción de aguas minerales y otras aguas embotelladas</v>
          </cell>
          <cell r="F135">
            <v>14340.218678954658</v>
          </cell>
          <cell r="G135">
            <v>100</v>
          </cell>
          <cell r="I135">
            <v>3733.6506540269183</v>
          </cell>
        </row>
        <row r="136">
          <cell r="C136" t="str">
            <v>AE051</v>
          </cell>
          <cell r="D136" t="str">
            <v>P3401</v>
          </cell>
          <cell r="E136" t="str">
            <v>Bebidas no alcohólicas</v>
          </cell>
          <cell r="F136">
            <v>11621.953178657766</v>
          </cell>
          <cell r="G136">
            <v>81.044462702049657</v>
          </cell>
        </row>
        <row r="137">
          <cell r="C137" t="str">
            <v>AE052</v>
          </cell>
          <cell r="D137" t="str">
            <v>Elaboración de productos de tabaco</v>
          </cell>
          <cell r="F137">
            <v>440.11407276109418</v>
          </cell>
          <cell r="G137">
            <v>100</v>
          </cell>
          <cell r="I137">
            <v>136.43915626828903</v>
          </cell>
        </row>
        <row r="138">
          <cell r="C138" t="str">
            <v>AE052</v>
          </cell>
          <cell r="D138" t="str">
            <v>P3501</v>
          </cell>
          <cell r="E138" t="str">
            <v>Productos del tabaco</v>
          </cell>
          <cell r="F138">
            <v>404.96309744396495</v>
          </cell>
          <cell r="G138">
            <v>92.013212598132455</v>
          </cell>
        </row>
        <row r="139">
          <cell r="C139" t="str">
            <v>AE053</v>
          </cell>
          <cell r="D139" t="str">
            <v>Hilatura, tejedura y acabado de productos textiles</v>
          </cell>
          <cell r="F139">
            <v>3739.5654325200658</v>
          </cell>
          <cell r="G139">
            <v>100</v>
          </cell>
          <cell r="I139">
            <v>1009.9897097161256</v>
          </cell>
        </row>
        <row r="140">
          <cell r="C140" t="str">
            <v>AE053</v>
          </cell>
          <cell r="D140" t="str">
            <v>P3601</v>
          </cell>
          <cell r="E140" t="str">
            <v>Hilados e hilos, tejidos y telas textiles</v>
          </cell>
          <cell r="F140">
            <v>2822.1039207318322</v>
          </cell>
          <cell r="G140">
            <v>75.466092829669705</v>
          </cell>
        </row>
        <row r="141">
          <cell r="C141" t="str">
            <v>AE053</v>
          </cell>
          <cell r="D141" t="str">
            <v>P6212</v>
          </cell>
          <cell r="E141" t="str">
            <v>Servicios de manufactura</v>
          </cell>
          <cell r="F141">
            <v>675.26920073212455</v>
          </cell>
          <cell r="G141">
            <v>18.057424396424203</v>
          </cell>
        </row>
        <row r="142">
          <cell r="C142" t="str">
            <v>AE054</v>
          </cell>
          <cell r="D142" t="str">
            <v>Fabricación de otros productos textiles</v>
          </cell>
          <cell r="F142">
            <v>4636.9259037490119</v>
          </cell>
          <cell r="G142">
            <v>100</v>
          </cell>
          <cell r="I142">
            <v>1823.3050436465455</v>
          </cell>
        </row>
        <row r="143">
          <cell r="C143" t="str">
            <v>AE054</v>
          </cell>
          <cell r="D143" t="str">
            <v>P3701</v>
          </cell>
          <cell r="E143" t="str">
            <v>Otros productos textiles (artículos textiles excepto prendas de vestir)</v>
          </cell>
          <cell r="F143">
            <v>4047.3121755161419</v>
          </cell>
          <cell r="G143">
            <v>87.284383221302718</v>
          </cell>
        </row>
        <row r="144">
          <cell r="C144" t="str">
            <v>AE055</v>
          </cell>
          <cell r="D144" t="str">
            <v>Fabricación de prendas de vestir</v>
          </cell>
          <cell r="F144">
            <v>16131.452404454198</v>
          </cell>
          <cell r="G144">
            <v>100</v>
          </cell>
          <cell r="I144">
            <v>7713.4459698159008</v>
          </cell>
        </row>
        <row r="145">
          <cell r="C145" t="str">
            <v>AE055</v>
          </cell>
          <cell r="D145" t="str">
            <v>P3702</v>
          </cell>
          <cell r="E145" t="str">
            <v>Prendas de vestir, adobo y teñido de pieles</v>
          </cell>
          <cell r="F145">
            <v>10425.586937494412</v>
          </cell>
          <cell r="G145">
            <v>64.628941499500144</v>
          </cell>
        </row>
        <row r="146">
          <cell r="C146" t="str">
            <v>AE055</v>
          </cell>
          <cell r="D146" t="str">
            <v>P6212</v>
          </cell>
          <cell r="E146" t="str">
            <v>Servicios de manufactura</v>
          </cell>
          <cell r="F146">
            <v>5233.0026408781259</v>
          </cell>
          <cell r="G146">
            <v>32.439748819103201</v>
          </cell>
        </row>
        <row r="147">
          <cell r="C147" t="str">
            <v>AE056</v>
          </cell>
          <cell r="D147" t="str">
            <v>Curtido, adobo, teñido de cueros y pieles; fabricación de maletas, bolsos de mano y artículos similares, y  artículos de talabartería y guarnicionería</v>
          </cell>
          <cell r="F147">
            <v>1007.8272822403886</v>
          </cell>
          <cell r="G147">
            <v>100</v>
          </cell>
          <cell r="I147">
            <v>347.35198911100792</v>
          </cell>
        </row>
        <row r="148">
          <cell r="C148" t="str">
            <v>AE056</v>
          </cell>
          <cell r="D148" t="str">
            <v>P3801</v>
          </cell>
          <cell r="E148" t="str">
            <v>Cuero de piel curtida o adobada y cuero artificial o regenerado</v>
          </cell>
          <cell r="F148">
            <v>709.80405900522192</v>
          </cell>
          <cell r="G148">
            <v>70.429137165977039</v>
          </cell>
        </row>
        <row r="149">
          <cell r="C149" t="str">
            <v>AE056</v>
          </cell>
          <cell r="D149" t="str">
            <v>P3802</v>
          </cell>
          <cell r="E149" t="str">
            <v>Artículos de cuero</v>
          </cell>
          <cell r="F149">
            <v>297.65845994331244</v>
          </cell>
          <cell r="G149">
            <v>29.534669797946041</v>
          </cell>
        </row>
        <row r="150">
          <cell r="C150" t="str">
            <v>AE057</v>
          </cell>
          <cell r="D150" t="str">
            <v>Fabricación de calzado de cualquier material y de cualquier uso; partes de calzado de cuero</v>
          </cell>
          <cell r="F150">
            <v>1929.7278903444708</v>
          </cell>
          <cell r="G150">
            <v>100</v>
          </cell>
          <cell r="I150">
            <v>688.59840803848465</v>
          </cell>
        </row>
        <row r="151">
          <cell r="C151" t="str">
            <v>AE057</v>
          </cell>
          <cell r="D151" t="str">
            <v>P3803</v>
          </cell>
          <cell r="E151" t="str">
            <v>Calzado y sus partes, de cualquier material y de cualquier uso</v>
          </cell>
          <cell r="F151">
            <v>1703.3215227388341</v>
          </cell>
          <cell r="G151">
            <v>88.267445957615223</v>
          </cell>
        </row>
        <row r="152">
          <cell r="C152" t="str">
            <v>AE058</v>
          </cell>
          <cell r="D152" t="str">
            <v>Aserrado y acepilladura de madera</v>
          </cell>
          <cell r="F152">
            <v>3338.2264209096793</v>
          </cell>
          <cell r="G152">
            <v>100</v>
          </cell>
          <cell r="I152">
            <v>1220.3556449615762</v>
          </cell>
        </row>
        <row r="153">
          <cell r="C153" t="str">
            <v>AE058</v>
          </cell>
          <cell r="D153" t="str">
            <v>P3901</v>
          </cell>
          <cell r="E153" t="str">
            <v>Madera aserrada y acepillada</v>
          </cell>
          <cell r="F153">
            <v>3293.7218535576731</v>
          </cell>
          <cell r="G153">
            <v>98.666819989403876</v>
          </cell>
        </row>
        <row r="154">
          <cell r="C154" t="str">
            <v>AE059</v>
          </cell>
          <cell r="D154" t="str">
            <v>Fabricación de productos de madera, productos de corcho, paja y materiales trenzables</v>
          </cell>
          <cell r="F154">
            <v>1948.8467814103271</v>
          </cell>
          <cell r="G154">
            <v>100</v>
          </cell>
          <cell r="I154">
            <v>806.12846037661529</v>
          </cell>
        </row>
        <row r="155">
          <cell r="C155" t="str">
            <v>AE059</v>
          </cell>
          <cell r="D155" t="str">
            <v>P3902</v>
          </cell>
          <cell r="E155" t="str">
            <v>Productos de madera, corcho, paja, materiales trenzables</v>
          </cell>
          <cell r="F155">
            <v>1880.5783708613476</v>
          </cell>
          <cell r="G155">
            <v>96.496984206240384</v>
          </cell>
        </row>
        <row r="156">
          <cell r="C156" t="str">
            <v>AE060</v>
          </cell>
          <cell r="D156" t="str">
            <v>Fabricación de papel y productos de papel</v>
          </cell>
          <cell r="F156">
            <v>8977.2815823287692</v>
          </cell>
          <cell r="G156">
            <v>100</v>
          </cell>
          <cell r="I156">
            <v>2599.6730538096081</v>
          </cell>
        </row>
        <row r="157">
          <cell r="C157" t="str">
            <v>AE060</v>
          </cell>
          <cell r="D157" t="str">
            <v>P4002</v>
          </cell>
          <cell r="E157" t="str">
            <v>Envases de papel y cartón</v>
          </cell>
          <cell r="F157">
            <v>4945.0143363447924</v>
          </cell>
          <cell r="G157">
            <v>55.083649666049816</v>
          </cell>
        </row>
        <row r="158">
          <cell r="C158" t="str">
            <v>AE060</v>
          </cell>
          <cell r="D158" t="str">
            <v>P4001</v>
          </cell>
          <cell r="E158" t="str">
            <v>Pasta de papel y papel</v>
          </cell>
          <cell r="F158">
            <v>3835.5570210545989</v>
          </cell>
          <cell r="G158">
            <v>42.725149989777066</v>
          </cell>
        </row>
        <row r="159">
          <cell r="C159" t="str">
            <v>AE061</v>
          </cell>
          <cell r="D159" t="str">
            <v>Impresión y actividades de servicios relacionados con la impresión y reproducción de grabaciones.</v>
          </cell>
          <cell r="F159">
            <v>2875.8252344252123</v>
          </cell>
          <cell r="G159">
            <v>100</v>
          </cell>
          <cell r="I159">
            <v>974.77201474931667</v>
          </cell>
        </row>
        <row r="160">
          <cell r="C160" t="str">
            <v>AE061</v>
          </cell>
          <cell r="D160" t="str">
            <v>P4004</v>
          </cell>
          <cell r="E160" t="str">
            <v>Productos de la impresión</v>
          </cell>
          <cell r="F160">
            <v>2419.4202668551993</v>
          </cell>
          <cell r="G160">
            <v>84.129600015098475</v>
          </cell>
        </row>
        <row r="161">
          <cell r="C161" t="str">
            <v>AE062</v>
          </cell>
          <cell r="D161" t="str">
            <v>Fabricación de coque y productos de la refinación del petróleo</v>
          </cell>
          <cell r="F161">
            <v>0</v>
          </cell>
          <cell r="G161">
            <v>0</v>
          </cell>
          <cell r="I161">
            <v>0</v>
          </cell>
        </row>
        <row r="162">
          <cell r="C162" t="str">
            <v>AE062</v>
          </cell>
          <cell r="D162" t="str">
            <v>P0101</v>
          </cell>
          <cell r="E162" t="str">
            <v>Trigo</v>
          </cell>
          <cell r="F162">
            <v>0</v>
          </cell>
          <cell r="G162">
            <v>0</v>
          </cell>
        </row>
        <row r="163">
          <cell r="C163" t="str">
            <v>AE063</v>
          </cell>
          <cell r="D163" t="str">
            <v xml:space="preserve">Fabricación de alcoholes </v>
          </cell>
          <cell r="F163">
            <v>2066.3512157835544</v>
          </cell>
          <cell r="G163">
            <v>100</v>
          </cell>
          <cell r="I163">
            <v>682.1159479201026</v>
          </cell>
        </row>
        <row r="164">
          <cell r="C164" t="str">
            <v>AE063</v>
          </cell>
          <cell r="D164" t="str">
            <v>P4201</v>
          </cell>
          <cell r="E164" t="str">
            <v>Alcoholes</v>
          </cell>
          <cell r="F164">
            <v>1662.3763965464318</v>
          </cell>
          <cell r="G164">
            <v>80.449847240323251</v>
          </cell>
        </row>
        <row r="165">
          <cell r="C165" t="str">
            <v>AE063</v>
          </cell>
          <cell r="D165" t="str">
            <v>P3301</v>
          </cell>
          <cell r="E165" t="str">
            <v>Aguardientes, licores y demás bebidas espirituosas</v>
          </cell>
          <cell r="F165">
            <v>395.44741149151218</v>
          </cell>
          <cell r="G165">
            <v>19.137473265480654</v>
          </cell>
        </row>
        <row r="166">
          <cell r="C166" t="str">
            <v>AE064</v>
          </cell>
          <cell r="D166" t="str">
            <v>Fabricación de abonos , compuestos de nitrógeno, plaguicidas y otros productos químicos de uso agropecuario</v>
          </cell>
          <cell r="F166">
            <v>7866.4176404272966</v>
          </cell>
          <cell r="G166">
            <v>100</v>
          </cell>
          <cell r="I166">
            <v>3265.1851949527281</v>
          </cell>
        </row>
        <row r="167">
          <cell r="C167" t="str">
            <v>AE064</v>
          </cell>
          <cell r="D167" t="str">
            <v>P4202</v>
          </cell>
          <cell r="E167" t="str">
            <v>Abonos, fertilizantes y pesticidas</v>
          </cell>
          <cell r="F167">
            <v>7641.5353947355561</v>
          </cell>
          <cell r="G167">
            <v>97.141236888618522</v>
          </cell>
        </row>
        <row r="168">
          <cell r="C168" t="str">
            <v>AE065</v>
          </cell>
          <cell r="D168" t="str">
            <v>Fabricación de plásticos y caucho sintético en formas primarias</v>
          </cell>
          <cell r="F168">
            <v>0</v>
          </cell>
          <cell r="G168">
            <v>0</v>
          </cell>
          <cell r="I168">
            <v>0</v>
          </cell>
        </row>
        <row r="169">
          <cell r="C169" t="str">
            <v>AE065</v>
          </cell>
          <cell r="D169" t="str">
            <v>P0101</v>
          </cell>
          <cell r="E169" t="str">
            <v>Trigo</v>
          </cell>
          <cell r="F169">
            <v>0</v>
          </cell>
          <cell r="G169">
            <v>0</v>
          </cell>
        </row>
        <row r="170">
          <cell r="C170" t="str">
            <v>AE066</v>
          </cell>
          <cell r="D170" t="str">
            <v>Fabricación de pinturas, barnices y productos de revestimiento similares, tintas de imprenta y masillas</v>
          </cell>
          <cell r="F170">
            <v>1628.8204080522182</v>
          </cell>
          <cell r="G170">
            <v>100</v>
          </cell>
          <cell r="I170">
            <v>642.92717669458852</v>
          </cell>
        </row>
        <row r="171">
          <cell r="C171" t="str">
            <v>AE066</v>
          </cell>
          <cell r="D171" t="str">
            <v>P4204</v>
          </cell>
          <cell r="E171" t="str">
            <v>Pinturas y barnices y productos relacionados, colores artisticos, tinta</v>
          </cell>
          <cell r="F171">
            <v>1585.5088713735486</v>
          </cell>
          <cell r="G171">
            <v>97.340926202511014</v>
          </cell>
        </row>
        <row r="172">
          <cell r="C172" t="str">
            <v>AE067</v>
          </cell>
          <cell r="D172" t="str">
            <v>Fabricación de jabones y detergentes, preparados para limpiar y pulir, perfumes y preparados de tocador</v>
          </cell>
          <cell r="F172">
            <v>7377.2438715911121</v>
          </cell>
          <cell r="G172">
            <v>100</v>
          </cell>
          <cell r="I172">
            <v>2797.538719193627</v>
          </cell>
        </row>
        <row r="173">
          <cell r="C173" t="str">
            <v>AE067</v>
          </cell>
          <cell r="D173" t="str">
            <v>P4205</v>
          </cell>
          <cell r="E173" t="str">
            <v>Jabón, preparados de limpieza, perfumes y preparados de toilet</v>
          </cell>
          <cell r="F173">
            <v>7204.2104712162554</v>
          </cell>
          <cell r="G173">
            <v>97.654498029525811</v>
          </cell>
        </row>
        <row r="174">
          <cell r="C174" t="str">
            <v>AE068</v>
          </cell>
          <cell r="D174" t="str">
            <v>Fabricación de otras sustancias químicas básicas, otros productos químicos y fibras artificiales</v>
          </cell>
          <cell r="F174">
            <v>2889.9206611490831</v>
          </cell>
          <cell r="G174">
            <v>100</v>
          </cell>
          <cell r="I174">
            <v>1268.0804276893725</v>
          </cell>
        </row>
        <row r="175">
          <cell r="C175" t="str">
            <v>AE068</v>
          </cell>
          <cell r="D175" t="str">
            <v>P4206</v>
          </cell>
          <cell r="E175" t="str">
            <v>Productos Químicos Básicos excepto alcoholes</v>
          </cell>
          <cell r="F175">
            <v>1625.4978667797056</v>
          </cell>
          <cell r="G175">
            <v>56.247145073296899</v>
          </cell>
        </row>
        <row r="176">
          <cell r="C176" t="str">
            <v>AE068</v>
          </cell>
          <cell r="D176" t="str">
            <v>P4207</v>
          </cell>
          <cell r="E176" t="str">
            <v>Productos químicos n.c.p. y fibras sintéticas o artificiales</v>
          </cell>
          <cell r="F176">
            <v>799.51279563260505</v>
          </cell>
          <cell r="G176">
            <v>27.665562116667409</v>
          </cell>
        </row>
        <row r="177">
          <cell r="C177" t="str">
            <v>AE069</v>
          </cell>
          <cell r="D177" t="str">
            <v>Fabricación de productos farmacéuticos, sustancias químicas medicinales y productos botánicos de uso farmacéutico</v>
          </cell>
          <cell r="F177">
            <v>6160.5907210755067</v>
          </cell>
          <cell r="G177">
            <v>100</v>
          </cell>
          <cell r="I177">
            <v>2201.879717185122</v>
          </cell>
        </row>
        <row r="178">
          <cell r="C178" t="str">
            <v>AE069</v>
          </cell>
          <cell r="D178" t="str">
            <v>P4208</v>
          </cell>
          <cell r="E178" t="str">
            <v>Productos Farmaceúticos</v>
          </cell>
          <cell r="F178">
            <v>4950.6422810597414</v>
          </cell>
          <cell r="G178">
            <v>80.35986328589388</v>
          </cell>
        </row>
        <row r="179">
          <cell r="C179" t="str">
            <v>AE069</v>
          </cell>
          <cell r="D179" t="str">
            <v>P4202</v>
          </cell>
          <cell r="E179" t="str">
            <v>Abonos, fertilizantes y pesticidas</v>
          </cell>
          <cell r="F179">
            <v>687.15225030026295</v>
          </cell>
          <cell r="G179">
            <v>11.153999371350883</v>
          </cell>
        </row>
        <row r="180">
          <cell r="C180" t="str">
            <v>AE070</v>
          </cell>
          <cell r="D180" t="str">
            <v>Fabricación de productos de caucho</v>
          </cell>
          <cell r="F180">
            <v>1392.4107228206426</v>
          </cell>
          <cell r="G180">
            <v>100</v>
          </cell>
          <cell r="I180">
            <v>412.53986055599853</v>
          </cell>
        </row>
        <row r="181">
          <cell r="C181" t="str">
            <v>AE070</v>
          </cell>
          <cell r="D181" t="str">
            <v>P4301</v>
          </cell>
          <cell r="E181" t="str">
            <v>Productos de caucho</v>
          </cell>
          <cell r="F181">
            <v>1189.9988982588056</v>
          </cell>
          <cell r="G181">
            <v>85.463209867286423</v>
          </cell>
        </row>
        <row r="182">
          <cell r="C182" t="str">
            <v>AE071</v>
          </cell>
          <cell r="D182" t="str">
            <v>Fabricación de productos de plástico</v>
          </cell>
          <cell r="F182">
            <v>15371.64777371978</v>
          </cell>
          <cell r="G182">
            <v>100</v>
          </cell>
          <cell r="I182">
            <v>5894.757392317244</v>
          </cell>
        </row>
        <row r="183">
          <cell r="C183" t="str">
            <v>AE071</v>
          </cell>
          <cell r="D183" t="str">
            <v>P4302</v>
          </cell>
          <cell r="E183" t="str">
            <v>Productos de plástico</v>
          </cell>
          <cell r="F183">
            <v>14544.411711554671</v>
          </cell>
          <cell r="G183">
            <v>94.618429498629297</v>
          </cell>
        </row>
        <row r="184">
          <cell r="C184" t="str">
            <v>AE072</v>
          </cell>
          <cell r="D184" t="str">
            <v>Fabricación de vidrio y productos de vidrio</v>
          </cell>
          <cell r="F184">
            <v>1306.7459380271307</v>
          </cell>
          <cell r="G184">
            <v>100</v>
          </cell>
          <cell r="I184">
            <v>498.44563923866042</v>
          </cell>
        </row>
        <row r="185">
          <cell r="C185" t="str">
            <v>AE072</v>
          </cell>
          <cell r="D185" t="str">
            <v>P4401</v>
          </cell>
          <cell r="E185" t="str">
            <v>Vidrio y productos de vidrio</v>
          </cell>
          <cell r="F185">
            <v>1285.7628380776298</v>
          </cell>
          <cell r="G185">
            <v>98.394247930000816</v>
          </cell>
        </row>
        <row r="186">
          <cell r="C186" t="str">
            <v>AE073</v>
          </cell>
          <cell r="D186" t="str">
            <v>Fabricación de productos refractarios y no refractarios de arcilla, cerámica, porcelana y otros minerales no metálicos</v>
          </cell>
          <cell r="F186">
            <v>2402.5001688866214</v>
          </cell>
          <cell r="G186">
            <v>100</v>
          </cell>
          <cell r="I186">
            <v>1101.6198419111633</v>
          </cell>
        </row>
        <row r="187">
          <cell r="C187" t="str">
            <v>AE073</v>
          </cell>
          <cell r="D187" t="str">
            <v>P4403</v>
          </cell>
          <cell r="E187" t="str">
            <v>Productos refractarios y productos estructurales de arcilla no refractarios</v>
          </cell>
          <cell r="F187">
            <v>1850.7718620965443</v>
          </cell>
          <cell r="G187">
            <v>77.035243787484859</v>
          </cell>
        </row>
        <row r="188">
          <cell r="C188" t="str">
            <v>AE073</v>
          </cell>
          <cell r="D188" t="str">
            <v>P4402</v>
          </cell>
          <cell r="E188" t="str">
            <v>Productos no estructurales de cerámica</v>
          </cell>
          <cell r="F188">
            <v>526.92432485883</v>
          </cell>
          <cell r="G188">
            <v>21.93233247941955</v>
          </cell>
        </row>
        <row r="189">
          <cell r="C189" t="str">
            <v>AE074</v>
          </cell>
          <cell r="D189" t="str">
            <v>Fabricación de cemento, cal y yeso</v>
          </cell>
          <cell r="F189">
            <v>8721.4612251677354</v>
          </cell>
          <cell r="G189">
            <v>100</v>
          </cell>
          <cell r="I189">
            <v>4490.8048446499633</v>
          </cell>
        </row>
        <row r="190">
          <cell r="C190" t="str">
            <v>AE074</v>
          </cell>
          <cell r="D190" t="str">
            <v>P4404</v>
          </cell>
          <cell r="E190" t="str">
            <v>Cemento, cal y yeso</v>
          </cell>
          <cell r="F190">
            <v>8508.5892526832195</v>
          </cell>
          <cell r="G190">
            <v>97.559216661191755</v>
          </cell>
        </row>
        <row r="191">
          <cell r="C191" t="str">
            <v>AE075</v>
          </cell>
          <cell r="D191" t="str">
            <v>Fabricación de artículos de hormigón, cemento y yeso</v>
          </cell>
          <cell r="F191">
            <v>3852.4829076107053</v>
          </cell>
          <cell r="G191">
            <v>100</v>
          </cell>
          <cell r="I191">
            <v>954.18889804385481</v>
          </cell>
        </row>
        <row r="192">
          <cell r="C192" t="str">
            <v>AE075</v>
          </cell>
          <cell r="D192" t="str">
            <v>P4405</v>
          </cell>
          <cell r="E192" t="str">
            <v>Artículos de hormigón, cemento y yeso</v>
          </cell>
          <cell r="F192">
            <v>3794.1783592998731</v>
          </cell>
          <cell r="G192">
            <v>98.486572174125683</v>
          </cell>
        </row>
        <row r="193">
          <cell r="C193" t="str">
            <v>AE076</v>
          </cell>
          <cell r="D193" t="str">
            <v>Fabricación de otros productos minerales no metálicos</v>
          </cell>
          <cell r="F193">
            <v>106.96510811492782</v>
          </cell>
          <cell r="G193">
            <v>100</v>
          </cell>
          <cell r="I193">
            <v>42.833634985445812</v>
          </cell>
        </row>
        <row r="194">
          <cell r="C194" t="str">
            <v>AE076</v>
          </cell>
          <cell r="D194" t="str">
            <v>P4406</v>
          </cell>
          <cell r="E194" t="str">
            <v xml:space="preserve">Piedras talladas para construcción </v>
          </cell>
          <cell r="F194">
            <v>84.072049702739776</v>
          </cell>
          <cell r="G194">
            <v>78.597639159499778</v>
          </cell>
        </row>
        <row r="195">
          <cell r="C195" t="str">
            <v>AE077</v>
          </cell>
          <cell r="D195" t="str">
            <v>Fabricación de metales comunes</v>
          </cell>
          <cell r="F195">
            <v>16180.225770206425</v>
          </cell>
          <cell r="G195">
            <v>100</v>
          </cell>
          <cell r="I195">
            <v>5364.9640139019011</v>
          </cell>
        </row>
        <row r="196">
          <cell r="C196" t="str">
            <v>AE077</v>
          </cell>
          <cell r="D196" t="str">
            <v>P4501</v>
          </cell>
          <cell r="E196" t="str">
            <v>Métales básicos de hierro y acero</v>
          </cell>
          <cell r="F196">
            <v>15336.787155729302</v>
          </cell>
          <cell r="G196">
            <v>94.787225923446655</v>
          </cell>
        </row>
        <row r="197">
          <cell r="C197" t="str">
            <v>AE078</v>
          </cell>
          <cell r="D197" t="str">
            <v>Fabricación de productos elaborados de metal, excepto maquinaria y equipo</v>
          </cell>
          <cell r="F197">
            <v>6438.1343358258109</v>
          </cell>
          <cell r="G197">
            <v>100</v>
          </cell>
          <cell r="I197">
            <v>1477.7477806931174</v>
          </cell>
        </row>
        <row r="198">
          <cell r="C198" t="str">
            <v>AE078</v>
          </cell>
          <cell r="D198" t="str">
            <v>P4602</v>
          </cell>
          <cell r="E198" t="str">
            <v>Otros productos elaborados de metal</v>
          </cell>
          <cell r="F198">
            <v>4008.4519942159791</v>
          </cell>
          <cell r="G198">
            <v>62.261080386447397</v>
          </cell>
        </row>
        <row r="199">
          <cell r="C199" t="str">
            <v>AE078</v>
          </cell>
          <cell r="D199" t="str">
            <v>P4601</v>
          </cell>
          <cell r="E199" t="str">
            <v>Productos metálicos estructurales y sus partes de hierro o de acero</v>
          </cell>
          <cell r="F199">
            <v>2162.1095957702273</v>
          </cell>
          <cell r="G199">
            <v>33.582859303492562</v>
          </cell>
        </row>
        <row r="200">
          <cell r="C200" t="str">
            <v>AE079</v>
          </cell>
          <cell r="D200" t="str">
            <v>Fabricación, reparación e instalación de maquinaria y equipo industrial, n.c.p.</v>
          </cell>
          <cell r="F200">
            <v>9182.8126362122694</v>
          </cell>
          <cell r="G200">
            <v>100</v>
          </cell>
          <cell r="I200">
            <v>2897.0784764291157</v>
          </cell>
        </row>
        <row r="201">
          <cell r="C201" t="str">
            <v>AE079</v>
          </cell>
          <cell r="D201" t="str">
            <v>P6207</v>
          </cell>
          <cell r="E201" t="str">
            <v>Servicio de mantenimiento, reparación e instalación de productos metálicos elaborados, maquinaria y equipo</v>
          </cell>
          <cell r="F201">
            <v>5165.8367065969996</v>
          </cell>
          <cell r="G201">
            <v>56.255495034556283</v>
          </cell>
        </row>
        <row r="202">
          <cell r="C202" t="str">
            <v>AE079</v>
          </cell>
          <cell r="D202" t="str">
            <v>P4603</v>
          </cell>
          <cell r="E202" t="str">
            <v>Maquinaria para usos generales, sus partes y piezas</v>
          </cell>
          <cell r="F202">
            <v>1729.0049478832491</v>
          </cell>
          <cell r="G202">
            <v>18.828707677917187</v>
          </cell>
        </row>
        <row r="203">
          <cell r="C203" t="str">
            <v>AE079</v>
          </cell>
          <cell r="D203" t="str">
            <v>P4610</v>
          </cell>
          <cell r="E203" t="str">
            <v>Equipo de transporte</v>
          </cell>
          <cell r="F203">
            <v>1009.6467405574847</v>
          </cell>
          <cell r="G203">
            <v>10.994961789549745</v>
          </cell>
        </row>
        <row r="204">
          <cell r="C204" t="str">
            <v>AE079</v>
          </cell>
          <cell r="D204" t="str">
            <v>P4604</v>
          </cell>
          <cell r="E204" t="str">
            <v>Maquinaria para usos especiales, partes y piezas; excepto electrodomesticos</v>
          </cell>
          <cell r="F204">
            <v>841.89557412000022</v>
          </cell>
          <cell r="G204">
            <v>9.1681667422898183</v>
          </cell>
        </row>
        <row r="205">
          <cell r="C205" t="str">
            <v>AE080</v>
          </cell>
          <cell r="D205" t="str">
            <v>Fabricación de muebles</v>
          </cell>
          <cell r="F205">
            <v>9233.8962785053245</v>
          </cell>
          <cell r="G205">
            <v>100</v>
          </cell>
          <cell r="I205">
            <v>3485.72406075855</v>
          </cell>
        </row>
        <row r="206">
          <cell r="C206" t="str">
            <v>AE080</v>
          </cell>
          <cell r="D206" t="str">
            <v>P4701</v>
          </cell>
          <cell r="E206" t="str">
            <v>Muebles</v>
          </cell>
          <cell r="F206">
            <v>8381.0069490246187</v>
          </cell>
          <cell r="G206">
            <v>90.763494588237222</v>
          </cell>
        </row>
        <row r="207">
          <cell r="C207" t="str">
            <v>AE081</v>
          </cell>
          <cell r="D207" t="str">
            <v>Otras industrias manufactureras</v>
          </cell>
          <cell r="F207">
            <v>2015.2722334135103</v>
          </cell>
          <cell r="G207">
            <v>100</v>
          </cell>
          <cell r="I207">
            <v>824.95014759750165</v>
          </cell>
        </row>
        <row r="208">
          <cell r="C208" t="str">
            <v>AE081</v>
          </cell>
          <cell r="D208" t="str">
            <v>P4804</v>
          </cell>
          <cell r="E208" t="str">
            <v>Otros artículos n.c.p.</v>
          </cell>
          <cell r="F208">
            <v>1407.8449223281104</v>
          </cell>
          <cell r="G208">
            <v>69.858796195662023</v>
          </cell>
        </row>
        <row r="209">
          <cell r="C209" t="str">
            <v>AE081</v>
          </cell>
          <cell r="D209" t="str">
            <v>P4801</v>
          </cell>
          <cell r="E209" t="str">
            <v>Joyas y artículos conexos</v>
          </cell>
          <cell r="F209">
            <v>269.28323503164512</v>
          </cell>
          <cell r="G209">
            <v>13.362126990432827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rnestina Brigida Perez Ardiles" id="{A4963337-EB9F-474B-B61F-1ADC3C9EE7EA}" userId="S::ernestina.perez@un.org::4ee0888e-bef9-487c-81f9-dcc9061b9f0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5" dT="2025-05-22T21:10:17.61" personId="{A4963337-EB9F-474B-B61F-1ADC3C9EE7EA}" id="{61BAB182-D5EA-4E8B-9932-342879BF5B93}">
    <text>Incluye Chocolate para cobertura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E95" dT="2025-05-22T21:10:17.61" personId="{A4963337-EB9F-474B-B61F-1ADC3C9EE7EA}" id="{F0D47A98-3F4D-4355-AB09-0A77DB472A9F}">
    <text>Incluye Chocolate para cobertura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858F-0361-4E15-898D-0B9B9434FAA1}">
  <dimension ref="A1:C306"/>
  <sheetViews>
    <sheetView topLeftCell="A172" workbookViewId="0">
      <selection activeCell="B187" sqref="B187"/>
    </sheetView>
  </sheetViews>
  <sheetFormatPr defaultRowHeight="14.5"/>
  <cols>
    <col min="1" max="1" width="10.6328125" customWidth="1"/>
    <col min="2" max="2" width="110.26953125" customWidth="1"/>
    <col min="3" max="3" width="14.36328125" customWidth="1"/>
  </cols>
  <sheetData>
    <row r="1" spans="1:3">
      <c r="A1" s="83" t="s">
        <v>661</v>
      </c>
      <c r="B1" s="8" t="s">
        <v>662</v>
      </c>
      <c r="C1" s="8" t="s">
        <v>5</v>
      </c>
    </row>
    <row r="2" spans="1:3">
      <c r="A2" s="84" t="s">
        <v>19</v>
      </c>
      <c r="B2" s="92" t="s">
        <v>22</v>
      </c>
      <c r="C2" s="93">
        <v>1</v>
      </c>
    </row>
    <row r="3" spans="1:3">
      <c r="A3" s="90" t="s">
        <v>649</v>
      </c>
      <c r="B3" s="72" t="s">
        <v>21</v>
      </c>
      <c r="C3" s="72">
        <v>2.1978961849027024E-2</v>
      </c>
    </row>
    <row r="4" spans="1:3">
      <c r="A4" s="85"/>
      <c r="B4" s="70" t="s">
        <v>24</v>
      </c>
      <c r="C4" s="94">
        <v>2.104724056708656E-2</v>
      </c>
    </row>
    <row r="5" spans="1:3">
      <c r="A5" s="86" t="s">
        <v>30</v>
      </c>
      <c r="B5" t="s">
        <v>656</v>
      </c>
      <c r="C5" s="94"/>
    </row>
    <row r="6" spans="1:3">
      <c r="A6" s="90" t="s">
        <v>649</v>
      </c>
      <c r="B6" s="72" t="s">
        <v>26</v>
      </c>
      <c r="C6" s="72">
        <v>6.3594218047386452E-3</v>
      </c>
    </row>
    <row r="7" spans="1:3">
      <c r="A7" s="85"/>
      <c r="B7" s="70" t="s">
        <v>41</v>
      </c>
      <c r="C7" s="94">
        <v>4.8080621740741623E-3</v>
      </c>
    </row>
    <row r="8" spans="1:3">
      <c r="A8" s="86" t="s">
        <v>40</v>
      </c>
      <c r="B8" t="s">
        <v>41</v>
      </c>
      <c r="C8" s="94"/>
    </row>
    <row r="9" spans="1:3">
      <c r="A9" s="85"/>
      <c r="B9" s="70" t="s">
        <v>37</v>
      </c>
      <c r="C9" s="94">
        <v>6.485099225305523E-4</v>
      </c>
    </row>
    <row r="10" spans="1:3">
      <c r="A10" s="86" t="s">
        <v>658</v>
      </c>
      <c r="B10" t="s">
        <v>657</v>
      </c>
      <c r="C10" s="94"/>
    </row>
    <row r="11" spans="1:3">
      <c r="A11" s="90" t="s">
        <v>649</v>
      </c>
      <c r="B11" s="72" t="s">
        <v>29</v>
      </c>
      <c r="C11" s="72">
        <v>3.4992012439462823E-2</v>
      </c>
    </row>
    <row r="12" spans="1:3">
      <c r="A12" s="85"/>
      <c r="B12" s="70" t="s">
        <v>53</v>
      </c>
      <c r="C12" s="94">
        <v>3.339583761959046E-2</v>
      </c>
    </row>
    <row r="13" spans="1:3">
      <c r="A13" s="86" t="s">
        <v>52</v>
      </c>
      <c r="B13" t="s">
        <v>53</v>
      </c>
      <c r="C13" s="94"/>
    </row>
    <row r="14" spans="1:3">
      <c r="A14" s="90" t="s">
        <v>649</v>
      </c>
      <c r="B14" s="72" t="s">
        <v>34</v>
      </c>
      <c r="C14" s="72">
        <v>1.1484767648869909E-2</v>
      </c>
    </row>
    <row r="15" spans="1:3">
      <c r="A15" s="85"/>
      <c r="B15" s="70" t="s">
        <v>37</v>
      </c>
      <c r="C15" s="94">
        <v>1.0878805004206384E-2</v>
      </c>
    </row>
    <row r="16" spans="1:3">
      <c r="A16" s="86" t="s">
        <v>59</v>
      </c>
      <c r="B16" t="s">
        <v>60</v>
      </c>
      <c r="C16" s="94"/>
    </row>
    <row r="17" spans="1:3">
      <c r="A17" s="90" t="s">
        <v>65</v>
      </c>
      <c r="B17" s="72" t="s">
        <v>39</v>
      </c>
      <c r="C17" s="72">
        <v>3.3842640105086878E-3</v>
      </c>
    </row>
    <row r="18" spans="1:3">
      <c r="A18" s="85"/>
      <c r="B18" s="70" t="s">
        <v>71</v>
      </c>
      <c r="C18" s="94">
        <v>1.6903981802283907E-3</v>
      </c>
    </row>
    <row r="19" spans="1:3">
      <c r="A19" s="86" t="s">
        <v>70</v>
      </c>
      <c r="B19" t="s">
        <v>71</v>
      </c>
      <c r="C19" s="94"/>
    </row>
    <row r="20" spans="1:3">
      <c r="A20" s="85"/>
      <c r="B20" s="70" t="s">
        <v>74</v>
      </c>
      <c r="C20" s="94">
        <v>1.6861471553666848E-3</v>
      </c>
    </row>
    <row r="21" spans="1:3">
      <c r="A21" s="86" t="s">
        <v>659</v>
      </c>
      <c r="B21" t="s">
        <v>660</v>
      </c>
      <c r="C21" s="94"/>
    </row>
    <row r="22" spans="1:3">
      <c r="A22" s="90" t="s">
        <v>79</v>
      </c>
      <c r="B22" s="72" t="s">
        <v>43</v>
      </c>
      <c r="C22" s="72">
        <v>1.6134764654450309E-2</v>
      </c>
    </row>
    <row r="23" spans="1:3">
      <c r="A23" s="91"/>
      <c r="B23" s="95" t="s">
        <v>76</v>
      </c>
      <c r="C23" s="94">
        <v>5.3047974225540195E-3</v>
      </c>
    </row>
    <row r="24" spans="1:3">
      <c r="A24" s="86" t="s">
        <v>346</v>
      </c>
      <c r="B24" t="s">
        <v>349</v>
      </c>
      <c r="C24" s="94"/>
    </row>
    <row r="25" spans="1:3">
      <c r="A25" s="86" t="s">
        <v>347</v>
      </c>
      <c r="B25" t="s">
        <v>350</v>
      </c>
      <c r="C25" s="94"/>
    </row>
    <row r="26" spans="1:3">
      <c r="A26" s="86" t="s">
        <v>348</v>
      </c>
      <c r="B26" t="s">
        <v>351</v>
      </c>
      <c r="C26" s="94"/>
    </row>
    <row r="27" spans="1:3">
      <c r="A27" s="85"/>
      <c r="B27" s="70" t="s">
        <v>81</v>
      </c>
      <c r="C27" s="94">
        <v>3.8072430531380041E-3</v>
      </c>
    </row>
    <row r="28" spans="1:3">
      <c r="A28" s="97">
        <v>21311</v>
      </c>
      <c r="B28" t="s">
        <v>88</v>
      </c>
      <c r="C28" s="94"/>
    </row>
    <row r="29" spans="1:3">
      <c r="A29" s="97">
        <v>21395</v>
      </c>
      <c r="B29" t="s">
        <v>89</v>
      </c>
      <c r="C29" s="94"/>
    </row>
    <row r="30" spans="1:3">
      <c r="A30" s="97">
        <v>21399</v>
      </c>
      <c r="B30" t="s">
        <v>90</v>
      </c>
      <c r="C30" s="94"/>
    </row>
    <row r="31" spans="1:3">
      <c r="A31" s="85"/>
      <c r="B31" s="70" t="s">
        <v>85</v>
      </c>
      <c r="C31" s="94">
        <v>2.9615018700315048E-3</v>
      </c>
    </row>
    <row r="32" spans="1:3">
      <c r="A32" s="86" t="s">
        <v>334</v>
      </c>
      <c r="B32" t="s">
        <v>335</v>
      </c>
      <c r="C32" s="94"/>
    </row>
    <row r="33" spans="1:3">
      <c r="A33" s="86" t="s">
        <v>338</v>
      </c>
      <c r="B33" t="s">
        <v>339</v>
      </c>
      <c r="C33" s="94"/>
    </row>
    <row r="34" spans="1:3">
      <c r="A34" s="86" t="s">
        <v>336</v>
      </c>
      <c r="B34" t="s">
        <v>337</v>
      </c>
      <c r="C34" s="94"/>
    </row>
    <row r="35" spans="1:3">
      <c r="A35" s="86" t="s">
        <v>340</v>
      </c>
      <c r="B35" t="s">
        <v>341</v>
      </c>
      <c r="C35" s="94"/>
    </row>
    <row r="36" spans="1:3">
      <c r="A36" s="86" t="s">
        <v>342</v>
      </c>
      <c r="B36" t="s">
        <v>343</v>
      </c>
      <c r="C36" s="94"/>
    </row>
    <row r="37" spans="1:3">
      <c r="A37" s="86" t="s">
        <v>344</v>
      </c>
      <c r="B37" t="s">
        <v>345</v>
      </c>
      <c r="C37" s="94"/>
    </row>
    <row r="38" spans="1:3">
      <c r="A38" s="85"/>
      <c r="B38" s="70" t="s">
        <v>92</v>
      </c>
      <c r="C38" s="94">
        <v>1.833467319228265E-3</v>
      </c>
    </row>
    <row r="39" spans="1:3">
      <c r="A39" s="86" t="s">
        <v>352</v>
      </c>
      <c r="B39" t="s">
        <v>353</v>
      </c>
      <c r="C39" s="94"/>
    </row>
    <row r="40" spans="1:3">
      <c r="A40" s="86" t="s">
        <v>354</v>
      </c>
      <c r="B40" t="s">
        <v>355</v>
      </c>
      <c r="C40" s="94"/>
    </row>
    <row r="41" spans="1:3">
      <c r="A41" s="90" t="s">
        <v>101</v>
      </c>
      <c r="B41" s="72" t="s">
        <v>48</v>
      </c>
      <c r="C41" s="72">
        <v>5.6363419045910315E-2</v>
      </c>
    </row>
    <row r="42" spans="1:3">
      <c r="A42" s="85"/>
      <c r="B42" s="70" t="s">
        <v>98</v>
      </c>
      <c r="C42" s="94">
        <v>4.6125851215613058E-2</v>
      </c>
    </row>
    <row r="43" spans="1:3">
      <c r="A43" s="86" t="s">
        <v>356</v>
      </c>
      <c r="B43" t="s">
        <v>360</v>
      </c>
      <c r="C43" s="94"/>
    </row>
    <row r="44" spans="1:3">
      <c r="A44" s="86" t="s">
        <v>357</v>
      </c>
      <c r="B44" t="s">
        <v>361</v>
      </c>
      <c r="C44" s="94"/>
    </row>
    <row r="45" spans="1:3">
      <c r="A45" s="86" t="s">
        <v>358</v>
      </c>
      <c r="B45" t="s">
        <v>362</v>
      </c>
      <c r="C45" s="94"/>
    </row>
    <row r="46" spans="1:3">
      <c r="A46" s="86" t="s">
        <v>359</v>
      </c>
      <c r="B46" t="s">
        <v>363</v>
      </c>
      <c r="C46" s="94"/>
    </row>
    <row r="47" spans="1:3">
      <c r="A47" s="90" t="s">
        <v>108</v>
      </c>
      <c r="B47" s="72" t="s">
        <v>51</v>
      </c>
      <c r="C47" s="72">
        <v>1.9213029678317586E-2</v>
      </c>
    </row>
    <row r="48" spans="1:3">
      <c r="A48" s="85"/>
      <c r="B48" s="70" t="s">
        <v>105</v>
      </c>
      <c r="C48" s="94">
        <v>1.2964171131985678E-2</v>
      </c>
    </row>
    <row r="49" spans="1:3">
      <c r="A49" s="86" t="s">
        <v>368</v>
      </c>
      <c r="B49" t="s">
        <v>372</v>
      </c>
      <c r="C49" s="94"/>
    </row>
    <row r="50" spans="1:3">
      <c r="A50" s="86" t="s">
        <v>369</v>
      </c>
      <c r="B50" t="s">
        <v>373</v>
      </c>
      <c r="C50" s="94"/>
    </row>
    <row r="51" spans="1:3">
      <c r="A51" s="86" t="s">
        <v>385</v>
      </c>
      <c r="B51" t="s">
        <v>386</v>
      </c>
      <c r="C51" s="94"/>
    </row>
    <row r="52" spans="1:3">
      <c r="A52" s="86" t="s">
        <v>370</v>
      </c>
      <c r="B52" t="s">
        <v>374</v>
      </c>
      <c r="C52" s="94"/>
    </row>
    <row r="53" spans="1:3">
      <c r="A53" s="86" t="s">
        <v>371</v>
      </c>
      <c r="B53" t="s">
        <v>375</v>
      </c>
      <c r="C53" s="94"/>
    </row>
    <row r="54" spans="1:3">
      <c r="A54" s="85"/>
      <c r="B54" s="70" t="s">
        <v>110</v>
      </c>
      <c r="C54" s="94">
        <v>6.0571515147870326E-3</v>
      </c>
    </row>
    <row r="55" spans="1:3">
      <c r="A55" s="86" t="s">
        <v>364</v>
      </c>
      <c r="B55" t="s">
        <v>366</v>
      </c>
      <c r="C55" s="94"/>
    </row>
    <row r="56" spans="1:3">
      <c r="A56" s="86" t="s">
        <v>365</v>
      </c>
      <c r="B56" t="s">
        <v>367</v>
      </c>
      <c r="C56" s="94"/>
    </row>
    <row r="57" spans="1:3">
      <c r="A57" s="90" t="s">
        <v>650</v>
      </c>
      <c r="B57" s="72" t="s">
        <v>55</v>
      </c>
      <c r="C57" s="72">
        <v>9.336197378207893E-3</v>
      </c>
    </row>
    <row r="58" spans="1:3">
      <c r="A58" s="85"/>
      <c r="B58" s="70" t="s">
        <v>116</v>
      </c>
      <c r="C58" s="94">
        <v>8.1642379403882668E-3</v>
      </c>
    </row>
    <row r="59" spans="1:3">
      <c r="A59" s="86" t="s">
        <v>376</v>
      </c>
      <c r="B59" t="s">
        <v>379</v>
      </c>
      <c r="C59" s="94"/>
    </row>
    <row r="60" spans="1:3">
      <c r="A60" s="90" t="s">
        <v>650</v>
      </c>
      <c r="B60" s="72" t="s">
        <v>58</v>
      </c>
      <c r="C60" s="72">
        <v>7.3397561015269425E-3</v>
      </c>
    </row>
    <row r="61" spans="1:3">
      <c r="A61" s="85"/>
      <c r="B61" s="70" t="s">
        <v>123</v>
      </c>
      <c r="C61" s="94">
        <v>4.6722898847790838E-3</v>
      </c>
    </row>
    <row r="62" spans="1:3">
      <c r="A62" s="86" t="s">
        <v>383</v>
      </c>
      <c r="B62" t="s">
        <v>384</v>
      </c>
      <c r="C62" s="94"/>
    </row>
    <row r="63" spans="1:3">
      <c r="A63" s="85"/>
      <c r="B63" s="70" t="s">
        <v>128</v>
      </c>
      <c r="C63" s="94">
        <v>1.8649646256206013E-3</v>
      </c>
    </row>
    <row r="64" spans="1:3">
      <c r="A64" s="86" t="s">
        <v>378</v>
      </c>
      <c r="B64" t="s">
        <v>382</v>
      </c>
      <c r="C64" s="94"/>
    </row>
    <row r="65" spans="1:3">
      <c r="A65" s="90" t="s">
        <v>650</v>
      </c>
      <c r="B65" s="72" t="s">
        <v>64</v>
      </c>
      <c r="C65" s="72">
        <v>8.6210163864627477E-3</v>
      </c>
    </row>
    <row r="66" spans="1:3">
      <c r="A66" s="85"/>
      <c r="B66" s="70" t="s">
        <v>128</v>
      </c>
      <c r="C66" s="94">
        <v>6.658775677364618E-3</v>
      </c>
    </row>
    <row r="67" spans="1:3">
      <c r="A67" s="86" t="s">
        <v>377</v>
      </c>
      <c r="B67" t="s">
        <v>380</v>
      </c>
      <c r="C67" s="94"/>
    </row>
    <row r="68" spans="1:3">
      <c r="A68" s="86" t="s">
        <v>378</v>
      </c>
      <c r="B68" t="s">
        <v>381</v>
      </c>
      <c r="C68" s="94"/>
    </row>
    <row r="69" spans="1:3">
      <c r="A69" s="85"/>
      <c r="B69" s="70" t="s">
        <v>137</v>
      </c>
      <c r="C69" s="94">
        <v>1.1650510372103544E-3</v>
      </c>
    </row>
    <row r="70" spans="1:3">
      <c r="A70" s="86" t="s">
        <v>387</v>
      </c>
      <c r="B70" t="s">
        <v>394</v>
      </c>
      <c r="C70" s="94"/>
    </row>
    <row r="71" spans="1:3">
      <c r="A71" s="86" t="s">
        <v>388</v>
      </c>
      <c r="B71" t="s">
        <v>395</v>
      </c>
      <c r="C71" s="94"/>
    </row>
    <row r="72" spans="1:3">
      <c r="A72" s="86" t="s">
        <v>389</v>
      </c>
      <c r="B72" t="s">
        <v>396</v>
      </c>
      <c r="C72" s="94"/>
    </row>
    <row r="73" spans="1:3">
      <c r="A73" s="86" t="s">
        <v>390</v>
      </c>
      <c r="B73" t="s">
        <v>397</v>
      </c>
      <c r="C73" s="94"/>
    </row>
    <row r="74" spans="1:3">
      <c r="A74" s="86" t="s">
        <v>391</v>
      </c>
      <c r="B74" t="s">
        <v>398</v>
      </c>
      <c r="C74" s="94"/>
    </row>
    <row r="75" spans="1:3">
      <c r="A75" s="86" t="s">
        <v>392</v>
      </c>
      <c r="B75" t="s">
        <v>399</v>
      </c>
      <c r="C75" s="94"/>
    </row>
    <row r="76" spans="1:3">
      <c r="A76" s="86" t="s">
        <v>393</v>
      </c>
      <c r="B76" t="s">
        <v>400</v>
      </c>
      <c r="C76" s="94"/>
    </row>
    <row r="77" spans="1:3">
      <c r="A77" s="90" t="s">
        <v>146</v>
      </c>
      <c r="B77" s="72" t="s">
        <v>69</v>
      </c>
      <c r="C77" s="72">
        <v>1.1321521879620008E-2</v>
      </c>
    </row>
    <row r="78" spans="1:3">
      <c r="A78" s="85"/>
      <c r="B78" s="70" t="s">
        <v>143</v>
      </c>
      <c r="C78" s="94">
        <v>1.0944508758742033E-2</v>
      </c>
    </row>
    <row r="79" spans="1:3">
      <c r="A79" s="86" t="s">
        <v>402</v>
      </c>
      <c r="B79" t="s">
        <v>401</v>
      </c>
      <c r="C79" s="94"/>
    </row>
    <row r="80" spans="1:3">
      <c r="A80" s="90" t="s">
        <v>651</v>
      </c>
      <c r="B80" s="72" t="s">
        <v>73</v>
      </c>
      <c r="C80" s="72">
        <v>5.7361448504306072E-2</v>
      </c>
    </row>
    <row r="81" spans="1:3">
      <c r="A81" s="85"/>
      <c r="B81" s="70" t="s">
        <v>150</v>
      </c>
      <c r="C81" s="94">
        <v>4.5431621442600593E-2</v>
      </c>
    </row>
    <row r="82" spans="1:3">
      <c r="A82" s="86" t="s">
        <v>403</v>
      </c>
      <c r="B82" t="s">
        <v>404</v>
      </c>
      <c r="C82" s="94"/>
    </row>
    <row r="83" spans="1:3">
      <c r="A83" s="85"/>
      <c r="B83" s="70" t="s">
        <v>155</v>
      </c>
      <c r="C83" s="94">
        <v>1.1199084865380135E-2</v>
      </c>
    </row>
    <row r="84" spans="1:3">
      <c r="A84" s="86" t="s">
        <v>405</v>
      </c>
      <c r="B84" t="s">
        <v>407</v>
      </c>
      <c r="C84" s="94"/>
    </row>
    <row r="85" spans="1:3">
      <c r="A85" s="86" t="s">
        <v>406</v>
      </c>
      <c r="B85" t="s">
        <v>408</v>
      </c>
      <c r="C85" s="94"/>
    </row>
    <row r="86" spans="1:3">
      <c r="A86" s="90" t="s">
        <v>651</v>
      </c>
      <c r="B86" s="72" t="s">
        <v>78</v>
      </c>
      <c r="C86" s="72">
        <v>5.3944311725030378E-2</v>
      </c>
    </row>
    <row r="87" spans="1:3">
      <c r="A87" s="85"/>
      <c r="B87" s="70" t="s">
        <v>161</v>
      </c>
      <c r="C87" s="94">
        <v>5.368394600601125E-2</v>
      </c>
    </row>
    <row r="88" spans="1:3">
      <c r="A88" s="86" t="s">
        <v>403</v>
      </c>
      <c r="B88" t="s">
        <v>404</v>
      </c>
      <c r="C88" s="94"/>
    </row>
    <row r="89" spans="1:3">
      <c r="A89" s="90" t="s">
        <v>171</v>
      </c>
      <c r="B89" s="72" t="s">
        <v>83</v>
      </c>
      <c r="C89" s="72">
        <v>3.8608300798912414E-2</v>
      </c>
    </row>
    <row r="90" spans="1:3">
      <c r="A90" s="85"/>
      <c r="B90" s="70" t="s">
        <v>168</v>
      </c>
      <c r="C90" s="94">
        <v>3.3874358613629946E-2</v>
      </c>
    </row>
    <row r="91" spans="1:3">
      <c r="A91" s="86" t="s">
        <v>421</v>
      </c>
      <c r="B91" t="s">
        <v>423</v>
      </c>
      <c r="C91" s="94"/>
    </row>
    <row r="92" spans="1:3">
      <c r="A92" s="86" t="s">
        <v>422</v>
      </c>
      <c r="B92" t="s">
        <v>424</v>
      </c>
      <c r="C92" s="94"/>
    </row>
    <row r="93" spans="1:3">
      <c r="A93" s="90" t="s">
        <v>178</v>
      </c>
      <c r="B93" s="72" t="s">
        <v>87</v>
      </c>
      <c r="C93" s="72">
        <v>6.3729533532317431E-3</v>
      </c>
    </row>
    <row r="94" spans="1:3">
      <c r="A94" s="85"/>
      <c r="B94" s="70" t="s">
        <v>175</v>
      </c>
      <c r="C94" s="94">
        <v>5.8057076231775228E-3</v>
      </c>
    </row>
    <row r="95" spans="1:3">
      <c r="A95" s="86" t="s">
        <v>425</v>
      </c>
      <c r="B95" t="s">
        <v>428</v>
      </c>
      <c r="C95" s="94"/>
    </row>
    <row r="96" spans="1:3">
      <c r="A96" s="86" t="s">
        <v>426</v>
      </c>
      <c r="B96" t="s">
        <v>429</v>
      </c>
      <c r="C96" s="94"/>
    </row>
    <row r="97" spans="1:3">
      <c r="A97" s="86" t="s">
        <v>427</v>
      </c>
      <c r="B97" t="s">
        <v>430</v>
      </c>
      <c r="C97" s="94"/>
    </row>
    <row r="98" spans="1:3">
      <c r="A98" s="90" t="s">
        <v>185</v>
      </c>
      <c r="B98" s="72" t="s">
        <v>94</v>
      </c>
      <c r="C98" s="72">
        <v>4.5227786439998403E-3</v>
      </c>
    </row>
    <row r="99" spans="1:3">
      <c r="A99" s="85"/>
      <c r="B99" s="70" t="s">
        <v>182</v>
      </c>
      <c r="C99" s="94">
        <v>4.3128589739380033E-3</v>
      </c>
    </row>
    <row r="100" spans="1:3">
      <c r="A100" s="86" t="s">
        <v>431</v>
      </c>
      <c r="B100" t="s">
        <v>432</v>
      </c>
      <c r="C100" s="94"/>
    </row>
    <row r="101" spans="1:3">
      <c r="A101" s="90" t="s">
        <v>663</v>
      </c>
      <c r="B101" s="72" t="s">
        <v>96</v>
      </c>
      <c r="C101" s="72">
        <v>2.8971158638819442E-2</v>
      </c>
    </row>
    <row r="102" spans="1:3">
      <c r="A102" s="85"/>
      <c r="B102" s="70" t="s">
        <v>137</v>
      </c>
      <c r="C102" s="94">
        <v>2.7685045844274433E-2</v>
      </c>
    </row>
    <row r="103" spans="1:3">
      <c r="A103" s="86" t="s">
        <v>387</v>
      </c>
      <c r="B103" t="s">
        <v>394</v>
      </c>
      <c r="C103" s="94"/>
    </row>
    <row r="104" spans="1:3">
      <c r="A104" s="86" t="s">
        <v>388</v>
      </c>
      <c r="B104" t="s">
        <v>395</v>
      </c>
      <c r="C104" s="94"/>
    </row>
    <row r="105" spans="1:3">
      <c r="A105" s="86" t="s">
        <v>389</v>
      </c>
      <c r="B105" t="s">
        <v>396</v>
      </c>
      <c r="C105" s="94"/>
    </row>
    <row r="106" spans="1:3">
      <c r="A106" s="86" t="s">
        <v>390</v>
      </c>
      <c r="B106" t="s">
        <v>397</v>
      </c>
      <c r="C106" s="94"/>
    </row>
    <row r="107" spans="1:3">
      <c r="A107" s="86" t="s">
        <v>391</v>
      </c>
      <c r="B107" t="s">
        <v>398</v>
      </c>
      <c r="C107" s="94"/>
    </row>
    <row r="108" spans="1:3">
      <c r="A108" s="86" t="s">
        <v>392</v>
      </c>
      <c r="B108" t="s">
        <v>399</v>
      </c>
      <c r="C108" s="94"/>
    </row>
    <row r="109" spans="1:3">
      <c r="A109" s="86" t="s">
        <v>393</v>
      </c>
      <c r="B109" t="s">
        <v>400</v>
      </c>
      <c r="C109" s="94"/>
    </row>
    <row r="110" spans="1:3">
      <c r="A110" s="86" t="s">
        <v>433</v>
      </c>
      <c r="B110" t="s">
        <v>434</v>
      </c>
      <c r="C110" s="94"/>
    </row>
    <row r="111" spans="1:3">
      <c r="A111" s="90" t="s">
        <v>197</v>
      </c>
      <c r="B111" s="72" t="s">
        <v>100</v>
      </c>
      <c r="C111" s="72">
        <v>2.6112976501768515E-2</v>
      </c>
    </row>
    <row r="112" spans="1:3">
      <c r="A112" s="85"/>
      <c r="B112" s="70" t="s">
        <v>194</v>
      </c>
      <c r="C112" s="94">
        <v>2.573627535812956E-2</v>
      </c>
    </row>
    <row r="113" spans="1:3">
      <c r="A113" s="86" t="s">
        <v>435</v>
      </c>
      <c r="B113" t="s">
        <v>437</v>
      </c>
      <c r="C113" s="94"/>
    </row>
    <row r="114" spans="1:3">
      <c r="A114" s="86" t="s">
        <v>436</v>
      </c>
      <c r="B114" t="s">
        <v>438</v>
      </c>
      <c r="C114" s="94"/>
    </row>
    <row r="115" spans="1:3">
      <c r="A115" s="90" t="s">
        <v>204</v>
      </c>
      <c r="B115" s="72" t="s">
        <v>103</v>
      </c>
      <c r="C115" s="72">
        <v>2.3082270904677821E-3</v>
      </c>
    </row>
    <row r="116" spans="1:3">
      <c r="A116" s="85"/>
      <c r="B116" s="70" t="s">
        <v>201</v>
      </c>
      <c r="C116" s="94">
        <v>2.1026341916036556E-3</v>
      </c>
    </row>
    <row r="117" spans="1:3">
      <c r="A117" s="86" t="s">
        <v>439</v>
      </c>
      <c r="B117" t="s">
        <v>440</v>
      </c>
      <c r="C117" s="94"/>
    </row>
    <row r="118" spans="1:3">
      <c r="A118" s="90" t="s">
        <v>211</v>
      </c>
      <c r="B118" s="72" t="s">
        <v>107</v>
      </c>
      <c r="C118" s="72">
        <v>1.2792912905843138E-4</v>
      </c>
    </row>
    <row r="119" spans="1:3">
      <c r="A119" s="85"/>
      <c r="B119" s="70" t="s">
        <v>208</v>
      </c>
      <c r="C119" s="94">
        <v>1.1821476265097025E-4</v>
      </c>
    </row>
    <row r="120" spans="1:3">
      <c r="A120" s="86" t="s">
        <v>441</v>
      </c>
      <c r="B120" t="s">
        <v>442</v>
      </c>
      <c r="C120" s="94"/>
    </row>
    <row r="121" spans="1:3">
      <c r="A121" s="90" t="s">
        <v>218</v>
      </c>
      <c r="B121" s="72" t="s">
        <v>112</v>
      </c>
      <c r="C121" s="72">
        <v>6.3118962279448488E-3</v>
      </c>
    </row>
    <row r="122" spans="1:3">
      <c r="A122" s="85"/>
      <c r="B122" s="70" t="s">
        <v>215</v>
      </c>
      <c r="C122" s="94">
        <v>5.3618718098631347E-3</v>
      </c>
    </row>
    <row r="123" spans="1:3">
      <c r="A123" s="86" t="s">
        <v>443</v>
      </c>
      <c r="B123" t="s">
        <v>444</v>
      </c>
      <c r="C123" s="94"/>
    </row>
    <row r="124" spans="1:3">
      <c r="A124" s="85"/>
      <c r="B124" s="70" t="s">
        <v>220</v>
      </c>
      <c r="C124" s="94">
        <v>7.672136274607087E-4</v>
      </c>
    </row>
    <row r="125" spans="1:3">
      <c r="A125" s="90" t="s">
        <v>221</v>
      </c>
      <c r="B125" s="72" t="s">
        <v>114</v>
      </c>
      <c r="C125" s="72">
        <v>3.5780195371867912E-2</v>
      </c>
    </row>
    <row r="126" spans="1:3">
      <c r="A126" s="85"/>
      <c r="B126" s="70" t="s">
        <v>92</v>
      </c>
      <c r="C126" s="94">
        <v>2.8997867092873986E-2</v>
      </c>
    </row>
    <row r="127" spans="1:3">
      <c r="A127" s="86" t="s">
        <v>352</v>
      </c>
      <c r="B127" t="s">
        <v>353</v>
      </c>
      <c r="C127" s="94"/>
    </row>
    <row r="128" spans="1:3">
      <c r="A128" s="90" t="s">
        <v>224</v>
      </c>
      <c r="B128" s="72" t="s">
        <v>118</v>
      </c>
      <c r="C128" s="72">
        <v>1.3075191334215816E-3</v>
      </c>
    </row>
    <row r="129" spans="1:3">
      <c r="A129" s="85"/>
      <c r="B129" s="70" t="s">
        <v>223</v>
      </c>
      <c r="C129" s="94">
        <v>1.2030903599964591E-3</v>
      </c>
    </row>
    <row r="130" spans="1:3">
      <c r="A130" s="90" t="s">
        <v>654</v>
      </c>
      <c r="B130" s="72" t="s">
        <v>121</v>
      </c>
      <c r="C130" s="72">
        <v>9.6788994166454746E-3</v>
      </c>
    </row>
    <row r="131" spans="1:3">
      <c r="A131" s="85"/>
      <c r="B131" s="70" t="s">
        <v>226</v>
      </c>
      <c r="C131" s="94">
        <v>7.3042872186560338E-3</v>
      </c>
    </row>
    <row r="132" spans="1:3">
      <c r="A132" s="86" t="s">
        <v>445</v>
      </c>
      <c r="B132" t="s">
        <v>448</v>
      </c>
      <c r="C132" s="94"/>
    </row>
    <row r="133" spans="1:3">
      <c r="A133" s="86" t="s">
        <v>447</v>
      </c>
      <c r="B133" t="s">
        <v>446</v>
      </c>
      <c r="C133" s="94"/>
    </row>
    <row r="134" spans="1:3">
      <c r="A134" s="86" t="s">
        <v>449</v>
      </c>
      <c r="B134" t="s">
        <v>453</v>
      </c>
      <c r="C134" s="94"/>
    </row>
    <row r="135" spans="1:3">
      <c r="A135" s="86" t="s">
        <v>450</v>
      </c>
      <c r="B135" t="s">
        <v>454</v>
      </c>
      <c r="C135" s="94"/>
    </row>
    <row r="136" spans="1:3">
      <c r="A136" s="86" t="s">
        <v>451</v>
      </c>
      <c r="B136" t="s">
        <v>455</v>
      </c>
      <c r="C136" s="94"/>
    </row>
    <row r="137" spans="1:3">
      <c r="A137" s="86" t="s">
        <v>452</v>
      </c>
      <c r="B137" t="s">
        <v>456</v>
      </c>
      <c r="C137" s="94"/>
    </row>
    <row r="138" spans="1:3">
      <c r="A138" s="85"/>
      <c r="B138" s="70" t="s">
        <v>143</v>
      </c>
      <c r="C138" s="94">
        <v>2.1724713217702838E-4</v>
      </c>
    </row>
    <row r="139" spans="1:3">
      <c r="A139" s="90" t="s">
        <v>653</v>
      </c>
      <c r="B139" s="72" t="s">
        <v>125</v>
      </c>
      <c r="C139" s="72">
        <v>1.7473035570112341E-2</v>
      </c>
    </row>
    <row r="140" spans="1:3">
      <c r="A140" s="85"/>
      <c r="B140" s="70" t="s">
        <v>229</v>
      </c>
      <c r="C140" s="96">
        <v>1.5251231327411392E-2</v>
      </c>
    </row>
    <row r="141" spans="1:3">
      <c r="A141" s="86">
        <v>27120</v>
      </c>
      <c r="B141" t="s">
        <v>457</v>
      </c>
    </row>
    <row r="142" spans="1:3">
      <c r="A142" s="86">
        <v>27130</v>
      </c>
      <c r="B142" t="s">
        <v>458</v>
      </c>
    </row>
    <row r="143" spans="1:3">
      <c r="A143" s="86">
        <v>27180</v>
      </c>
      <c r="B143" t="s">
        <v>459</v>
      </c>
    </row>
    <row r="144" spans="1:3">
      <c r="A144" s="86">
        <v>27190</v>
      </c>
      <c r="B144" t="s">
        <v>460</v>
      </c>
    </row>
    <row r="145" spans="1:3">
      <c r="A145" s="86">
        <v>27911</v>
      </c>
      <c r="B145" t="s">
        <v>461</v>
      </c>
    </row>
    <row r="146" spans="1:3">
      <c r="A146" s="90" t="s">
        <v>652</v>
      </c>
      <c r="B146" s="72" t="s">
        <v>130</v>
      </c>
      <c r="C146" s="72">
        <v>7.3919235987623358E-2</v>
      </c>
    </row>
    <row r="147" spans="1:3">
      <c r="A147" s="85"/>
      <c r="B147" s="70" t="s">
        <v>232</v>
      </c>
      <c r="C147" s="96">
        <v>4.7773219783318562E-2</v>
      </c>
    </row>
    <row r="148" spans="1:3">
      <c r="A148" s="86" t="s">
        <v>462</v>
      </c>
      <c r="B148" t="s">
        <v>470</v>
      </c>
    </row>
    <row r="149" spans="1:3">
      <c r="A149" s="86" t="s">
        <v>463</v>
      </c>
      <c r="B149" t="s">
        <v>471</v>
      </c>
    </row>
    <row r="150" spans="1:3">
      <c r="A150" s="86" t="s">
        <v>464</v>
      </c>
      <c r="B150" t="s">
        <v>472</v>
      </c>
    </row>
    <row r="151" spans="1:3">
      <c r="A151" s="86" t="s">
        <v>465</v>
      </c>
      <c r="B151" t="s">
        <v>473</v>
      </c>
    </row>
    <row r="152" spans="1:3">
      <c r="A152" s="86" t="s">
        <v>466</v>
      </c>
      <c r="B152" t="s">
        <v>474</v>
      </c>
    </row>
    <row r="153" spans="1:3">
      <c r="A153" s="86" t="s">
        <v>467</v>
      </c>
      <c r="B153" t="s">
        <v>475</v>
      </c>
    </row>
    <row r="154" spans="1:3">
      <c r="A154" s="86" t="s">
        <v>468</v>
      </c>
      <c r="B154" t="s">
        <v>476</v>
      </c>
    </row>
    <row r="155" spans="1:3">
      <c r="A155" s="86" t="s">
        <v>469</v>
      </c>
      <c r="B155" t="s">
        <v>477</v>
      </c>
    </row>
    <row r="156" spans="1:3">
      <c r="A156" s="85"/>
      <c r="B156" s="70" t="s">
        <v>143</v>
      </c>
      <c r="C156" s="96">
        <v>2.3979214483385157E-2</v>
      </c>
    </row>
    <row r="157" spans="1:3">
      <c r="A157" s="87" t="s">
        <v>478</v>
      </c>
      <c r="B157" s="58" t="s">
        <v>480</v>
      </c>
      <c r="C157" s="96"/>
    </row>
    <row r="158" spans="1:3">
      <c r="A158" s="87" t="s">
        <v>479</v>
      </c>
      <c r="B158" s="58" t="s">
        <v>481</v>
      </c>
      <c r="C158" s="96"/>
    </row>
    <row r="159" spans="1:3">
      <c r="A159" s="90" t="s">
        <v>664</v>
      </c>
      <c r="B159" s="72" t="s">
        <v>132</v>
      </c>
      <c r="C159" s="72">
        <v>3.3287318993795701E-3</v>
      </c>
    </row>
    <row r="160" spans="1:3">
      <c r="A160" s="85"/>
      <c r="B160" s="70" t="s">
        <v>240</v>
      </c>
      <c r="C160" s="96">
        <v>2.3443971553016702E-3</v>
      </c>
    </row>
    <row r="161" spans="1:3">
      <c r="A161" s="86" t="s">
        <v>485</v>
      </c>
      <c r="B161" t="s">
        <v>482</v>
      </c>
    </row>
    <row r="162" spans="1:3">
      <c r="A162" s="85"/>
      <c r="B162" s="70" t="s">
        <v>243</v>
      </c>
      <c r="C162" s="96">
        <v>9.831299749406535E-4</v>
      </c>
    </row>
    <row r="163" spans="1:3">
      <c r="A163" s="86" t="s">
        <v>483</v>
      </c>
      <c r="B163" t="s">
        <v>486</v>
      </c>
      <c r="C163" s="96"/>
    </row>
    <row r="164" spans="1:3">
      <c r="A164" s="86" t="s">
        <v>484</v>
      </c>
      <c r="B164" t="s">
        <v>487</v>
      </c>
      <c r="C164" s="96"/>
    </row>
    <row r="165" spans="1:3">
      <c r="A165" s="90" t="s">
        <v>246</v>
      </c>
      <c r="B165" s="72" t="s">
        <v>134</v>
      </c>
      <c r="C165" s="72">
        <v>6.5989531039281225E-3</v>
      </c>
    </row>
    <row r="166" spans="1:3">
      <c r="A166" s="85"/>
      <c r="B166" s="70" t="s">
        <v>245</v>
      </c>
      <c r="C166" s="96">
        <v>5.8247273647781287E-3</v>
      </c>
    </row>
    <row r="167" spans="1:3">
      <c r="A167" s="86" t="s">
        <v>488</v>
      </c>
      <c r="B167" t="s">
        <v>492</v>
      </c>
    </row>
    <row r="168" spans="1:3">
      <c r="A168" s="86" t="s">
        <v>489</v>
      </c>
      <c r="B168" t="s">
        <v>493</v>
      </c>
    </row>
    <row r="169" spans="1:3">
      <c r="A169" s="86" t="s">
        <v>490</v>
      </c>
      <c r="B169" t="s">
        <v>494</v>
      </c>
    </row>
    <row r="170" spans="1:3">
      <c r="A170" s="86" t="s">
        <v>491</v>
      </c>
      <c r="B170" t="s">
        <v>495</v>
      </c>
    </row>
    <row r="171" spans="1:3">
      <c r="A171" s="90" t="s">
        <v>249</v>
      </c>
      <c r="B171" s="72" t="s">
        <v>139</v>
      </c>
      <c r="C171" s="72">
        <v>1.169487117194341E-2</v>
      </c>
    </row>
    <row r="172" spans="1:3">
      <c r="A172" s="85"/>
      <c r="B172" s="70" t="s">
        <v>248</v>
      </c>
      <c r="C172" s="96">
        <v>1.1538957487214093E-2</v>
      </c>
    </row>
    <row r="173" spans="1:3">
      <c r="A173" s="86" t="s">
        <v>496</v>
      </c>
      <c r="B173" t="s">
        <v>499</v>
      </c>
    </row>
    <row r="174" spans="1:3">
      <c r="A174" s="86" t="s">
        <v>497</v>
      </c>
      <c r="B174" t="s">
        <v>500</v>
      </c>
    </row>
    <row r="175" spans="1:3">
      <c r="A175" s="86" t="s">
        <v>498</v>
      </c>
      <c r="B175" t="s">
        <v>501</v>
      </c>
    </row>
    <row r="176" spans="1:3">
      <c r="A176" s="90" t="s">
        <v>252</v>
      </c>
      <c r="B176" s="72" t="s">
        <v>141</v>
      </c>
      <c r="C176" s="72">
        <v>7.72526314854588E-3</v>
      </c>
    </row>
    <row r="177" spans="1:3">
      <c r="A177" s="85"/>
      <c r="B177" s="70" t="s">
        <v>251</v>
      </c>
      <c r="C177" s="94">
        <v>7.4546459603428263E-3</v>
      </c>
    </row>
    <row r="178" spans="1:3">
      <c r="A178" s="86">
        <v>31420</v>
      </c>
      <c r="B178" t="s">
        <v>505</v>
      </c>
    </row>
    <row r="179" spans="1:3">
      <c r="A179" s="86" t="s">
        <v>502</v>
      </c>
      <c r="B179" t="s">
        <v>506</v>
      </c>
    </row>
    <row r="180" spans="1:3">
      <c r="A180" s="86" t="s">
        <v>504</v>
      </c>
      <c r="B180" t="s">
        <v>507</v>
      </c>
    </row>
    <row r="181" spans="1:3">
      <c r="A181" s="86" t="s">
        <v>503</v>
      </c>
      <c r="B181" t="s">
        <v>508</v>
      </c>
    </row>
    <row r="182" spans="1:3">
      <c r="A182" s="90" t="s">
        <v>255</v>
      </c>
      <c r="B182" s="72" t="s">
        <v>145</v>
      </c>
      <c r="C182" s="72">
        <v>2.491309937312031E-2</v>
      </c>
    </row>
    <row r="183" spans="1:3">
      <c r="A183" s="85"/>
      <c r="B183" s="70" t="s">
        <v>254</v>
      </c>
      <c r="C183" s="94">
        <v>1.3723044379644445E-2</v>
      </c>
    </row>
    <row r="184" spans="1:3">
      <c r="A184" s="86" t="s">
        <v>509</v>
      </c>
      <c r="B184" t="s">
        <v>512</v>
      </c>
    </row>
    <row r="185" spans="1:3">
      <c r="A185" s="85"/>
      <c r="B185" s="70" t="s">
        <v>257</v>
      </c>
      <c r="C185" s="94">
        <v>1.0644159074267863E-2</v>
      </c>
    </row>
    <row r="186" spans="1:3">
      <c r="A186" s="86" t="s">
        <v>513</v>
      </c>
      <c r="B186" t="s">
        <v>514</v>
      </c>
      <c r="C186" s="94"/>
    </row>
    <row r="187" spans="1:3">
      <c r="A187" s="86" t="s">
        <v>510</v>
      </c>
      <c r="B187" t="s">
        <v>511</v>
      </c>
      <c r="C187" s="94"/>
    </row>
    <row r="188" spans="1:3">
      <c r="A188" s="90" t="s">
        <v>260</v>
      </c>
      <c r="B188" s="72" t="s">
        <v>148</v>
      </c>
      <c r="C188" s="72">
        <v>9.3414023867344938E-3</v>
      </c>
    </row>
    <row r="189" spans="1:3">
      <c r="A189" s="85"/>
      <c r="B189" s="70" t="s">
        <v>259</v>
      </c>
      <c r="C189" s="94">
        <v>7.8588844637605907E-3</v>
      </c>
    </row>
    <row r="190" spans="1:3">
      <c r="A190" s="86" t="s">
        <v>515</v>
      </c>
      <c r="B190" t="s">
        <v>516</v>
      </c>
    </row>
    <row r="191" spans="1:3">
      <c r="A191" s="90" t="s">
        <v>263</v>
      </c>
      <c r="B191" s="72" t="s">
        <v>152</v>
      </c>
      <c r="C191" s="72">
        <v>0</v>
      </c>
    </row>
    <row r="192" spans="1:3">
      <c r="A192" s="88"/>
      <c r="B192" s="71" t="s">
        <v>262</v>
      </c>
      <c r="C192" s="94">
        <v>0</v>
      </c>
    </row>
    <row r="193" spans="1:3">
      <c r="A193" s="90" t="s">
        <v>655</v>
      </c>
      <c r="B193" s="72" t="s">
        <v>157</v>
      </c>
      <c r="C193" s="72">
        <v>6.5368306101495771E-3</v>
      </c>
    </row>
    <row r="194" spans="1:3">
      <c r="A194" s="85"/>
      <c r="B194" s="70" t="s">
        <v>265</v>
      </c>
      <c r="C194" s="94">
        <v>5.2588702402240253E-3</v>
      </c>
    </row>
    <row r="195" spans="1:3">
      <c r="A195" s="87" t="s">
        <v>517</v>
      </c>
      <c r="B195" s="58" t="s">
        <v>518</v>
      </c>
    </row>
    <row r="196" spans="1:3">
      <c r="A196" s="85"/>
      <c r="B196" s="70" t="s">
        <v>201</v>
      </c>
      <c r="C196" s="94">
        <v>1.2509842104271314E-3</v>
      </c>
    </row>
    <row r="197" spans="1:3">
      <c r="A197" s="86" t="s">
        <v>439</v>
      </c>
      <c r="B197" t="s">
        <v>440</v>
      </c>
      <c r="C197" s="94"/>
    </row>
    <row r="198" spans="1:3">
      <c r="A198" s="90" t="s">
        <v>269</v>
      </c>
      <c r="B198" s="72" t="s">
        <v>159</v>
      </c>
      <c r="C198" s="72">
        <v>3.1290812940609126E-2</v>
      </c>
    </row>
    <row r="199" spans="1:3">
      <c r="A199" s="85"/>
      <c r="B199" s="70" t="s">
        <v>268</v>
      </c>
      <c r="C199" s="94">
        <v>3.0396282723011613E-2</v>
      </c>
    </row>
    <row r="200" spans="1:3">
      <c r="A200" s="86" t="s">
        <v>523</v>
      </c>
      <c r="B200" t="s">
        <v>524</v>
      </c>
    </row>
    <row r="201" spans="1:3">
      <c r="A201" s="86" t="s">
        <v>525</v>
      </c>
      <c r="B201" t="s">
        <v>530</v>
      </c>
    </row>
    <row r="202" spans="1:3">
      <c r="A202" s="86" t="s">
        <v>520</v>
      </c>
      <c r="B202" t="s">
        <v>522</v>
      </c>
    </row>
    <row r="203" spans="1:3">
      <c r="A203" s="86" t="s">
        <v>519</v>
      </c>
      <c r="B203" t="s">
        <v>521</v>
      </c>
    </row>
    <row r="204" spans="1:3">
      <c r="A204" s="86" t="s">
        <v>526</v>
      </c>
      <c r="B204" t="s">
        <v>529</v>
      </c>
    </row>
    <row r="205" spans="1:3">
      <c r="A205" s="86" t="s">
        <v>527</v>
      </c>
      <c r="B205" t="s">
        <v>528</v>
      </c>
    </row>
    <row r="206" spans="1:3">
      <c r="A206" s="90" t="s">
        <v>270</v>
      </c>
      <c r="B206" s="72" t="s">
        <v>163</v>
      </c>
      <c r="C206" s="72">
        <v>0</v>
      </c>
    </row>
    <row r="207" spans="1:3">
      <c r="A207" s="88"/>
      <c r="B207" s="71" t="s">
        <v>262</v>
      </c>
      <c r="C207" s="94">
        <v>0</v>
      </c>
    </row>
    <row r="208" spans="1:3">
      <c r="A208" s="90" t="s">
        <v>273</v>
      </c>
      <c r="B208" s="72" t="s">
        <v>166</v>
      </c>
      <c r="C208" s="72">
        <v>6.1612780957974343E-3</v>
      </c>
    </row>
    <row r="209" spans="1:3">
      <c r="A209" s="85"/>
      <c r="B209" s="70" t="s">
        <v>272</v>
      </c>
      <c r="C209" s="94">
        <v>5.9974451643616568E-3</v>
      </c>
    </row>
    <row r="210" spans="1:3">
      <c r="A210" s="86" t="s">
        <v>531</v>
      </c>
      <c r="B210" t="s">
        <v>532</v>
      </c>
    </row>
    <row r="211" spans="1:3">
      <c r="A211" s="90" t="s">
        <v>276</v>
      </c>
      <c r="B211" s="72" t="s">
        <v>170</v>
      </c>
      <c r="C211" s="72">
        <v>2.6809278962710213E-2</v>
      </c>
    </row>
    <row r="212" spans="1:3">
      <c r="A212" s="85"/>
      <c r="B212" s="70" t="s">
        <v>275</v>
      </c>
      <c r="C212" s="94">
        <v>2.6180466796369921E-2</v>
      </c>
    </row>
    <row r="213" spans="1:3">
      <c r="A213" s="86" t="s">
        <v>533</v>
      </c>
      <c r="B213" t="s">
        <v>534</v>
      </c>
    </row>
    <row r="214" spans="1:3">
      <c r="A214" s="86" t="s">
        <v>535</v>
      </c>
      <c r="B214" t="s">
        <v>536</v>
      </c>
    </row>
    <row r="215" spans="1:3">
      <c r="A215" s="86" t="s">
        <v>537</v>
      </c>
      <c r="B215" t="s">
        <v>538</v>
      </c>
    </row>
    <row r="216" spans="1:3">
      <c r="A216" s="90" t="s">
        <v>655</v>
      </c>
      <c r="B216" s="72" t="s">
        <v>173</v>
      </c>
      <c r="C216" s="72">
        <v>1.2152225704628136E-2</v>
      </c>
    </row>
    <row r="217" spans="1:3">
      <c r="A217" s="85"/>
      <c r="B217" s="70" t="s">
        <v>278</v>
      </c>
      <c r="C217" s="94">
        <v>6.8352800217166641E-3</v>
      </c>
    </row>
    <row r="218" spans="1:3">
      <c r="A218" s="86" t="s">
        <v>539</v>
      </c>
      <c r="B218" t="s">
        <v>546</v>
      </c>
    </row>
    <row r="219" spans="1:3">
      <c r="A219" s="86" t="s">
        <v>540</v>
      </c>
      <c r="B219" t="s">
        <v>547</v>
      </c>
    </row>
    <row r="220" spans="1:3">
      <c r="A220" s="86" t="s">
        <v>541</v>
      </c>
      <c r="B220" t="s">
        <v>548</v>
      </c>
    </row>
    <row r="221" spans="1:3">
      <c r="A221" s="86" t="s">
        <v>542</v>
      </c>
      <c r="B221" t="s">
        <v>544</v>
      </c>
    </row>
    <row r="222" spans="1:3">
      <c r="A222" s="86" t="s">
        <v>543</v>
      </c>
      <c r="B222" t="s">
        <v>545</v>
      </c>
    </row>
    <row r="223" spans="1:3">
      <c r="A223" s="85"/>
      <c r="B223" s="70" t="s">
        <v>281</v>
      </c>
      <c r="C223" s="94">
        <v>3.3619815508715207E-3</v>
      </c>
    </row>
    <row r="224" spans="1:3">
      <c r="A224" s="86" t="s">
        <v>549</v>
      </c>
      <c r="B224" t="s">
        <v>553</v>
      </c>
    </row>
    <row r="225" spans="1:3">
      <c r="A225" s="86" t="s">
        <v>550</v>
      </c>
      <c r="B225" t="s">
        <v>554</v>
      </c>
    </row>
    <row r="226" spans="1:3">
      <c r="A226" s="86" t="s">
        <v>551</v>
      </c>
      <c r="B226" t="s">
        <v>555</v>
      </c>
    </row>
    <row r="227" spans="1:3">
      <c r="A227" s="86" t="s">
        <v>552</v>
      </c>
      <c r="B227" t="s">
        <v>556</v>
      </c>
    </row>
    <row r="228" spans="1:3">
      <c r="A228" s="90" t="s">
        <v>284</v>
      </c>
      <c r="B228" s="72" t="s">
        <v>177</v>
      </c>
      <c r="C228" s="72">
        <v>2.1100979648769495E-2</v>
      </c>
    </row>
    <row r="229" spans="1:3">
      <c r="A229" s="85"/>
      <c r="B229" s="70" t="s">
        <v>283</v>
      </c>
      <c r="C229" s="94">
        <v>1.6956718397735458E-2</v>
      </c>
    </row>
    <row r="230" spans="1:3">
      <c r="A230" s="86" t="s">
        <v>557</v>
      </c>
      <c r="B230" t="s">
        <v>559</v>
      </c>
      <c r="C230" s="94"/>
    </row>
    <row r="231" spans="1:3">
      <c r="A231" s="86" t="s">
        <v>558</v>
      </c>
      <c r="B231" t="s">
        <v>560</v>
      </c>
      <c r="C231" s="94"/>
    </row>
    <row r="232" spans="1:3">
      <c r="A232" s="85"/>
      <c r="B232" s="70" t="s">
        <v>268</v>
      </c>
      <c r="C232" s="94">
        <v>2.3536031373726273E-3</v>
      </c>
    </row>
    <row r="233" spans="1:3">
      <c r="A233" s="90" t="s">
        <v>287</v>
      </c>
      <c r="B233" s="72" t="s">
        <v>180</v>
      </c>
      <c r="C233" s="72">
        <v>3.9534381165138195E-3</v>
      </c>
    </row>
    <row r="234" spans="1:3">
      <c r="A234" s="85"/>
      <c r="B234" s="70" t="s">
        <v>286</v>
      </c>
      <c r="C234" s="94">
        <v>3.3787351144895011E-3</v>
      </c>
    </row>
    <row r="235" spans="1:3">
      <c r="A235" s="86" t="s">
        <v>561</v>
      </c>
      <c r="B235" t="s">
        <v>564</v>
      </c>
    </row>
    <row r="236" spans="1:3">
      <c r="A236" s="86" t="s">
        <v>562</v>
      </c>
      <c r="B236" t="s">
        <v>565</v>
      </c>
    </row>
    <row r="237" spans="1:3">
      <c r="A237" s="86" t="s">
        <v>563</v>
      </c>
      <c r="B237" t="s">
        <v>566</v>
      </c>
    </row>
    <row r="238" spans="1:3">
      <c r="A238" s="90" t="s">
        <v>290</v>
      </c>
      <c r="B238" s="72" t="s">
        <v>184</v>
      </c>
      <c r="C238" s="72">
        <v>5.6490440780631472E-2</v>
      </c>
    </row>
    <row r="239" spans="1:3">
      <c r="A239" s="85"/>
      <c r="B239" s="70" t="s">
        <v>289</v>
      </c>
      <c r="C239" s="94">
        <v>5.345036788348672E-2</v>
      </c>
    </row>
    <row r="240" spans="1:3">
      <c r="A240" s="86" t="s">
        <v>567</v>
      </c>
      <c r="B240" t="s">
        <v>574</v>
      </c>
    </row>
    <row r="241" spans="1:3">
      <c r="A241" s="86" t="s">
        <v>568</v>
      </c>
      <c r="B241" t="s">
        <v>575</v>
      </c>
    </row>
    <row r="242" spans="1:3">
      <c r="A242" s="86" t="s">
        <v>569</v>
      </c>
      <c r="B242" t="s">
        <v>576</v>
      </c>
    </row>
    <row r="243" spans="1:3">
      <c r="A243" s="86" t="s">
        <v>570</v>
      </c>
      <c r="B243" t="s">
        <v>577</v>
      </c>
    </row>
    <row r="244" spans="1:3">
      <c r="A244" s="86" t="s">
        <v>571</v>
      </c>
      <c r="B244" t="s">
        <v>578</v>
      </c>
    </row>
    <row r="245" spans="1:3">
      <c r="A245" s="86" t="s">
        <v>572</v>
      </c>
      <c r="B245" t="s">
        <v>579</v>
      </c>
    </row>
    <row r="246" spans="1:3">
      <c r="A246" s="86" t="s">
        <v>573</v>
      </c>
      <c r="B246" t="s">
        <v>580</v>
      </c>
    </row>
    <row r="247" spans="1:3">
      <c r="A247" s="90" t="s">
        <v>293</v>
      </c>
      <c r="B247" s="72" t="s">
        <v>187</v>
      </c>
      <c r="C247" s="72">
        <v>4.7766874854720349E-3</v>
      </c>
    </row>
    <row r="248" spans="1:3">
      <c r="A248" s="85"/>
      <c r="B248" s="70" t="s">
        <v>292</v>
      </c>
      <c r="C248" s="94">
        <v>4.6999857272966754E-3</v>
      </c>
    </row>
    <row r="249" spans="1:3">
      <c r="A249" s="86" t="s">
        <v>581</v>
      </c>
      <c r="B249" t="s">
        <v>583</v>
      </c>
    </row>
    <row r="250" spans="1:3">
      <c r="A250" s="86" t="s">
        <v>582</v>
      </c>
      <c r="B250" t="s">
        <v>584</v>
      </c>
    </row>
    <row r="251" spans="1:3">
      <c r="A251" s="90" t="s">
        <v>296</v>
      </c>
      <c r="B251" s="72" t="s">
        <v>189</v>
      </c>
      <c r="C251" s="72">
        <v>1.0557006217653347E-2</v>
      </c>
    </row>
    <row r="252" spans="1:3">
      <c r="A252" s="85"/>
      <c r="B252" s="70" t="s">
        <v>295</v>
      </c>
      <c r="C252" s="94">
        <v>8.1326154764291905E-3</v>
      </c>
    </row>
    <row r="253" spans="1:3">
      <c r="A253" s="86" t="s">
        <v>585</v>
      </c>
      <c r="B253" t="s">
        <v>587</v>
      </c>
    </row>
    <row r="254" spans="1:3">
      <c r="A254" s="86" t="s">
        <v>586</v>
      </c>
      <c r="B254" t="s">
        <v>588</v>
      </c>
    </row>
    <row r="255" spans="1:3">
      <c r="A255" s="85"/>
      <c r="B255" s="70" t="s">
        <v>298</v>
      </c>
      <c r="C255" s="94">
        <v>2.3153977035287264E-3</v>
      </c>
    </row>
    <row r="256" spans="1:3">
      <c r="A256" s="86" t="s">
        <v>589</v>
      </c>
      <c r="B256" t="s">
        <v>590</v>
      </c>
      <c r="C256" s="94"/>
    </row>
    <row r="257" spans="1:3">
      <c r="A257" s="90" t="s">
        <v>301</v>
      </c>
      <c r="B257" s="72" t="s">
        <v>192</v>
      </c>
      <c r="C257" s="72">
        <v>4.3036129945688312E-2</v>
      </c>
    </row>
    <row r="258" spans="1:3">
      <c r="A258" s="85"/>
      <c r="B258" s="70" t="s">
        <v>300</v>
      </c>
      <c r="C258" s="94">
        <v>4.1985711256306082E-2</v>
      </c>
    </row>
    <row r="259" spans="1:3">
      <c r="A259" s="86" t="s">
        <v>591</v>
      </c>
      <c r="B259" t="s">
        <v>592</v>
      </c>
    </row>
    <row r="260" spans="1:3">
      <c r="A260" s="90" t="s">
        <v>296</v>
      </c>
      <c r="B260" s="72" t="s">
        <v>196</v>
      </c>
      <c r="C260" s="72">
        <v>9.1441509550053181E-3</v>
      </c>
    </row>
    <row r="261" spans="1:3">
      <c r="A261" s="85"/>
      <c r="B261" s="70" t="s">
        <v>303</v>
      </c>
      <c r="C261" s="94">
        <v>9.0057608300123156E-3</v>
      </c>
    </row>
    <row r="262" spans="1:3">
      <c r="A262" s="86" t="s">
        <v>593</v>
      </c>
      <c r="B262" t="s">
        <v>595</v>
      </c>
    </row>
    <row r="263" spans="1:3">
      <c r="A263" s="86" t="s">
        <v>594</v>
      </c>
      <c r="B263" t="s">
        <v>596</v>
      </c>
    </row>
    <row r="264" spans="1:3">
      <c r="A264" s="90" t="s">
        <v>307</v>
      </c>
      <c r="B264" s="72" t="s">
        <v>199</v>
      </c>
      <c r="C264" s="72">
        <v>4.1048185014673261E-4</v>
      </c>
    </row>
    <row r="265" spans="1:3">
      <c r="A265" s="85"/>
      <c r="B265" s="70" t="s">
        <v>306</v>
      </c>
      <c r="C265" s="94">
        <v>3.2262904339356755E-4</v>
      </c>
    </row>
    <row r="266" spans="1:3">
      <c r="A266" s="89" t="s">
        <v>597</v>
      </c>
      <c r="B266" s="62" t="s">
        <v>599</v>
      </c>
    </row>
    <row r="267" spans="1:3">
      <c r="A267" s="89" t="s">
        <v>598</v>
      </c>
      <c r="B267" s="62" t="s">
        <v>600</v>
      </c>
    </row>
    <row r="268" spans="1:3">
      <c r="A268" s="90" t="s">
        <v>310</v>
      </c>
      <c r="B268" s="72" t="s">
        <v>203</v>
      </c>
      <c r="C268" s="72">
        <v>5.1413342695416177E-2</v>
      </c>
    </row>
    <row r="269" spans="1:3">
      <c r="A269" s="85"/>
      <c r="B269" s="70" t="s">
        <v>309</v>
      </c>
      <c r="C269" s="94">
        <v>4.8733281295499989E-2</v>
      </c>
    </row>
    <row r="270" spans="1:3">
      <c r="A270" s="86" t="s">
        <v>601</v>
      </c>
      <c r="B270" t="s">
        <v>608</v>
      </c>
    </row>
    <row r="271" spans="1:3">
      <c r="A271" s="86" t="s">
        <v>602</v>
      </c>
      <c r="B271" t="s">
        <v>609</v>
      </c>
    </row>
    <row r="272" spans="1:3">
      <c r="A272" s="86" t="s">
        <v>603</v>
      </c>
      <c r="B272" t="s">
        <v>610</v>
      </c>
    </row>
    <row r="273" spans="1:3">
      <c r="A273" s="86" t="s">
        <v>604</v>
      </c>
      <c r="B273" t="s">
        <v>611</v>
      </c>
    </row>
    <row r="274" spans="1:3">
      <c r="A274" s="86" t="s">
        <v>605</v>
      </c>
      <c r="B274" t="s">
        <v>612</v>
      </c>
    </row>
    <row r="275" spans="1:3">
      <c r="A275" s="86" t="s">
        <v>606</v>
      </c>
      <c r="B275" t="s">
        <v>613</v>
      </c>
    </row>
    <row r="276" spans="1:3">
      <c r="A276" s="86" t="s">
        <v>607</v>
      </c>
      <c r="B276" t="s">
        <v>614</v>
      </c>
    </row>
    <row r="277" spans="1:3">
      <c r="A277" s="90" t="s">
        <v>313</v>
      </c>
      <c r="B277" s="72" t="s">
        <v>206</v>
      </c>
      <c r="C277" s="72">
        <v>1.4161502830083135E-2</v>
      </c>
    </row>
    <row r="278" spans="1:3">
      <c r="A278" s="85"/>
      <c r="B278" s="70" t="s">
        <v>312</v>
      </c>
      <c r="C278" s="94">
        <v>8.8171046609670841E-3</v>
      </c>
    </row>
    <row r="279" spans="1:3">
      <c r="A279" s="86" t="s">
        <v>615</v>
      </c>
      <c r="B279" t="s">
        <v>620</v>
      </c>
      <c r="C279" s="94"/>
    </row>
    <row r="280" spans="1:3">
      <c r="A280" s="86" t="s">
        <v>616</v>
      </c>
      <c r="B280" t="s">
        <v>621</v>
      </c>
      <c r="C280" s="94"/>
    </row>
    <row r="281" spans="1:3">
      <c r="A281" s="86" t="s">
        <v>617</v>
      </c>
      <c r="B281" t="s">
        <v>622</v>
      </c>
      <c r="C281" s="94"/>
    </row>
    <row r="282" spans="1:3">
      <c r="A282" s="86" t="s">
        <v>618</v>
      </c>
      <c r="B282" t="s">
        <v>623</v>
      </c>
      <c r="C282" s="94"/>
    </row>
    <row r="283" spans="1:3">
      <c r="A283" s="86" t="s">
        <v>619</v>
      </c>
      <c r="B283" t="s">
        <v>624</v>
      </c>
      <c r="C283" s="94"/>
    </row>
    <row r="284" spans="1:3">
      <c r="A284" s="85"/>
      <c r="B284" s="70" t="s">
        <v>315</v>
      </c>
      <c r="C284" s="94">
        <v>4.7558375706869367E-3</v>
      </c>
    </row>
    <row r="285" spans="1:3">
      <c r="A285" s="86" t="s">
        <v>625</v>
      </c>
      <c r="B285" t="s">
        <v>626</v>
      </c>
      <c r="C285" s="94"/>
    </row>
    <row r="286" spans="1:3">
      <c r="A286" s="90" t="s">
        <v>318</v>
      </c>
      <c r="B286" s="72" t="s">
        <v>210</v>
      </c>
      <c r="C286" s="72">
        <v>2.7763185016377229E-2</v>
      </c>
    </row>
    <row r="287" spans="1:3">
      <c r="A287" s="85"/>
      <c r="B287" s="70" t="s">
        <v>317</v>
      </c>
      <c r="C287" s="94">
        <v>1.5618317168322767E-2</v>
      </c>
    </row>
    <row r="288" spans="1:3">
      <c r="A288" s="87" t="s">
        <v>627</v>
      </c>
      <c r="B288" s="58" t="s">
        <v>628</v>
      </c>
    </row>
    <row r="289" spans="1:3">
      <c r="A289" s="85"/>
      <c r="B289" s="70" t="s">
        <v>320</v>
      </c>
      <c r="C289" s="94">
        <v>5.2274489488129726E-3</v>
      </c>
    </row>
    <row r="290" spans="1:3">
      <c r="A290" s="86" t="s">
        <v>629</v>
      </c>
      <c r="B290" t="s">
        <v>630</v>
      </c>
      <c r="C290" s="94"/>
    </row>
    <row r="291" spans="1:3">
      <c r="A291" s="85"/>
      <c r="B291" s="70" t="s">
        <v>322</v>
      </c>
      <c r="C291" s="94">
        <v>3.0525515841126768E-3</v>
      </c>
    </row>
    <row r="292" spans="1:3">
      <c r="A292" s="86" t="s">
        <v>631</v>
      </c>
      <c r="B292" t="s">
        <v>633</v>
      </c>
      <c r="C292" s="94"/>
    </row>
    <row r="293" spans="1:3">
      <c r="A293" s="86" t="s">
        <v>632</v>
      </c>
      <c r="B293" t="s">
        <v>634</v>
      </c>
      <c r="C293" s="94"/>
    </row>
    <row r="294" spans="1:3">
      <c r="A294" s="85"/>
      <c r="B294" s="70" t="s">
        <v>324</v>
      </c>
      <c r="C294" s="94">
        <v>2.5453750952718875E-3</v>
      </c>
    </row>
    <row r="295" spans="1:3">
      <c r="A295" s="86" t="s">
        <v>635</v>
      </c>
      <c r="B295" t="s">
        <v>636</v>
      </c>
      <c r="C295" s="94"/>
    </row>
    <row r="296" spans="1:3">
      <c r="A296" s="90" t="s">
        <v>327</v>
      </c>
      <c r="B296" s="72" t="s">
        <v>213</v>
      </c>
      <c r="C296" s="72">
        <v>3.3404273581901782E-2</v>
      </c>
    </row>
    <row r="297" spans="1:3">
      <c r="A297" s="85"/>
      <c r="B297" s="70" t="s">
        <v>326</v>
      </c>
      <c r="C297" s="94">
        <v>3.0318886044749381E-2</v>
      </c>
    </row>
    <row r="298" spans="1:3">
      <c r="A298" s="86" t="s">
        <v>637</v>
      </c>
      <c r="B298" t="s">
        <v>640</v>
      </c>
    </row>
    <row r="299" spans="1:3">
      <c r="A299" s="86" t="s">
        <v>638</v>
      </c>
      <c r="B299" t="s">
        <v>641</v>
      </c>
    </row>
    <row r="300" spans="1:3">
      <c r="A300" s="86" t="s">
        <v>639</v>
      </c>
      <c r="B300" t="s">
        <v>642</v>
      </c>
    </row>
    <row r="301" spans="1:3">
      <c r="A301" s="90" t="s">
        <v>330</v>
      </c>
      <c r="B301" s="72" t="s">
        <v>217</v>
      </c>
      <c r="C301" s="72">
        <v>7.9056345084815398E-3</v>
      </c>
    </row>
    <row r="302" spans="1:3">
      <c r="A302" s="85"/>
      <c r="B302" s="70" t="s">
        <v>329</v>
      </c>
      <c r="C302" s="94">
        <v>5.522781099254046E-3</v>
      </c>
    </row>
    <row r="303" spans="1:3">
      <c r="A303" s="86" t="s">
        <v>643</v>
      </c>
      <c r="B303" t="s">
        <v>645</v>
      </c>
    </row>
    <row r="304" spans="1:3">
      <c r="A304" s="86" t="s">
        <v>644</v>
      </c>
      <c r="B304" t="s">
        <v>646</v>
      </c>
    </row>
    <row r="305" spans="1:3">
      <c r="A305" s="85"/>
      <c r="B305" s="70" t="s">
        <v>332</v>
      </c>
      <c r="C305" s="94">
        <v>1.0563609224227834E-3</v>
      </c>
    </row>
    <row r="306" spans="1:3">
      <c r="A306" s="86" t="s">
        <v>647</v>
      </c>
      <c r="B306" t="s">
        <v>648</v>
      </c>
    </row>
  </sheetData>
  <autoFilter ref="A1:C306" xr:uid="{E58A858F-0361-4E15-898D-0B9B9434FAA1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AF26-E125-4639-8618-EF8256F94529}">
  <sheetPr filterMode="1"/>
  <dimension ref="A1:I131"/>
  <sheetViews>
    <sheetView tabSelected="1" topLeftCell="G1" workbookViewId="0">
      <selection activeCell="I1" sqref="I1"/>
    </sheetView>
  </sheetViews>
  <sheetFormatPr defaultRowHeight="14.5"/>
  <cols>
    <col min="4" max="4" width="36.7265625" customWidth="1"/>
    <col min="5" max="5" width="19.36328125" customWidth="1"/>
    <col min="8" max="8" width="15.6328125" customWidth="1"/>
  </cols>
  <sheetData>
    <row r="1" spans="1:9" ht="42">
      <c r="A1" s="4" t="s">
        <v>11</v>
      </c>
      <c r="B1" s="4" t="s">
        <v>1</v>
      </c>
      <c r="C1" s="98" t="s">
        <v>233</v>
      </c>
      <c r="D1" s="6"/>
      <c r="E1" s="4" t="s">
        <v>14</v>
      </c>
      <c r="F1" s="7" t="s">
        <v>15</v>
      </c>
      <c r="G1" s="67"/>
      <c r="H1" s="7" t="s">
        <v>665</v>
      </c>
    </row>
    <row r="2" spans="1:9" hidden="1">
      <c r="A2" s="14" t="s">
        <v>19</v>
      </c>
      <c r="B2" s="15" t="s">
        <v>22</v>
      </c>
      <c r="C2" s="15"/>
      <c r="D2" s="15"/>
      <c r="E2" s="16">
        <v>300555.92823312257</v>
      </c>
      <c r="F2" s="17"/>
      <c r="G2" s="100"/>
      <c r="H2" s="99">
        <v>114528.6785629721</v>
      </c>
    </row>
    <row r="3" spans="1:9">
      <c r="A3" s="9" t="s">
        <v>19</v>
      </c>
      <c r="B3" s="9" t="s">
        <v>20</v>
      </c>
      <c r="C3" s="10" t="s">
        <v>21</v>
      </c>
      <c r="D3" s="11"/>
      <c r="E3" s="12">
        <v>10458.774867242491</v>
      </c>
      <c r="F3" s="12">
        <v>100</v>
      </c>
      <c r="G3" s="101"/>
      <c r="H3" s="12">
        <v>2643.0858752501417</v>
      </c>
      <c r="I3">
        <f>H3/SUM($H$3:$H$129)*100</f>
        <v>2.3077939153876428</v>
      </c>
    </row>
    <row r="4" spans="1:9" hidden="1">
      <c r="A4" s="18"/>
      <c r="B4" s="18" t="s">
        <v>20</v>
      </c>
      <c r="C4" s="19" t="s">
        <v>23</v>
      </c>
      <c r="D4" s="20" t="s">
        <v>24</v>
      </c>
      <c r="E4" s="21">
        <v>10035.108759903724</v>
      </c>
      <c r="F4" s="21">
        <v>95.949180351269291</v>
      </c>
      <c r="G4" s="100"/>
      <c r="H4" s="21"/>
    </row>
    <row r="5" spans="1:9">
      <c r="A5" s="9" t="s">
        <v>19</v>
      </c>
      <c r="B5" s="9" t="s">
        <v>25</v>
      </c>
      <c r="C5" s="10" t="s">
        <v>26</v>
      </c>
      <c r="D5" s="11"/>
      <c r="E5" s="12">
        <v>2605.0246286796928</v>
      </c>
      <c r="F5" s="12">
        <v>100</v>
      </c>
      <c r="G5" s="101"/>
      <c r="H5" s="12">
        <v>741.48976583203807</v>
      </c>
      <c r="I5">
        <f>H5/SUM($H$3:$H$129)*100</f>
        <v>0.64742715548258034</v>
      </c>
    </row>
    <row r="6" spans="1:9" hidden="1">
      <c r="A6" s="23"/>
      <c r="B6" s="23" t="s">
        <v>25</v>
      </c>
      <c r="C6" s="24" t="s">
        <v>31</v>
      </c>
      <c r="D6" s="25" t="s">
        <v>32</v>
      </c>
      <c r="E6" s="26">
        <v>2016.1159928184436</v>
      </c>
      <c r="F6" s="26">
        <v>77.393356309275035</v>
      </c>
      <c r="G6" s="100"/>
      <c r="H6" s="26"/>
    </row>
    <row r="7" spans="1:9" hidden="1">
      <c r="A7" s="18"/>
      <c r="B7" s="18" t="s">
        <v>25</v>
      </c>
      <c r="C7" s="19" t="s">
        <v>36</v>
      </c>
      <c r="D7" s="20" t="s">
        <v>37</v>
      </c>
      <c r="E7" s="21">
        <v>252.08291996724296</v>
      </c>
      <c r="F7" s="21">
        <v>9.676796034554437</v>
      </c>
      <c r="G7" s="100"/>
      <c r="H7" s="21"/>
    </row>
    <row r="8" spans="1:9">
      <c r="A8" s="9" t="s">
        <v>19</v>
      </c>
      <c r="B8" s="9" t="s">
        <v>28</v>
      </c>
      <c r="C8" s="10" t="s">
        <v>29</v>
      </c>
      <c r="D8" s="11"/>
      <c r="E8" s="12">
        <v>15467.354112619556</v>
      </c>
      <c r="F8" s="12">
        <v>100</v>
      </c>
      <c r="G8" s="101"/>
      <c r="H8" s="12">
        <v>4111.6386304293628</v>
      </c>
      <c r="I8">
        <f>H8/SUM($H$3:$H$129)*100</f>
        <v>3.5900515766176699</v>
      </c>
    </row>
    <row r="9" spans="1:9" hidden="1">
      <c r="A9" s="18"/>
      <c r="B9" s="18" t="s">
        <v>28</v>
      </c>
      <c r="C9" s="19" t="s">
        <v>45</v>
      </c>
      <c r="D9" s="20" t="s">
        <v>46</v>
      </c>
      <c r="E9" s="21">
        <v>14776.508817615611</v>
      </c>
      <c r="F9" s="21">
        <v>95.53352635509718</v>
      </c>
      <c r="G9" s="100"/>
      <c r="H9" s="21"/>
    </row>
    <row r="10" spans="1:9">
      <c r="A10" s="9" t="s">
        <v>19</v>
      </c>
      <c r="B10" s="9" t="s">
        <v>33</v>
      </c>
      <c r="C10" s="10" t="s">
        <v>34</v>
      </c>
      <c r="D10" s="11"/>
      <c r="E10" s="12">
        <v>4078.4025906722313</v>
      </c>
      <c r="F10" s="12">
        <v>100</v>
      </c>
      <c r="G10" s="101"/>
      <c r="H10" s="12">
        <v>1292.2178225945913</v>
      </c>
      <c r="I10">
        <f>H10/SUM($H$3:$H$129)*100</f>
        <v>1.1282919167569738</v>
      </c>
    </row>
    <row r="11" spans="1:9" hidden="1">
      <c r="A11" s="18"/>
      <c r="B11" s="18" t="s">
        <v>33</v>
      </c>
      <c r="C11" s="19" t="s">
        <v>36</v>
      </c>
      <c r="D11" s="20" t="s">
        <v>37</v>
      </c>
      <c r="E11" s="21">
        <v>3855.8572331740447</v>
      </c>
      <c r="F11" s="21">
        <v>94.543320514576635</v>
      </c>
      <c r="G11" s="100"/>
      <c r="H11" s="21"/>
    </row>
    <row r="12" spans="1:9">
      <c r="A12" s="9" t="s">
        <v>19</v>
      </c>
      <c r="B12" s="9" t="s">
        <v>38</v>
      </c>
      <c r="C12" s="10" t="s">
        <v>39</v>
      </c>
      <c r="D12" s="11"/>
      <c r="E12" s="12">
        <v>1035.5424602904484</v>
      </c>
      <c r="F12" s="12">
        <v>100</v>
      </c>
      <c r="G12" s="101"/>
      <c r="H12" s="12">
        <v>206.78165859374337</v>
      </c>
      <c r="I12">
        <f>H12/SUM($H$3:$H$129)*100</f>
        <v>0.18055011302697183</v>
      </c>
    </row>
    <row r="13" spans="1:9" hidden="1">
      <c r="A13" s="23"/>
      <c r="B13" s="23" t="s">
        <v>38</v>
      </c>
      <c r="C13" s="24" t="s">
        <v>61</v>
      </c>
      <c r="D13" s="25" t="s">
        <v>62</v>
      </c>
      <c r="E13" s="26">
        <v>535.86857365048127</v>
      </c>
      <c r="F13" s="26">
        <v>51.747619648563827</v>
      </c>
      <c r="G13" s="100"/>
      <c r="H13" s="26"/>
    </row>
    <row r="14" spans="1:9" hidden="1">
      <c r="A14" s="18"/>
      <c r="B14" s="18" t="s">
        <v>38</v>
      </c>
      <c r="C14" s="19" t="s">
        <v>66</v>
      </c>
      <c r="D14" s="20" t="s">
        <v>67</v>
      </c>
      <c r="E14" s="21">
        <v>496.99620792911037</v>
      </c>
      <c r="F14" s="21">
        <v>47.993802957119996</v>
      </c>
      <c r="G14" s="100"/>
      <c r="H14" s="21"/>
    </row>
    <row r="15" spans="1:9">
      <c r="A15" s="9" t="s">
        <v>19</v>
      </c>
      <c r="B15" s="9" t="s">
        <v>42</v>
      </c>
      <c r="C15" s="10" t="s">
        <v>43</v>
      </c>
      <c r="D15" s="11"/>
      <c r="E15" s="12">
        <v>6290.546750713248</v>
      </c>
      <c r="F15" s="12">
        <v>100</v>
      </c>
      <c r="G15" s="101"/>
      <c r="H15" s="12">
        <v>1807.0938788287649</v>
      </c>
      <c r="I15">
        <f>H15/SUM($H$3:$H$129)*100</f>
        <v>1.5778527278083958</v>
      </c>
    </row>
    <row r="16" spans="1:9" hidden="1">
      <c r="A16" s="23"/>
      <c r="B16" s="23" t="s">
        <v>42</v>
      </c>
      <c r="C16" s="24" t="s">
        <v>75</v>
      </c>
      <c r="D16" s="25" t="s">
        <v>76</v>
      </c>
      <c r="E16" s="26">
        <v>2120.4018352529865</v>
      </c>
      <c r="F16" s="26">
        <v>33.707750999745237</v>
      </c>
      <c r="G16" s="100"/>
      <c r="H16" s="26"/>
    </row>
    <row r="17" spans="1:9" hidden="1">
      <c r="A17" s="23"/>
      <c r="B17" s="23" t="s">
        <v>42</v>
      </c>
      <c r="C17" s="24" t="s">
        <v>80</v>
      </c>
      <c r="D17" s="25" t="s">
        <v>81</v>
      </c>
      <c r="E17" s="26">
        <v>1449.3081867202857</v>
      </c>
      <c r="F17" s="26">
        <v>23.039462929926675</v>
      </c>
      <c r="G17" s="100"/>
      <c r="H17" s="26"/>
    </row>
    <row r="18" spans="1:9" hidden="1">
      <c r="A18" s="23"/>
      <c r="B18" s="23" t="s">
        <v>42</v>
      </c>
      <c r="C18" s="24" t="s">
        <v>84</v>
      </c>
      <c r="D18" s="25" t="s">
        <v>85</v>
      </c>
      <c r="E18" s="26">
        <v>1134.6379912797011</v>
      </c>
      <c r="F18" s="26">
        <v>18.037191936472791</v>
      </c>
      <c r="G18" s="100"/>
      <c r="H18" s="26"/>
    </row>
    <row r="19" spans="1:9" hidden="1">
      <c r="A19" s="18"/>
      <c r="B19" s="18" t="s">
        <v>42</v>
      </c>
      <c r="C19" s="19" t="s">
        <v>91</v>
      </c>
      <c r="D19" s="20" t="s">
        <v>92</v>
      </c>
      <c r="E19" s="21">
        <v>731.76903177516169</v>
      </c>
      <c r="F19" s="21">
        <v>11.632836711565504</v>
      </c>
      <c r="G19" s="100"/>
      <c r="H19" s="21"/>
    </row>
    <row r="20" spans="1:9">
      <c r="A20" s="9" t="s">
        <v>19</v>
      </c>
      <c r="B20" s="9" t="s">
        <v>47</v>
      </c>
      <c r="C20" s="10" t="s">
        <v>48</v>
      </c>
      <c r="D20" s="11"/>
      <c r="E20" s="12">
        <v>15643.131228180451</v>
      </c>
      <c r="F20" s="12">
        <v>100</v>
      </c>
      <c r="G20" s="101"/>
      <c r="H20" s="12">
        <v>5985.5239503518715</v>
      </c>
      <c r="I20">
        <f>H20/SUM($H$3:$H$129)*100</f>
        <v>5.2262228338387828</v>
      </c>
    </row>
    <row r="21" spans="1:9" hidden="1">
      <c r="A21" s="18"/>
      <c r="B21" s="18" t="s">
        <v>47</v>
      </c>
      <c r="C21" s="19" t="s">
        <v>97</v>
      </c>
      <c r="D21" s="20" t="s">
        <v>98</v>
      </c>
      <c r="E21" s="21">
        <v>12582.036219753147</v>
      </c>
      <c r="F21" s="21">
        <v>80.431698975248196</v>
      </c>
      <c r="G21" s="100"/>
      <c r="H21" s="21"/>
    </row>
    <row r="22" spans="1:9">
      <c r="A22" s="9" t="s">
        <v>19</v>
      </c>
      <c r="B22" s="9" t="s">
        <v>50</v>
      </c>
      <c r="C22" s="10" t="s">
        <v>51</v>
      </c>
      <c r="D22" s="11"/>
      <c r="E22" s="12">
        <v>5704.068465810009</v>
      </c>
      <c r="F22" s="12">
        <v>100</v>
      </c>
      <c r="G22" s="101"/>
      <c r="H22" s="12">
        <v>2423.5002888761296</v>
      </c>
      <c r="I22">
        <f>H22/SUM($H$3:$H$129)*100</f>
        <v>2.1160641328307994</v>
      </c>
    </row>
    <row r="23" spans="1:9" hidden="1">
      <c r="A23" s="23"/>
      <c r="B23" s="23" t="s">
        <v>50</v>
      </c>
      <c r="C23" s="24" t="s">
        <v>104</v>
      </c>
      <c r="D23" s="25" t="s">
        <v>105</v>
      </c>
      <c r="E23" s="26">
        <v>3833.6388060677555</v>
      </c>
      <c r="F23" s="26">
        <v>67.208849771815593</v>
      </c>
      <c r="G23" s="100"/>
      <c r="H23" s="26"/>
    </row>
    <row r="24" spans="1:9" hidden="1">
      <c r="A24" s="18"/>
      <c r="B24" s="18" t="s">
        <v>50</v>
      </c>
      <c r="C24" s="19" t="s">
        <v>109</v>
      </c>
      <c r="D24" s="20" t="s">
        <v>110</v>
      </c>
      <c r="E24" s="21">
        <v>1815.5238904066593</v>
      </c>
      <c r="F24" s="21">
        <v>31.828578168176758</v>
      </c>
      <c r="G24" s="100"/>
      <c r="H24" s="21"/>
    </row>
    <row r="25" spans="1:9">
      <c r="A25" s="9" t="s">
        <v>19</v>
      </c>
      <c r="B25" s="9" t="s">
        <v>54</v>
      </c>
      <c r="C25" s="10" t="s">
        <v>55</v>
      </c>
      <c r="D25" s="11"/>
      <c r="E25" s="12">
        <v>4078.0056753200997</v>
      </c>
      <c r="F25" s="12">
        <v>100</v>
      </c>
      <c r="G25" s="101"/>
      <c r="H25" s="12">
        <v>1353.0552302349697</v>
      </c>
      <c r="I25">
        <f>H25/SUM($H$3:$H$129)*100</f>
        <v>1.181411719066513</v>
      </c>
    </row>
    <row r="26" spans="1:9" hidden="1">
      <c r="A26" s="18"/>
      <c r="B26" s="18" t="s">
        <v>54</v>
      </c>
      <c r="C26" s="19" t="s">
        <v>115</v>
      </c>
      <c r="D26" s="20" t="s">
        <v>116</v>
      </c>
      <c r="E26" s="21">
        <v>3554.1725279777665</v>
      </c>
      <c r="F26" s="21">
        <v>87.154673410276331</v>
      </c>
      <c r="G26" s="100"/>
      <c r="H26" s="21"/>
    </row>
    <row r="27" spans="1:9">
      <c r="A27" s="9" t="s">
        <v>19</v>
      </c>
      <c r="B27" s="9" t="s">
        <v>57</v>
      </c>
      <c r="C27" s="10" t="s">
        <v>58</v>
      </c>
      <c r="D27" s="11"/>
      <c r="E27" s="12">
        <v>1694.4916509209452</v>
      </c>
      <c r="F27" s="12">
        <v>100</v>
      </c>
      <c r="G27" s="101"/>
      <c r="H27" s="12">
        <v>886.72013398030901</v>
      </c>
      <c r="I27">
        <f>H27/SUM($H$3:$H$129)*100</f>
        <v>0.77423414388978351</v>
      </c>
    </row>
    <row r="28" spans="1:9" hidden="1">
      <c r="A28" s="23"/>
      <c r="B28" s="23" t="s">
        <v>57</v>
      </c>
      <c r="C28" s="24" t="s">
        <v>122</v>
      </c>
      <c r="D28" s="25" t="s">
        <v>123</v>
      </c>
      <c r="E28" s="26">
        <v>1085.1922089046941</v>
      </c>
      <c r="F28" s="26">
        <v>64.042346170009111</v>
      </c>
      <c r="G28" s="100"/>
      <c r="H28" s="26"/>
    </row>
    <row r="29" spans="1:9" hidden="1">
      <c r="A29" s="18"/>
      <c r="B29" s="18" t="s">
        <v>57</v>
      </c>
      <c r="C29" s="19" t="s">
        <v>127</v>
      </c>
      <c r="D29" s="20" t="s">
        <v>128</v>
      </c>
      <c r="E29" s="21">
        <v>424.9214807025545</v>
      </c>
      <c r="F29" s="21">
        <v>25.076634663358327</v>
      </c>
      <c r="G29" s="100"/>
      <c r="H29" s="21"/>
    </row>
    <row r="30" spans="1:9">
      <c r="A30" s="9" t="s">
        <v>19</v>
      </c>
      <c r="B30" s="9" t="s">
        <v>63</v>
      </c>
      <c r="C30" s="10" t="s">
        <v>64</v>
      </c>
      <c r="D30" s="11"/>
      <c r="E30" s="12">
        <v>2608.9432924843286</v>
      </c>
      <c r="F30" s="12">
        <v>100</v>
      </c>
      <c r="G30" s="101"/>
      <c r="H30" s="12">
        <v>1103.8416878583516</v>
      </c>
      <c r="I30">
        <f>H30/SUM($H$3:$H$129)*100</f>
        <v>0.96381247187045715</v>
      </c>
    </row>
    <row r="31" spans="1:9" hidden="1">
      <c r="A31" s="23"/>
      <c r="B31" s="23" t="s">
        <v>63</v>
      </c>
      <c r="C31" s="24" t="s">
        <v>127</v>
      </c>
      <c r="D31" s="25" t="s">
        <v>128</v>
      </c>
      <c r="E31" s="26">
        <v>1992.2121579562902</v>
      </c>
      <c r="F31" s="26">
        <v>76.36088387567959</v>
      </c>
      <c r="G31" s="100"/>
      <c r="H31" s="26"/>
    </row>
    <row r="32" spans="1:9" hidden="1">
      <c r="A32" s="18"/>
      <c r="B32" s="18" t="s">
        <v>63</v>
      </c>
      <c r="C32" s="19" t="s">
        <v>136</v>
      </c>
      <c r="D32" s="20" t="s">
        <v>137</v>
      </c>
      <c r="E32" s="21">
        <v>367.22096486407884</v>
      </c>
      <c r="F32" s="21">
        <v>14.075467486086982</v>
      </c>
      <c r="G32" s="100"/>
      <c r="H32" s="21"/>
    </row>
    <row r="33" spans="1:9">
      <c r="A33" s="9" t="s">
        <v>19</v>
      </c>
      <c r="B33" s="9" t="s">
        <v>68</v>
      </c>
      <c r="C33" s="10" t="s">
        <v>69</v>
      </c>
      <c r="D33" s="11"/>
      <c r="E33" s="12">
        <v>2299.0025424509777</v>
      </c>
      <c r="F33" s="12">
        <v>100</v>
      </c>
      <c r="G33" s="101"/>
      <c r="H33" s="12">
        <v>1371.7754943576977</v>
      </c>
      <c r="I33">
        <f>H33/SUM($H$3:$H$129)*100</f>
        <v>1.1977572007027435</v>
      </c>
    </row>
    <row r="34" spans="1:9" hidden="1">
      <c r="A34" s="18"/>
      <c r="B34" s="18" t="s">
        <v>68</v>
      </c>
      <c r="C34" s="19" t="s">
        <v>142</v>
      </c>
      <c r="D34" s="20" t="s">
        <v>143</v>
      </c>
      <c r="E34" s="21">
        <v>2226.3365158993074</v>
      </c>
      <c r="F34" s="21">
        <v>96.839236790308163</v>
      </c>
      <c r="G34" s="100"/>
      <c r="H34" s="21"/>
    </row>
    <row r="35" spans="1:9">
      <c r="A35" s="9" t="s">
        <v>19</v>
      </c>
      <c r="B35" s="9" t="s">
        <v>72</v>
      </c>
      <c r="C35" s="10" t="s">
        <v>73</v>
      </c>
      <c r="D35" s="11"/>
      <c r="E35" s="12">
        <v>13772.923954393016</v>
      </c>
      <c r="F35" s="12">
        <v>100</v>
      </c>
      <c r="G35" s="101"/>
      <c r="H35" s="12">
        <v>6438.0078180105111</v>
      </c>
      <c r="I35">
        <f>H35/SUM($H$3:$H$129)*100</f>
        <v>5.6213062953229285</v>
      </c>
    </row>
    <row r="36" spans="1:9" hidden="1">
      <c r="A36" s="23"/>
      <c r="B36" s="23" t="s">
        <v>72</v>
      </c>
      <c r="C36" s="24" t="s">
        <v>149</v>
      </c>
      <c r="D36" s="25" t="s">
        <v>150</v>
      </c>
      <c r="E36" s="26">
        <v>10902.946074816435</v>
      </c>
      <c r="F36" s="26">
        <v>79.162174356875241</v>
      </c>
      <c r="G36" s="100"/>
      <c r="H36" s="26"/>
    </row>
    <row r="37" spans="1:9" hidden="1">
      <c r="A37" s="18"/>
      <c r="B37" s="18" t="s">
        <v>72</v>
      </c>
      <c r="C37" s="19" t="s">
        <v>154</v>
      </c>
      <c r="D37" s="20" t="s">
        <v>155</v>
      </c>
      <c r="E37" s="21">
        <v>2681.7031074179308</v>
      </c>
      <c r="F37" s="21">
        <v>19.470833617451099</v>
      </c>
      <c r="G37" s="100"/>
      <c r="H37" s="21"/>
    </row>
    <row r="38" spans="1:9">
      <c r="A38" s="9" t="s">
        <v>19</v>
      </c>
      <c r="B38" s="9" t="s">
        <v>77</v>
      </c>
      <c r="C38" s="10" t="s">
        <v>78</v>
      </c>
      <c r="D38" s="11"/>
      <c r="E38" s="12">
        <v>11657.460935015724</v>
      </c>
      <c r="F38" s="12">
        <v>100</v>
      </c>
      <c r="G38" s="101"/>
      <c r="H38" s="12">
        <v>6276.0967575210734</v>
      </c>
      <c r="I38">
        <f>H38/SUM($H$3:$H$129)*100</f>
        <v>5.4799346646353237</v>
      </c>
    </row>
    <row r="39" spans="1:9" hidden="1">
      <c r="A39" s="18"/>
      <c r="B39" s="18" t="s">
        <v>77</v>
      </c>
      <c r="C39" s="19" t="s">
        <v>160</v>
      </c>
      <c r="D39" s="20" t="s">
        <v>161</v>
      </c>
      <c r="E39" s="21">
        <v>11596.061795543999</v>
      </c>
      <c r="F39" s="21">
        <v>99.473306067127368</v>
      </c>
      <c r="G39" s="100"/>
      <c r="H39" s="21"/>
    </row>
    <row r="40" spans="1:9">
      <c r="A40" s="9" t="s">
        <v>19</v>
      </c>
      <c r="B40" s="9" t="s">
        <v>82</v>
      </c>
      <c r="C40" s="10" t="s">
        <v>83</v>
      </c>
      <c r="D40" s="11"/>
      <c r="E40" s="12">
        <v>14046.281418581602</v>
      </c>
      <c r="F40" s="12">
        <v>100</v>
      </c>
      <c r="G40" s="101"/>
      <c r="H40" s="12">
        <v>4163.3266540507757</v>
      </c>
      <c r="I40">
        <f>H40/SUM($H$3:$H$129)*100</f>
        <v>3.635182651445354</v>
      </c>
    </row>
    <row r="41" spans="1:9" hidden="1">
      <c r="A41" s="18"/>
      <c r="B41" s="18" t="s">
        <v>82</v>
      </c>
      <c r="C41" s="19" t="s">
        <v>167</v>
      </c>
      <c r="D41" s="20" t="s">
        <v>168</v>
      </c>
      <c r="E41" s="21">
        <v>12280.494592792595</v>
      </c>
      <c r="F41" s="21">
        <v>87.428795044266465</v>
      </c>
      <c r="G41" s="100"/>
      <c r="H41" s="21"/>
    </row>
    <row r="42" spans="1:9">
      <c r="A42" s="9" t="s">
        <v>19</v>
      </c>
      <c r="B42" s="9" t="s">
        <v>86</v>
      </c>
      <c r="C42" s="10" t="s">
        <v>87</v>
      </c>
      <c r="D42" s="11"/>
      <c r="E42" s="12">
        <v>2257.5409953114631</v>
      </c>
      <c r="F42" s="12">
        <v>100</v>
      </c>
      <c r="G42" s="101"/>
      <c r="H42" s="12">
        <v>773.3460901736164</v>
      </c>
      <c r="I42">
        <f>H42/SUM($H$3:$H$129)*100</f>
        <v>0.67524230601194113</v>
      </c>
    </row>
    <row r="43" spans="1:9" hidden="1">
      <c r="A43" s="18"/>
      <c r="B43" s="18" t="s">
        <v>86</v>
      </c>
      <c r="C43" s="19" t="s">
        <v>174</v>
      </c>
      <c r="D43" s="20" t="s">
        <v>175</v>
      </c>
      <c r="E43" s="21">
        <v>2056.9972923677001</v>
      </c>
      <c r="F43" s="21">
        <v>91.116719326016266</v>
      </c>
      <c r="G43" s="100"/>
      <c r="H43" s="21"/>
    </row>
    <row r="44" spans="1:9">
      <c r="A44" s="9" t="s">
        <v>19</v>
      </c>
      <c r="B44" s="9" t="s">
        <v>93</v>
      </c>
      <c r="C44" s="10" t="s">
        <v>94</v>
      </c>
      <c r="D44" s="11"/>
      <c r="E44" s="12">
        <v>1218.6848077550624</v>
      </c>
      <c r="F44" s="12">
        <v>100</v>
      </c>
      <c r="G44" s="101"/>
      <c r="H44" s="12">
        <v>549.84420616172156</v>
      </c>
      <c r="I44">
        <f>H44/SUM($H$3:$H$129)*100</f>
        <v>0.48009303264544079</v>
      </c>
    </row>
    <row r="45" spans="1:9" hidden="1">
      <c r="A45" s="18"/>
      <c r="B45" s="18" t="s">
        <v>93</v>
      </c>
      <c r="C45" s="19" t="s">
        <v>181</v>
      </c>
      <c r="D45" s="20" t="s">
        <v>182</v>
      </c>
      <c r="E45" s="21">
        <v>1163.3132093259583</v>
      </c>
      <c r="F45" s="21">
        <v>95.456446320102728</v>
      </c>
      <c r="G45" s="100"/>
      <c r="H45" s="21"/>
    </row>
    <row r="46" spans="1:9">
      <c r="A46" s="9" t="s">
        <v>19</v>
      </c>
      <c r="B46" s="9" t="s">
        <v>95</v>
      </c>
      <c r="C46" s="10" t="s">
        <v>96</v>
      </c>
      <c r="D46" s="11"/>
      <c r="E46" s="12">
        <v>9306.9636809697568</v>
      </c>
      <c r="F46" s="12">
        <v>100</v>
      </c>
      <c r="G46" s="101"/>
      <c r="H46" s="12">
        <v>4092.6624936139015</v>
      </c>
      <c r="I46">
        <f>H46/SUM($H$3:$H$129)*100</f>
        <v>3.5734826813387222</v>
      </c>
    </row>
    <row r="47" spans="1:9" hidden="1">
      <c r="A47" s="18"/>
      <c r="B47" s="18" t="s">
        <v>95</v>
      </c>
      <c r="C47" s="19" t="s">
        <v>136</v>
      </c>
      <c r="D47" s="20" t="s">
        <v>137</v>
      </c>
      <c r="E47" s="21">
        <v>8911.0524723613144</v>
      </c>
      <c r="F47" s="21">
        <v>95.74607549594316</v>
      </c>
      <c r="G47" s="100"/>
      <c r="H47" s="21"/>
    </row>
    <row r="48" spans="1:9">
      <c r="A48" s="9" t="s">
        <v>19</v>
      </c>
      <c r="B48" s="9" t="s">
        <v>99</v>
      </c>
      <c r="C48" s="10" t="s">
        <v>100</v>
      </c>
      <c r="D48" s="11"/>
      <c r="E48" s="12">
        <v>7523.7923091811699</v>
      </c>
      <c r="F48" s="12">
        <v>100</v>
      </c>
      <c r="G48" s="101"/>
      <c r="H48" s="12">
        <v>3087.1455844328711</v>
      </c>
      <c r="I48">
        <f>H48/SUM($H$3:$H$129)*100</f>
        <v>2.695521875540932</v>
      </c>
    </row>
    <row r="49" spans="1:9" hidden="1">
      <c r="A49" s="18"/>
      <c r="B49" s="18" t="s">
        <v>99</v>
      </c>
      <c r="C49" s="19" t="s">
        <v>193</v>
      </c>
      <c r="D49" s="20" t="s">
        <v>194</v>
      </c>
      <c r="E49" s="21">
        <v>7429.9258803018492</v>
      </c>
      <c r="F49" s="21">
        <v>98.752405369234125</v>
      </c>
      <c r="G49" s="100"/>
      <c r="H49" s="21"/>
    </row>
    <row r="50" spans="1:9">
      <c r="A50" s="9" t="s">
        <v>19</v>
      </c>
      <c r="B50" s="9" t="s">
        <v>102</v>
      </c>
      <c r="C50" s="10" t="s">
        <v>103</v>
      </c>
      <c r="D50" s="11"/>
      <c r="E50" s="12">
        <v>879.39370169610845</v>
      </c>
      <c r="F50" s="12">
        <v>100</v>
      </c>
      <c r="G50" s="101"/>
      <c r="H50" s="12">
        <v>235.18880396910265</v>
      </c>
      <c r="I50">
        <f>H50/SUM($H$3:$H$129)*100</f>
        <v>0.20535363449582381</v>
      </c>
    </row>
    <row r="51" spans="1:9" hidden="1">
      <c r="A51" s="18"/>
      <c r="B51" s="18" t="s">
        <v>102</v>
      </c>
      <c r="C51" s="19" t="s">
        <v>200</v>
      </c>
      <c r="D51" s="20" t="s">
        <v>201</v>
      </c>
      <c r="E51" s="21">
        <v>803.48521515158154</v>
      </c>
      <c r="F51" s="21">
        <v>91.368088445696131</v>
      </c>
      <c r="G51" s="100"/>
      <c r="H51" s="21"/>
    </row>
    <row r="52" spans="1:9">
      <c r="A52" s="9" t="s">
        <v>19</v>
      </c>
      <c r="B52" s="9" t="s">
        <v>106</v>
      </c>
      <c r="C52" s="10" t="s">
        <v>107</v>
      </c>
      <c r="D52" s="11"/>
      <c r="E52" s="12">
        <v>38.215260484391642</v>
      </c>
      <c r="F52" s="12">
        <v>100</v>
      </c>
      <c r="G52" s="101"/>
      <c r="H52" s="12">
        <v>16.476814608366038</v>
      </c>
      <c r="I52">
        <f>H52/SUM($H$3:$H$129)*100</f>
        <v>1.4386627712033258E-2</v>
      </c>
    </row>
    <row r="53" spans="1:9" hidden="1">
      <c r="A53" s="18"/>
      <c r="B53" s="18" t="s">
        <v>106</v>
      </c>
      <c r="C53" s="19" t="s">
        <v>207</v>
      </c>
      <c r="D53" s="20" t="s">
        <v>208</v>
      </c>
      <c r="E53" s="21">
        <v>35.10522907617964</v>
      </c>
      <c r="F53" s="21">
        <v>91.861807642310225</v>
      </c>
      <c r="G53" s="100"/>
      <c r="H53" s="21"/>
    </row>
    <row r="54" spans="1:9">
      <c r="A54" s="9" t="s">
        <v>19</v>
      </c>
      <c r="B54" s="9" t="s">
        <v>111</v>
      </c>
      <c r="C54" s="10" t="s">
        <v>112</v>
      </c>
      <c r="D54" s="11"/>
      <c r="E54" s="12">
        <v>3428.6402603418906</v>
      </c>
      <c r="F54" s="12">
        <v>100</v>
      </c>
      <c r="G54" s="101"/>
      <c r="H54" s="12">
        <v>937.93929040886724</v>
      </c>
      <c r="I54">
        <f>H54/SUM($H$3:$H$129)*100</f>
        <v>0.81895583025796781</v>
      </c>
    </row>
    <row r="55" spans="1:9" hidden="1">
      <c r="A55" s="23"/>
      <c r="B55" s="23" t="s">
        <v>111</v>
      </c>
      <c r="C55" s="24" t="s">
        <v>214</v>
      </c>
      <c r="D55" s="25" t="s">
        <v>215</v>
      </c>
      <c r="E55" s="26">
        <v>2998.2345878029055</v>
      </c>
      <c r="F55" s="26">
        <v>87.446753235754542</v>
      </c>
      <c r="G55" s="100"/>
      <c r="H55" s="26"/>
    </row>
    <row r="56" spans="1:9" hidden="1">
      <c r="A56" s="18"/>
      <c r="B56" s="18" t="s">
        <v>111</v>
      </c>
      <c r="C56" s="19" t="s">
        <v>219</v>
      </c>
      <c r="D56" s="20" t="s">
        <v>220</v>
      </c>
      <c r="E56" s="21">
        <v>329.23212490510099</v>
      </c>
      <c r="F56" s="21">
        <v>9.6024108657077729</v>
      </c>
      <c r="G56" s="100"/>
      <c r="H56" s="21"/>
    </row>
    <row r="57" spans="1:9">
      <c r="A57" s="9" t="s">
        <v>19</v>
      </c>
      <c r="B57" s="9" t="s">
        <v>113</v>
      </c>
      <c r="C57" s="10" t="s">
        <v>114</v>
      </c>
      <c r="D57" s="11"/>
      <c r="E57" s="12">
        <v>16590.236747271294</v>
      </c>
      <c r="F57" s="12">
        <v>100</v>
      </c>
      <c r="G57" s="101"/>
      <c r="H57" s="12">
        <v>4825.2400497649924</v>
      </c>
      <c r="I57">
        <f>H57/SUM($H$3:$H$129)*100</f>
        <v>4.2131281966305911</v>
      </c>
    </row>
    <row r="58" spans="1:9" hidden="1">
      <c r="A58" s="18"/>
      <c r="B58" s="18" t="s">
        <v>113</v>
      </c>
      <c r="C58" s="19" t="s">
        <v>91</v>
      </c>
      <c r="D58" s="20" t="s">
        <v>92</v>
      </c>
      <c r="E58" s="21">
        <v>13464.372045382079</v>
      </c>
      <c r="F58" s="21">
        <v>81.158408107688118</v>
      </c>
      <c r="G58" s="100"/>
      <c r="H58" s="21"/>
    </row>
    <row r="59" spans="1:9">
      <c r="A59" s="9" t="s">
        <v>19</v>
      </c>
      <c r="B59" s="9" t="s">
        <v>117</v>
      </c>
      <c r="C59" s="10" t="s">
        <v>118</v>
      </c>
      <c r="D59" s="11"/>
      <c r="E59" s="12">
        <v>592.10473339875182</v>
      </c>
      <c r="F59" s="12">
        <v>100</v>
      </c>
      <c r="G59" s="101"/>
      <c r="H59" s="12">
        <v>188.62449576494731</v>
      </c>
      <c r="I59">
        <f>H59/SUM($H$3:$H$129)*100</f>
        <v>0.16469629976673011</v>
      </c>
    </row>
    <row r="60" spans="1:9" hidden="1">
      <c r="A60" s="18"/>
      <c r="B60" s="18" t="s">
        <v>117</v>
      </c>
      <c r="C60" s="19" t="s">
        <v>222</v>
      </c>
      <c r="D60" s="20" t="s">
        <v>223</v>
      </c>
      <c r="E60" s="21">
        <v>543.99873855699116</v>
      </c>
      <c r="F60" s="21">
        <v>91.875424713187726</v>
      </c>
      <c r="G60" s="100"/>
      <c r="H60" s="21"/>
    </row>
    <row r="61" spans="1:9">
      <c r="A61" s="9" t="s">
        <v>19</v>
      </c>
      <c r="B61" s="9" t="s">
        <v>120</v>
      </c>
      <c r="C61" s="10" t="s">
        <v>121</v>
      </c>
      <c r="D61" s="11"/>
      <c r="E61" s="12">
        <v>4025.3308073487096</v>
      </c>
      <c r="F61" s="12">
        <v>100</v>
      </c>
      <c r="G61" s="101"/>
      <c r="H61" s="12">
        <v>1178.792065701381</v>
      </c>
      <c r="I61">
        <f>H61/SUM($H$3:$H$129)*100</f>
        <v>1.0292549259207926</v>
      </c>
    </row>
    <row r="62" spans="1:9" hidden="1">
      <c r="A62" s="23"/>
      <c r="B62" s="23" t="s">
        <v>120</v>
      </c>
      <c r="C62" s="24" t="s">
        <v>225</v>
      </c>
      <c r="D62" s="25" t="s">
        <v>226</v>
      </c>
      <c r="E62" s="26">
        <v>3041.0786451123008</v>
      </c>
      <c r="F62" s="26">
        <v>75.548539751328221</v>
      </c>
      <c r="G62" s="100"/>
      <c r="H62" s="26"/>
    </row>
    <row r="63" spans="1:9" hidden="1">
      <c r="A63" s="18"/>
      <c r="B63" s="18" t="s">
        <v>120</v>
      </c>
      <c r="C63" s="19" t="s">
        <v>142</v>
      </c>
      <c r="D63" s="20" t="s">
        <v>143</v>
      </c>
      <c r="E63" s="21">
        <v>727.34211651231885</v>
      </c>
      <c r="F63" s="21">
        <v>18.069126522085373</v>
      </c>
      <c r="G63" s="100"/>
      <c r="H63" s="21"/>
    </row>
    <row r="64" spans="1:9">
      <c r="A64" s="9" t="s">
        <v>19</v>
      </c>
      <c r="B64" s="9" t="s">
        <v>124</v>
      </c>
      <c r="C64" s="10" t="s">
        <v>125</v>
      </c>
      <c r="D64" s="11"/>
      <c r="E64" s="12">
        <v>4462.3933199397816</v>
      </c>
      <c r="F64" s="12">
        <v>100</v>
      </c>
      <c r="G64" s="101"/>
      <c r="H64" s="12">
        <v>1891.3110325689245</v>
      </c>
      <c r="I64">
        <f>H64/SUM($H$3:$H$129)*100</f>
        <v>1.6513864093254265</v>
      </c>
    </row>
    <row r="65" spans="1:9" hidden="1">
      <c r="A65" s="18"/>
      <c r="B65" s="18" t="s">
        <v>124</v>
      </c>
      <c r="C65" s="19" t="s">
        <v>228</v>
      </c>
      <c r="D65" s="20" t="s">
        <v>229</v>
      </c>
      <c r="E65" s="21">
        <v>3868.8442420131305</v>
      </c>
      <c r="F65" s="21">
        <v>86.698862350962358</v>
      </c>
      <c r="G65" s="100"/>
      <c r="H65" s="21"/>
    </row>
    <row r="66" spans="1:9">
      <c r="A66" s="9" t="s">
        <v>19</v>
      </c>
      <c r="B66" s="9" t="s">
        <v>129</v>
      </c>
      <c r="C66" s="10" t="s">
        <v>130</v>
      </c>
      <c r="D66" s="11"/>
      <c r="E66" s="12">
        <v>15213.014226648746</v>
      </c>
      <c r="F66" s="12">
        <v>100</v>
      </c>
      <c r="G66" s="101"/>
      <c r="H66" s="12">
        <v>7374.9790719205166</v>
      </c>
      <c r="I66">
        <f>H66/SUM($H$3:$H$129)*100</f>
        <v>6.4394168905611533</v>
      </c>
    </row>
    <row r="67" spans="1:9" hidden="1">
      <c r="A67" s="23"/>
      <c r="B67" s="23" t="s">
        <v>129</v>
      </c>
      <c r="C67" s="24" t="s">
        <v>231</v>
      </c>
      <c r="D67" s="25" t="s">
        <v>232</v>
      </c>
      <c r="E67" s="26">
        <v>9841.3733200490478</v>
      </c>
      <c r="F67" s="26">
        <v>64.69048916558458</v>
      </c>
      <c r="G67" s="100"/>
      <c r="H67" s="26"/>
    </row>
    <row r="68" spans="1:9" hidden="1">
      <c r="A68" s="18"/>
      <c r="B68" s="18" t="s">
        <v>129</v>
      </c>
      <c r="C68" s="19" t="s">
        <v>142</v>
      </c>
      <c r="D68" s="20" t="s">
        <v>143</v>
      </c>
      <c r="E68" s="21">
        <v>4795.2754242084529</v>
      </c>
      <c r="F68" s="21">
        <v>31.52087648618993</v>
      </c>
      <c r="G68" s="100"/>
      <c r="H68" s="21"/>
    </row>
    <row r="69" spans="1:9">
      <c r="A69" s="9" t="s">
        <v>19</v>
      </c>
      <c r="B69" s="9" t="s">
        <v>131</v>
      </c>
      <c r="C69" s="10" t="s">
        <v>132</v>
      </c>
      <c r="D69" s="11"/>
      <c r="E69" s="12">
        <v>1107.7907259689687</v>
      </c>
      <c r="F69" s="12">
        <v>100</v>
      </c>
      <c r="G69" s="101"/>
      <c r="H69" s="12">
        <v>417.02371439829517</v>
      </c>
      <c r="I69">
        <f>H69/SUM($H$3:$H$129)*100</f>
        <v>0.36412165025461296</v>
      </c>
    </row>
    <row r="70" spans="1:9" hidden="1">
      <c r="A70" s="23"/>
      <c r="B70" s="23" t="s">
        <v>131</v>
      </c>
      <c r="C70" s="24" t="s">
        <v>239</v>
      </c>
      <c r="D70" s="25" t="s">
        <v>240</v>
      </c>
      <c r="E70" s="26">
        <v>781.86290924823822</v>
      </c>
      <c r="F70" s="26">
        <v>70.578575079183295</v>
      </c>
      <c r="G70" s="100"/>
      <c r="H70" s="26"/>
    </row>
    <row r="71" spans="1:9" hidden="1">
      <c r="A71" s="18"/>
      <c r="B71" s="18" t="s">
        <v>131</v>
      </c>
      <c r="C71" s="19" t="s">
        <v>242</v>
      </c>
      <c r="D71" s="20" t="s">
        <v>243</v>
      </c>
      <c r="E71" s="21">
        <v>325.52008692533263</v>
      </c>
      <c r="F71" s="21">
        <v>29.384619251132012</v>
      </c>
      <c r="G71" s="100"/>
      <c r="H71" s="21"/>
    </row>
    <row r="72" spans="1:9">
      <c r="A72" s="9" t="s">
        <v>19</v>
      </c>
      <c r="B72" s="9" t="s">
        <v>133</v>
      </c>
      <c r="C72" s="10" t="s">
        <v>134</v>
      </c>
      <c r="D72" s="11"/>
      <c r="E72" s="12">
        <v>1965.1932783867271</v>
      </c>
      <c r="F72" s="12">
        <v>100</v>
      </c>
      <c r="G72" s="101"/>
      <c r="H72" s="12">
        <v>803.93246806586671</v>
      </c>
      <c r="I72">
        <f>H72/SUM($H$3:$H$129)*100</f>
        <v>0.70194861073493919</v>
      </c>
    </row>
    <row r="73" spans="1:9" hidden="1">
      <c r="A73" s="18"/>
      <c r="B73" s="18" t="s">
        <v>133</v>
      </c>
      <c r="C73" s="19" t="s">
        <v>244</v>
      </c>
      <c r="D73" s="20" t="s">
        <v>245</v>
      </c>
      <c r="E73" s="21">
        <v>1729.9756450814734</v>
      </c>
      <c r="F73" s="21">
        <v>88.030814277038985</v>
      </c>
      <c r="G73" s="100"/>
      <c r="H73" s="21"/>
    </row>
    <row r="74" spans="1:9">
      <c r="A74" s="9" t="s">
        <v>19</v>
      </c>
      <c r="B74" s="9" t="s">
        <v>138</v>
      </c>
      <c r="C74" s="10" t="s">
        <v>139</v>
      </c>
      <c r="D74" s="11"/>
      <c r="E74" s="12">
        <v>3596.940240243995</v>
      </c>
      <c r="F74" s="12">
        <v>100</v>
      </c>
      <c r="G74" s="101"/>
      <c r="H74" s="12">
        <v>1348.9566833289769</v>
      </c>
      <c r="I74">
        <f>H74/SUM($H$3:$H$129)*100</f>
        <v>1.1778330984472773</v>
      </c>
    </row>
    <row r="75" spans="1:9" hidden="1">
      <c r="A75" s="18"/>
      <c r="B75" s="18" t="s">
        <v>138</v>
      </c>
      <c r="C75" s="19" t="s">
        <v>247</v>
      </c>
      <c r="D75" s="20" t="s">
        <v>248</v>
      </c>
      <c r="E75" s="21">
        <v>3547.2393941587256</v>
      </c>
      <c r="F75" s="21">
        <v>98.61824654384867</v>
      </c>
      <c r="G75" s="100"/>
      <c r="H75" s="21"/>
    </row>
    <row r="76" spans="1:9">
      <c r="A76" s="9" t="s">
        <v>19</v>
      </c>
      <c r="B76" s="9" t="s">
        <v>140</v>
      </c>
      <c r="C76" s="10" t="s">
        <v>141</v>
      </c>
      <c r="D76" s="11"/>
      <c r="E76" s="12">
        <v>1899.3315434537631</v>
      </c>
      <c r="F76" s="12">
        <v>100</v>
      </c>
      <c r="G76" s="101"/>
      <c r="H76" s="12">
        <v>795.67829208194394</v>
      </c>
      <c r="I76">
        <f>H76/SUM($H$3:$H$129)*100</f>
        <v>0.69474152855474591</v>
      </c>
    </row>
    <row r="77" spans="1:9" hidden="1">
      <c r="A77" s="18"/>
      <c r="B77" s="18" t="s">
        <v>140</v>
      </c>
      <c r="C77" s="19" t="s">
        <v>250</v>
      </c>
      <c r="D77" s="20" t="s">
        <v>251</v>
      </c>
      <c r="E77" s="21">
        <v>1831.1472341090921</v>
      </c>
      <c r="F77" s="21">
        <v>96.410089140062198</v>
      </c>
      <c r="G77" s="100"/>
      <c r="H77" s="21"/>
    </row>
    <row r="78" spans="1:9">
      <c r="A78" s="9" t="s">
        <v>19</v>
      </c>
      <c r="B78" s="9" t="s">
        <v>144</v>
      </c>
      <c r="C78" s="10" t="s">
        <v>145</v>
      </c>
      <c r="D78" s="11"/>
      <c r="E78" s="12">
        <v>9777.3840316938567</v>
      </c>
      <c r="F78" s="12">
        <v>100</v>
      </c>
      <c r="G78" s="101"/>
      <c r="H78" s="12">
        <v>3658.0287512109217</v>
      </c>
      <c r="I78">
        <f>H78/SUM($H$3:$H$129)*100</f>
        <v>3.1939849451765063</v>
      </c>
    </row>
    <row r="79" spans="1:9" hidden="1">
      <c r="A79" s="23"/>
      <c r="B79" s="23" t="s">
        <v>144</v>
      </c>
      <c r="C79" s="24" t="s">
        <v>253</v>
      </c>
      <c r="D79" s="25" t="s">
        <v>254</v>
      </c>
      <c r="E79" s="26">
        <v>4796.4185106293144</v>
      </c>
      <c r="F79" s="26">
        <v>49.056255692539999</v>
      </c>
      <c r="G79" s="100"/>
      <c r="H79" s="26"/>
    </row>
    <row r="80" spans="1:9" hidden="1">
      <c r="A80" s="18"/>
      <c r="B80" s="18" t="s">
        <v>144</v>
      </c>
      <c r="C80" s="19" t="s">
        <v>256</v>
      </c>
      <c r="D80" s="20" t="s">
        <v>257</v>
      </c>
      <c r="E80" s="21">
        <v>4800.0326884576107</v>
      </c>
      <c r="F80" s="21">
        <v>49.093220363423143</v>
      </c>
      <c r="G80" s="100"/>
      <c r="H80" s="21"/>
    </row>
    <row r="81" spans="1:9">
      <c r="A81" s="9" t="s">
        <v>19</v>
      </c>
      <c r="B81" s="9" t="s">
        <v>147</v>
      </c>
      <c r="C81" s="10" t="s">
        <v>148</v>
      </c>
      <c r="D81" s="11"/>
      <c r="E81" s="12">
        <v>3129.201449370215</v>
      </c>
      <c r="F81" s="12">
        <v>100</v>
      </c>
      <c r="G81" s="101"/>
      <c r="H81" s="12">
        <v>1139.7648380113017</v>
      </c>
      <c r="I81">
        <f>H81/SUM($H$3:$H$129)*100</f>
        <v>0.99517854594350952</v>
      </c>
    </row>
    <row r="82" spans="1:9" hidden="1">
      <c r="A82" s="18"/>
      <c r="B82" s="18" t="s">
        <v>147</v>
      </c>
      <c r="C82" s="19" t="s">
        <v>258</v>
      </c>
      <c r="D82" s="20" t="s">
        <v>259</v>
      </c>
      <c r="E82" s="21">
        <v>2649.0154001394794</v>
      </c>
      <c r="F82" s="21">
        <v>84.654677654985164</v>
      </c>
      <c r="G82" s="100"/>
      <c r="H82" s="21"/>
    </row>
    <row r="83" spans="1:9">
      <c r="A83" s="9" t="s">
        <v>19</v>
      </c>
      <c r="B83" s="9" t="s">
        <v>151</v>
      </c>
      <c r="C83" s="10" t="s">
        <v>152</v>
      </c>
      <c r="D83" s="11"/>
      <c r="E83" s="12">
        <v>0</v>
      </c>
      <c r="F83" s="12">
        <v>0</v>
      </c>
      <c r="G83" s="101"/>
      <c r="H83" s="12">
        <v>0</v>
      </c>
      <c r="I83">
        <f>H83/SUM($H$3:$H$129)*100</f>
        <v>0</v>
      </c>
    </row>
    <row r="84" spans="1:9" hidden="1">
      <c r="A84" s="18"/>
      <c r="B84" s="18" t="s">
        <v>151</v>
      </c>
      <c r="C84" s="19" t="s">
        <v>261</v>
      </c>
      <c r="D84" s="20" t="s">
        <v>262</v>
      </c>
      <c r="E84" s="21">
        <v>0</v>
      </c>
      <c r="F84" s="21">
        <v>0</v>
      </c>
      <c r="G84" s="100"/>
      <c r="H84" s="21"/>
    </row>
    <row r="85" spans="1:9">
      <c r="A85" s="9" t="s">
        <v>19</v>
      </c>
      <c r="B85" s="9" t="s">
        <v>156</v>
      </c>
      <c r="C85" s="10" t="s">
        <v>157</v>
      </c>
      <c r="D85" s="11"/>
      <c r="E85" s="12">
        <v>1863.8746548968272</v>
      </c>
      <c r="F85" s="12">
        <v>100</v>
      </c>
      <c r="G85" s="101"/>
      <c r="H85" s="12">
        <v>570.05210369368342</v>
      </c>
      <c r="I85">
        <f>H85/SUM($H$3:$H$129)*100</f>
        <v>0.49773743209675447</v>
      </c>
    </row>
    <row r="86" spans="1:9" hidden="1">
      <c r="A86" s="23"/>
      <c r="B86" s="23" t="s">
        <v>156</v>
      </c>
      <c r="C86" s="24" t="s">
        <v>264</v>
      </c>
      <c r="D86" s="25" t="s">
        <v>265</v>
      </c>
      <c r="E86" s="26">
        <v>1457.5922324298072</v>
      </c>
      <c r="F86" s="26">
        <v>78.202266906756705</v>
      </c>
      <c r="G86" s="100"/>
      <c r="H86" s="26"/>
    </row>
    <row r="87" spans="1:9" hidden="1">
      <c r="A87" s="18"/>
      <c r="B87" s="18" t="s">
        <v>156</v>
      </c>
      <c r="C87" s="19" t="s">
        <v>200</v>
      </c>
      <c r="D87" s="20" t="s">
        <v>201</v>
      </c>
      <c r="E87" s="21">
        <v>396.97639618460835</v>
      </c>
      <c r="F87" s="21">
        <v>21.298449181744068</v>
      </c>
      <c r="G87" s="100"/>
      <c r="H87" s="21"/>
    </row>
    <row r="88" spans="1:9">
      <c r="A88" s="9" t="s">
        <v>19</v>
      </c>
      <c r="B88" s="9" t="s">
        <v>158</v>
      </c>
      <c r="C88" s="10" t="s">
        <v>159</v>
      </c>
      <c r="D88" s="11"/>
      <c r="E88" s="12">
        <v>7515.6707060071139</v>
      </c>
      <c r="F88" s="12">
        <v>100</v>
      </c>
      <c r="G88" s="101"/>
      <c r="H88" s="12">
        <v>3414.7313601142378</v>
      </c>
      <c r="I88">
        <f>H88/SUM($H$3:$H$129)*100</f>
        <v>2.9815513485006226</v>
      </c>
    </row>
    <row r="89" spans="1:9" hidden="1">
      <c r="A89" s="18"/>
      <c r="B89" s="18" t="s">
        <v>158</v>
      </c>
      <c r="C89" s="19" t="s">
        <v>267</v>
      </c>
      <c r="D89" s="20" t="s">
        <v>268</v>
      </c>
      <c r="E89" s="21">
        <v>7300.0247237557996</v>
      </c>
      <c r="F89" s="21">
        <v>97.130715398707494</v>
      </c>
      <c r="G89" s="100"/>
      <c r="H89" s="21"/>
    </row>
    <row r="90" spans="1:9">
      <c r="A90" s="9" t="s">
        <v>19</v>
      </c>
      <c r="B90" s="9" t="s">
        <v>162</v>
      </c>
      <c r="C90" s="10" t="s">
        <v>163</v>
      </c>
      <c r="D90" s="11"/>
      <c r="E90" s="12">
        <v>0</v>
      </c>
      <c r="F90" s="12">
        <v>0</v>
      </c>
      <c r="G90" s="101"/>
      <c r="H90" s="12">
        <v>0</v>
      </c>
      <c r="I90">
        <f>H90/SUM($H$3:$H$129)*100</f>
        <v>0</v>
      </c>
    </row>
    <row r="91" spans="1:9" hidden="1">
      <c r="A91" s="18"/>
      <c r="B91" s="18" t="s">
        <v>162</v>
      </c>
      <c r="C91" s="19" t="s">
        <v>261</v>
      </c>
      <c r="D91" s="20" t="s">
        <v>262</v>
      </c>
      <c r="E91" s="21">
        <v>0</v>
      </c>
      <c r="F91" s="21">
        <v>0</v>
      </c>
      <c r="G91" s="100"/>
      <c r="H91" s="21"/>
    </row>
    <row r="92" spans="1:9">
      <c r="A92" s="9" t="s">
        <v>19</v>
      </c>
      <c r="B92" s="9" t="s">
        <v>165</v>
      </c>
      <c r="C92" s="10" t="s">
        <v>166</v>
      </c>
      <c r="D92" s="11"/>
      <c r="E92" s="12">
        <v>1616.7357246883507</v>
      </c>
      <c r="F92" s="12">
        <v>100</v>
      </c>
      <c r="G92" s="101"/>
      <c r="H92" s="12">
        <v>663.44823122204934</v>
      </c>
      <c r="I92">
        <f>H92/SUM($H$3:$H$129)*100</f>
        <v>0.57928567721774682</v>
      </c>
    </row>
    <row r="93" spans="1:9" hidden="1">
      <c r="A93" s="18"/>
      <c r="B93" s="18" t="s">
        <v>165</v>
      </c>
      <c r="C93" s="19" t="s">
        <v>271</v>
      </c>
      <c r="D93" s="20" t="s">
        <v>272</v>
      </c>
      <c r="E93" s="21">
        <v>1570.7859621835146</v>
      </c>
      <c r="F93" s="21">
        <v>97.157868054552111</v>
      </c>
      <c r="G93" s="100"/>
      <c r="H93" s="21"/>
    </row>
    <row r="94" spans="1:9">
      <c r="A94" s="9" t="s">
        <v>19</v>
      </c>
      <c r="B94" s="9" t="s">
        <v>169</v>
      </c>
      <c r="C94" s="10" t="s">
        <v>170</v>
      </c>
      <c r="D94" s="11"/>
      <c r="E94" s="12">
        <v>8000.6331300555512</v>
      </c>
      <c r="F94" s="12">
        <v>100</v>
      </c>
      <c r="G94" s="101"/>
      <c r="H94" s="12">
        <v>3368.2897042966651</v>
      </c>
      <c r="I94">
        <f>H94/SUM($H$3:$H$129)*100</f>
        <v>2.941001106936421</v>
      </c>
    </row>
    <row r="95" spans="1:9" hidden="1">
      <c r="A95" s="18"/>
      <c r="B95" s="18" t="s">
        <v>169</v>
      </c>
      <c r="C95" s="19" t="s">
        <v>274</v>
      </c>
      <c r="D95" s="20" t="s">
        <v>275</v>
      </c>
      <c r="E95" s="21">
        <v>7802.3490007712408</v>
      </c>
      <c r="F95" s="21">
        <v>97.52164452411364</v>
      </c>
      <c r="G95" s="100"/>
      <c r="H95" s="21"/>
    </row>
    <row r="96" spans="1:9">
      <c r="A96" s="9" t="s">
        <v>19</v>
      </c>
      <c r="B96" s="9" t="s">
        <v>172</v>
      </c>
      <c r="C96" s="10" t="s">
        <v>173</v>
      </c>
      <c r="D96" s="11"/>
      <c r="E96" s="12">
        <v>2600.1522092643813</v>
      </c>
      <c r="F96" s="12">
        <v>100</v>
      </c>
      <c r="G96" s="101"/>
      <c r="H96" s="12">
        <v>1102.9650906601116</v>
      </c>
      <c r="I96">
        <f>H96/SUM($H$3:$H$129)*100</f>
        <v>0.96304707650465093</v>
      </c>
    </row>
    <row r="97" spans="1:9" hidden="1">
      <c r="A97" s="23"/>
      <c r="B97" s="23" t="s">
        <v>172</v>
      </c>
      <c r="C97" s="24" t="s">
        <v>277</v>
      </c>
      <c r="D97" s="25" t="s">
        <v>278</v>
      </c>
      <c r="E97" s="26">
        <v>1320.5993523998222</v>
      </c>
      <c r="F97" s="26">
        <v>50.78930947559558</v>
      </c>
      <c r="G97" s="100"/>
      <c r="H97" s="26"/>
    </row>
    <row r="98" spans="1:9" hidden="1">
      <c r="A98" s="18"/>
      <c r="B98" s="18" t="s">
        <v>172</v>
      </c>
      <c r="C98" s="19" t="s">
        <v>280</v>
      </c>
      <c r="D98" s="20" t="s">
        <v>281</v>
      </c>
      <c r="E98" s="21">
        <v>786.47432360981566</v>
      </c>
      <c r="F98" s="21">
        <v>30.2472417117581</v>
      </c>
      <c r="G98" s="100"/>
      <c r="H98" s="21"/>
    </row>
    <row r="99" spans="1:9">
      <c r="A99" s="9" t="s">
        <v>19</v>
      </c>
      <c r="B99" s="9" t="s">
        <v>176</v>
      </c>
      <c r="C99" s="10" t="s">
        <v>177</v>
      </c>
      <c r="D99" s="11"/>
      <c r="E99" s="12">
        <v>6900.1330537218564</v>
      </c>
      <c r="F99" s="12">
        <v>100</v>
      </c>
      <c r="G99" s="101"/>
      <c r="H99" s="12">
        <v>2792.5611337220171</v>
      </c>
      <c r="I99">
        <f>H99/SUM($H$3:$H$129)*100</f>
        <v>2.4383073032546725</v>
      </c>
    </row>
    <row r="100" spans="1:9" hidden="1">
      <c r="A100" s="23"/>
      <c r="B100" s="23" t="s">
        <v>176</v>
      </c>
      <c r="C100" s="24" t="s">
        <v>282</v>
      </c>
      <c r="D100" s="25" t="s">
        <v>283</v>
      </c>
      <c r="E100" s="26">
        <v>5594.5280663153999</v>
      </c>
      <c r="F100" s="26">
        <v>81.078553453368158</v>
      </c>
      <c r="G100" s="100"/>
      <c r="H100" s="26"/>
    </row>
    <row r="101" spans="1:9" hidden="1">
      <c r="A101" s="18"/>
      <c r="B101" s="18" t="s">
        <v>176</v>
      </c>
      <c r="C101" s="19" t="s">
        <v>267</v>
      </c>
      <c r="D101" s="20" t="s">
        <v>268</v>
      </c>
      <c r="E101" s="21">
        <v>706.9224323895038</v>
      </c>
      <c r="F101" s="21">
        <v>10.245055086411668</v>
      </c>
      <c r="G101" s="100"/>
      <c r="H101" s="21"/>
    </row>
    <row r="102" spans="1:9">
      <c r="A102" s="9" t="s">
        <v>19</v>
      </c>
      <c r="B102" s="9" t="s">
        <v>179</v>
      </c>
      <c r="C102" s="10" t="s">
        <v>180</v>
      </c>
      <c r="D102" s="11"/>
      <c r="E102" s="12">
        <v>1388.3679146927395</v>
      </c>
      <c r="F102" s="12">
        <v>100</v>
      </c>
      <c r="G102" s="101"/>
      <c r="H102" s="12">
        <v>483.32752743729895</v>
      </c>
      <c r="I102">
        <f>H102/SUM($H$3:$H$129)*100</f>
        <v>0.42201441027851166</v>
      </c>
    </row>
    <row r="103" spans="1:9" hidden="1">
      <c r="A103" s="18"/>
      <c r="B103" s="18" t="s">
        <v>179</v>
      </c>
      <c r="C103" s="19" t="s">
        <v>285</v>
      </c>
      <c r="D103" s="20" t="s">
        <v>286</v>
      </c>
      <c r="E103" s="21">
        <v>1190.1347948719049</v>
      </c>
      <c r="F103" s="21">
        <v>85.721859622151683</v>
      </c>
      <c r="G103" s="100"/>
      <c r="H103" s="21"/>
    </row>
    <row r="104" spans="1:9">
      <c r="A104" s="9" t="s">
        <v>19</v>
      </c>
      <c r="B104" s="9" t="s">
        <v>183</v>
      </c>
      <c r="C104" s="10" t="s">
        <v>184</v>
      </c>
      <c r="D104" s="11"/>
      <c r="E104" s="12">
        <v>13793.609049238932</v>
      </c>
      <c r="F104" s="12">
        <v>100</v>
      </c>
      <c r="G104" s="101"/>
      <c r="H104" s="12">
        <v>5601.0551121807366</v>
      </c>
      <c r="I104">
        <f>H104/SUM($H$3:$H$129)*100</f>
        <v>4.8905262703271912</v>
      </c>
    </row>
    <row r="105" spans="1:9" hidden="1">
      <c r="A105" s="18"/>
      <c r="B105" s="18" t="s">
        <v>183</v>
      </c>
      <c r="C105" s="19" t="s">
        <v>288</v>
      </c>
      <c r="D105" s="20" t="s">
        <v>289</v>
      </c>
      <c r="E105" s="21">
        <v>12982.426838528199</v>
      </c>
      <c r="F105" s="21">
        <v>94.119144541395499</v>
      </c>
      <c r="G105" s="100"/>
      <c r="H105" s="21"/>
    </row>
    <row r="106" spans="1:9">
      <c r="A106" s="9" t="s">
        <v>19</v>
      </c>
      <c r="B106" s="9" t="s">
        <v>186</v>
      </c>
      <c r="C106" s="10" t="s">
        <v>187</v>
      </c>
      <c r="D106" s="11"/>
      <c r="E106" s="12">
        <v>1233.0486210314655</v>
      </c>
      <c r="F106" s="12">
        <v>100</v>
      </c>
      <c r="G106" s="101"/>
      <c r="H106" s="12">
        <v>529.08543701265921</v>
      </c>
      <c r="I106">
        <f>H106/SUM($H$3:$H$129)*100</f>
        <v>0.4619676430840407</v>
      </c>
    </row>
    <row r="107" spans="1:9" hidden="1">
      <c r="A107" s="18"/>
      <c r="B107" s="18" t="s">
        <v>186</v>
      </c>
      <c r="C107" s="19" t="s">
        <v>291</v>
      </c>
      <c r="D107" s="20" t="s">
        <v>292</v>
      </c>
      <c r="E107" s="21">
        <v>1214.2008856953751</v>
      </c>
      <c r="F107" s="21">
        <v>98.471452381145852</v>
      </c>
      <c r="G107" s="100"/>
      <c r="H107" s="21"/>
    </row>
    <row r="108" spans="1:9">
      <c r="A108" s="9" t="s">
        <v>19</v>
      </c>
      <c r="B108" s="9" t="s">
        <v>188</v>
      </c>
      <c r="C108" s="10" t="s">
        <v>189</v>
      </c>
      <c r="D108" s="11"/>
      <c r="E108" s="12">
        <v>2390.4624454542368</v>
      </c>
      <c r="F108" s="12">
        <v>100</v>
      </c>
      <c r="G108" s="101"/>
      <c r="H108" s="12">
        <v>1105.2377712652067</v>
      </c>
      <c r="I108">
        <f>H108/SUM($H$3:$H$129)*100</f>
        <v>0.96503145337305718</v>
      </c>
    </row>
    <row r="109" spans="1:9" hidden="1">
      <c r="A109" s="23"/>
      <c r="B109" s="23" t="s">
        <v>188</v>
      </c>
      <c r="C109" s="24" t="s">
        <v>294</v>
      </c>
      <c r="D109" s="25" t="s">
        <v>295</v>
      </c>
      <c r="E109" s="26">
        <v>1832.2457081561492</v>
      </c>
      <c r="F109" s="26">
        <v>76.648169547293804</v>
      </c>
      <c r="G109" s="100"/>
      <c r="H109" s="26"/>
    </row>
    <row r="110" spans="1:9" hidden="1">
      <c r="A110" s="18"/>
      <c r="B110" s="18" t="s">
        <v>188</v>
      </c>
      <c r="C110" s="19" t="s">
        <v>297</v>
      </c>
      <c r="D110" s="20" t="s">
        <v>298</v>
      </c>
      <c r="E110" s="21">
        <v>534.04616467715027</v>
      </c>
      <c r="F110" s="21">
        <v>22.340705067034449</v>
      </c>
      <c r="G110" s="100"/>
      <c r="H110" s="21"/>
    </row>
    <row r="111" spans="1:9">
      <c r="A111" s="9" t="s">
        <v>19</v>
      </c>
      <c r="B111" s="9" t="s">
        <v>191</v>
      </c>
      <c r="C111" s="10" t="s">
        <v>192</v>
      </c>
      <c r="D111" s="11"/>
      <c r="E111" s="12">
        <v>9359.8658764522315</v>
      </c>
      <c r="F111" s="12">
        <v>100</v>
      </c>
      <c r="G111" s="101"/>
      <c r="H111" s="12">
        <v>4854.8475074069192</v>
      </c>
      <c r="I111">
        <f>H111/SUM($H$3:$H$129)*100</f>
        <v>4.2389797632542709</v>
      </c>
    </row>
    <row r="112" spans="1:9" hidden="1">
      <c r="A112" s="18"/>
      <c r="B112" s="18" t="s">
        <v>191</v>
      </c>
      <c r="C112" s="19" t="s">
        <v>299</v>
      </c>
      <c r="D112" s="20" t="s">
        <v>300</v>
      </c>
      <c r="E112" s="21">
        <v>9134.2325635509114</v>
      </c>
      <c r="F112" s="21">
        <v>97.589353139461394</v>
      </c>
      <c r="G112" s="100"/>
      <c r="H112" s="21"/>
    </row>
    <row r="113" spans="1:9">
      <c r="A113" s="9" t="s">
        <v>19</v>
      </c>
      <c r="B113" s="9" t="s">
        <v>195</v>
      </c>
      <c r="C113" s="10" t="s">
        <v>196</v>
      </c>
      <c r="D113" s="11"/>
      <c r="E113" s="12">
        <v>4282.4628485799858</v>
      </c>
      <c r="F113" s="12">
        <v>100</v>
      </c>
      <c r="G113" s="101"/>
      <c r="H113" s="12">
        <v>1045.1537059670591</v>
      </c>
      <c r="I113">
        <f>H113/SUM($H$3:$H$129)*100</f>
        <v>0.91256942722201662</v>
      </c>
    </row>
    <row r="114" spans="1:9" hidden="1">
      <c r="A114" s="18"/>
      <c r="B114" s="18" t="s">
        <v>195</v>
      </c>
      <c r="C114" s="19" t="s">
        <v>302</v>
      </c>
      <c r="D114" s="20" t="s">
        <v>303</v>
      </c>
      <c r="E114" s="21">
        <v>4218.6239551722847</v>
      </c>
      <c r="F114" s="21">
        <v>98.509294869215992</v>
      </c>
      <c r="G114" s="100"/>
      <c r="H114" s="21"/>
    </row>
    <row r="115" spans="1:9">
      <c r="A115" s="9" t="s">
        <v>19</v>
      </c>
      <c r="B115" s="9" t="s">
        <v>198</v>
      </c>
      <c r="C115" s="10" t="s">
        <v>199</v>
      </c>
      <c r="D115" s="11"/>
      <c r="E115" s="12">
        <v>125.23701883358741</v>
      </c>
      <c r="F115" s="12">
        <v>100</v>
      </c>
      <c r="G115" s="101"/>
      <c r="H115" s="12">
        <v>51.612996637299091</v>
      </c>
      <c r="I115">
        <f>H115/SUM($H$3:$H$129)*100</f>
        <v>4.5065565485347285E-2</v>
      </c>
    </row>
    <row r="116" spans="1:9" hidden="1">
      <c r="A116" s="18"/>
      <c r="B116" s="18" t="s">
        <v>198</v>
      </c>
      <c r="C116" s="19" t="s">
        <v>305</v>
      </c>
      <c r="D116" s="20" t="s">
        <v>306</v>
      </c>
      <c r="E116" s="21">
        <v>97.136240132733661</v>
      </c>
      <c r="F116" s="21">
        <v>77.561923013998339</v>
      </c>
      <c r="G116" s="100"/>
      <c r="H116" s="21"/>
    </row>
    <row r="117" spans="1:9">
      <c r="A117" s="9" t="s">
        <v>19</v>
      </c>
      <c r="B117" s="9" t="s">
        <v>202</v>
      </c>
      <c r="C117" s="10" t="s">
        <v>203</v>
      </c>
      <c r="D117" s="11"/>
      <c r="E117" s="12">
        <v>12661.685736648515</v>
      </c>
      <c r="F117" s="12">
        <v>100</v>
      </c>
      <c r="G117" s="101"/>
      <c r="H117" s="12">
        <v>4393.9180909518527</v>
      </c>
      <c r="I117">
        <f>H117/SUM($H$3:$H$129)*100</f>
        <v>3.8365221236145794</v>
      </c>
    </row>
    <row r="118" spans="1:9" hidden="1">
      <c r="A118" s="18"/>
      <c r="B118" s="18" t="s">
        <v>202</v>
      </c>
      <c r="C118" s="19" t="s">
        <v>308</v>
      </c>
      <c r="D118" s="20" t="s">
        <v>309</v>
      </c>
      <c r="E118" s="21">
        <v>11775.490933945452</v>
      </c>
      <c r="F118" s="21">
        <v>93.000973005213481</v>
      </c>
      <c r="G118" s="100"/>
      <c r="H118" s="21"/>
    </row>
    <row r="119" spans="1:9">
      <c r="A119" s="9" t="s">
        <v>19</v>
      </c>
      <c r="B119" s="9" t="s">
        <v>205</v>
      </c>
      <c r="C119" s="10" t="s">
        <v>206</v>
      </c>
      <c r="D119" s="11"/>
      <c r="E119" s="12">
        <v>6494.4252550182246</v>
      </c>
      <c r="F119" s="12">
        <v>100</v>
      </c>
      <c r="G119" s="101"/>
      <c r="H119" s="12">
        <v>2030.7010750995078</v>
      </c>
      <c r="I119">
        <f>H119/SUM($H$3:$H$129)*100</f>
        <v>1.7730939539156154</v>
      </c>
    </row>
    <row r="120" spans="1:9" hidden="1">
      <c r="A120" s="23"/>
      <c r="B120" s="23" t="s">
        <v>205</v>
      </c>
      <c r="C120" s="24" t="s">
        <v>311</v>
      </c>
      <c r="D120" s="25" t="s">
        <v>312</v>
      </c>
      <c r="E120" s="26">
        <v>3840.7953631148966</v>
      </c>
      <c r="F120" s="26">
        <v>59.139880933222301</v>
      </c>
      <c r="G120" s="100"/>
      <c r="H120" s="26"/>
    </row>
    <row r="121" spans="1:9" hidden="1">
      <c r="A121" s="18"/>
      <c r="B121" s="18" t="s">
        <v>205</v>
      </c>
      <c r="C121" s="19" t="s">
        <v>314</v>
      </c>
      <c r="D121" s="20" t="s">
        <v>315</v>
      </c>
      <c r="E121" s="21">
        <v>2390.1379427311622</v>
      </c>
      <c r="F121" s="21">
        <v>36.802917100082247</v>
      </c>
      <c r="G121" s="100"/>
      <c r="H121" s="21"/>
    </row>
    <row r="122" spans="1:9">
      <c r="A122" s="9" t="s">
        <v>19</v>
      </c>
      <c r="B122" s="9" t="s">
        <v>209</v>
      </c>
      <c r="C122" s="10" t="s">
        <v>210</v>
      </c>
      <c r="D122" s="11"/>
      <c r="E122" s="12">
        <v>10050.518095335394</v>
      </c>
      <c r="F122" s="12">
        <v>100</v>
      </c>
      <c r="G122" s="101"/>
      <c r="H122" s="12">
        <v>3476.1929753754894</v>
      </c>
      <c r="I122">
        <f>H122/SUM($H$3:$H$129)*100</f>
        <v>3.0352161737936667</v>
      </c>
    </row>
    <row r="123" spans="1:9" hidden="1">
      <c r="A123" s="23"/>
      <c r="B123" s="23" t="s">
        <v>209</v>
      </c>
      <c r="C123" s="24" t="s">
        <v>316</v>
      </c>
      <c r="D123" s="25" t="s">
        <v>317</v>
      </c>
      <c r="E123" s="26">
        <v>5514.8346518397257</v>
      </c>
      <c r="F123" s="26">
        <v>54.871147930167382</v>
      </c>
      <c r="G123" s="100"/>
      <c r="H123" s="26"/>
    </row>
    <row r="124" spans="1:9" hidden="1">
      <c r="A124" s="23"/>
      <c r="B124" s="23" t="s">
        <v>209</v>
      </c>
      <c r="C124" s="24" t="s">
        <v>319</v>
      </c>
      <c r="D124" s="25" t="s">
        <v>320</v>
      </c>
      <c r="E124" s="26">
        <v>1844.6195215133537</v>
      </c>
      <c r="F124" s="26">
        <v>18.353476945327536</v>
      </c>
      <c r="G124" s="100"/>
      <c r="H124" s="26"/>
    </row>
    <row r="125" spans="1:9" hidden="1">
      <c r="A125" s="23"/>
      <c r="B125" s="23" t="s">
        <v>209</v>
      </c>
      <c r="C125" s="24" t="s">
        <v>321</v>
      </c>
      <c r="D125" s="25" t="s">
        <v>322</v>
      </c>
      <c r="E125" s="26">
        <v>1163.4353362423929</v>
      </c>
      <c r="F125" s="26">
        <v>11.575874250526068</v>
      </c>
      <c r="G125" s="100"/>
      <c r="H125" s="26"/>
    </row>
    <row r="126" spans="1:9" hidden="1">
      <c r="A126" s="23"/>
      <c r="B126" s="23" t="s">
        <v>209</v>
      </c>
      <c r="C126" s="24" t="s">
        <v>323</v>
      </c>
      <c r="D126" s="25" t="s">
        <v>324</v>
      </c>
      <c r="E126" s="26">
        <v>879.36118529677117</v>
      </c>
      <c r="F126" s="26">
        <v>8.7494114925766553</v>
      </c>
      <c r="G126" s="100"/>
      <c r="H126" s="26"/>
    </row>
    <row r="127" spans="1:9">
      <c r="A127" s="9" t="s">
        <v>19</v>
      </c>
      <c r="B127" s="9" t="s">
        <v>212</v>
      </c>
      <c r="C127" s="10" t="s">
        <v>213</v>
      </c>
      <c r="D127" s="11"/>
      <c r="E127" s="12">
        <v>9740.804284584161</v>
      </c>
      <c r="F127" s="12">
        <v>100</v>
      </c>
      <c r="G127" s="101"/>
      <c r="H127" s="12">
        <v>3971.2416264394797</v>
      </c>
      <c r="I127">
        <f>H127/SUM($H$3:$H$129)*100</f>
        <v>3.4674648099217742</v>
      </c>
    </row>
    <row r="128" spans="1:9" hidden="1">
      <c r="A128" s="18"/>
      <c r="B128" s="18" t="s">
        <v>212</v>
      </c>
      <c r="C128" s="19" t="s">
        <v>325</v>
      </c>
      <c r="D128" s="20" t="s">
        <v>326</v>
      </c>
      <c r="E128" s="21">
        <v>8821.6564941450106</v>
      </c>
      <c r="F128" s="21">
        <v>90.563943555525512</v>
      </c>
      <c r="G128" s="100"/>
      <c r="H128" s="21"/>
    </row>
    <row r="129" spans="1:9">
      <c r="A129" s="9" t="s">
        <v>19</v>
      </c>
      <c r="B129" s="9" t="s">
        <v>216</v>
      </c>
      <c r="C129" s="10" t="s">
        <v>217</v>
      </c>
      <c r="D129" s="11"/>
      <c r="E129" s="12">
        <v>2086.1349157794857</v>
      </c>
      <c r="F129" s="12">
        <v>100</v>
      </c>
      <c r="G129" s="101"/>
      <c r="H129" s="12">
        <v>955.16672053297839</v>
      </c>
      <c r="I129">
        <f>H129/SUM($H$3:$H$129)*100</f>
        <v>0.8339978532169936</v>
      </c>
    </row>
    <row r="130" spans="1:9" hidden="1">
      <c r="A130" s="23"/>
      <c r="B130" s="23" t="s">
        <v>216</v>
      </c>
      <c r="C130" s="24" t="s">
        <v>328</v>
      </c>
      <c r="D130" s="25" t="s">
        <v>329</v>
      </c>
      <c r="E130" s="26">
        <v>1455.3830816112434</v>
      </c>
      <c r="F130" s="26">
        <v>69.764571342090719</v>
      </c>
      <c r="G130" s="100"/>
      <c r="H130" s="26"/>
    </row>
    <row r="131" spans="1:9" hidden="1">
      <c r="A131" s="18"/>
      <c r="B131" s="18" t="s">
        <v>216</v>
      </c>
      <c r="C131" s="19" t="s">
        <v>331</v>
      </c>
      <c r="D131" s="20" t="s">
        <v>332</v>
      </c>
      <c r="E131" s="21">
        <v>290.08916588150191</v>
      </c>
      <c r="F131" s="21">
        <v>13.905580300069417</v>
      </c>
      <c r="G131" s="100"/>
      <c r="H131" s="21"/>
    </row>
  </sheetData>
  <autoFilter ref="A1:H131" xr:uid="{0BC1AF26-E125-4639-8618-EF8256F94529}">
    <filterColumn colId="7">
      <colorFilter dxfId="0"/>
    </filterColumn>
  </autoFilter>
  <conditionalFormatting sqref="E2:F2">
    <cfRule type="cellIs" dxfId="11" priority="4" operator="equal">
      <formula>0</formula>
    </cfRule>
  </conditionalFormatting>
  <conditionalFormatting sqref="H2">
    <cfRule type="cellIs" dxfId="8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5F8D-6C1A-49CC-84BA-C188F42AEF3C}">
  <dimension ref="A1:AK310"/>
  <sheetViews>
    <sheetView topLeftCell="X302" workbookViewId="0">
      <selection activeCell="AD1" sqref="AD1:AF306"/>
    </sheetView>
  </sheetViews>
  <sheetFormatPr defaultRowHeight="14.5"/>
  <cols>
    <col min="1" max="1" width="0" hidden="1" customWidth="1"/>
    <col min="2" max="2" width="8.7265625" hidden="1" customWidth="1"/>
    <col min="3" max="3" width="16.26953125" hidden="1" customWidth="1"/>
    <col min="4" max="4" width="12.54296875" hidden="1" customWidth="1"/>
    <col min="5" max="5" width="14.08984375" hidden="1" customWidth="1"/>
    <col min="6" max="6" width="8.7265625" hidden="1" customWidth="1"/>
    <col min="7" max="7" width="12.08984375" hidden="1" customWidth="1"/>
    <col min="8" max="12" width="8.7265625" hidden="1" customWidth="1"/>
    <col min="13" max="13" width="27.08984375" hidden="1" customWidth="1"/>
    <col min="14" max="14" width="12.453125" hidden="1" customWidth="1"/>
    <col min="15" max="16" width="8.7265625" hidden="1" customWidth="1"/>
    <col min="17" max="17" width="12.90625" hidden="1" customWidth="1"/>
    <col min="18" max="18" width="11.6328125" hidden="1" customWidth="1"/>
    <col min="19" max="19" width="8.7265625" hidden="1" customWidth="1"/>
    <col min="22" max="22" width="14.26953125" customWidth="1"/>
    <col min="23" max="23" width="38.453125" customWidth="1"/>
    <col min="24" max="24" width="14.81640625" customWidth="1"/>
    <col min="25" max="25" width="14.36328125" customWidth="1"/>
    <col min="28" max="28" width="6" customWidth="1"/>
    <col min="30" max="30" width="6.90625" style="75" customWidth="1"/>
    <col min="31" max="31" width="63.08984375" customWidth="1"/>
    <col min="32" max="32" width="15.6328125" customWidth="1"/>
  </cols>
  <sheetData>
    <row r="1" spans="1:32" ht="42">
      <c r="A1" s="1" t="s">
        <v>0</v>
      </c>
      <c r="B1" s="2" t="s">
        <v>1</v>
      </c>
      <c r="C1" s="2" t="s">
        <v>2</v>
      </c>
      <c r="D1" s="2" t="s">
        <v>3</v>
      </c>
      <c r="E1" t="s">
        <v>4</v>
      </c>
      <c r="F1" s="3" t="s">
        <v>5</v>
      </c>
      <c r="G1" t="s">
        <v>6</v>
      </c>
      <c r="N1" t="s">
        <v>7</v>
      </c>
      <c r="O1" t="s">
        <v>8</v>
      </c>
      <c r="Q1" t="s">
        <v>9</v>
      </c>
      <c r="R1" t="s">
        <v>10</v>
      </c>
      <c r="T1" s="4" t="s">
        <v>11</v>
      </c>
      <c r="U1" s="4" t="s">
        <v>1</v>
      </c>
      <c r="V1" s="5" t="s">
        <v>12</v>
      </c>
      <c r="W1" s="6" t="s">
        <v>13</v>
      </c>
      <c r="X1" s="7" t="s">
        <v>7</v>
      </c>
      <c r="Y1" s="4" t="s">
        <v>14</v>
      </c>
      <c r="Z1" s="7" t="s">
        <v>15</v>
      </c>
      <c r="AA1" s="8" t="s">
        <v>16</v>
      </c>
      <c r="AB1" s="8" t="s">
        <v>17</v>
      </c>
      <c r="AC1" s="8" t="s">
        <v>18</v>
      </c>
      <c r="AD1" s="74" t="s">
        <v>661</v>
      </c>
      <c r="AE1" s="8" t="s">
        <v>662</v>
      </c>
      <c r="AF1" s="8" t="s">
        <v>5</v>
      </c>
    </row>
    <row r="2" spans="1:32">
      <c r="A2" s="9" t="s">
        <v>19</v>
      </c>
      <c r="B2" s="9" t="s">
        <v>20</v>
      </c>
      <c r="C2" s="10" t="s">
        <v>21</v>
      </c>
      <c r="D2" s="11"/>
      <c r="E2" s="12">
        <v>10458.774867242491</v>
      </c>
      <c r="F2" s="12">
        <v>100</v>
      </c>
      <c r="G2" s="13">
        <f>VLOOKUP(B2,$L$2:$N$121,3,FALSE)</f>
        <v>765.90093720982077</v>
      </c>
      <c r="L2" t="s">
        <v>20</v>
      </c>
      <c r="M2" t="s">
        <v>21</v>
      </c>
      <c r="N2">
        <v>765.90093720982077</v>
      </c>
      <c r="O2">
        <v>444.21098624293262</v>
      </c>
      <c r="P2" t="s">
        <v>20</v>
      </c>
      <c r="Q2">
        <v>1520.33015374405</v>
      </c>
      <c r="R2">
        <v>1128.3402250249462</v>
      </c>
      <c r="T2" s="14" t="s">
        <v>19</v>
      </c>
      <c r="U2" s="15" t="s">
        <v>22</v>
      </c>
      <c r="V2" s="15"/>
      <c r="W2" s="15"/>
      <c r="X2" s="15">
        <v>104349.64413197397</v>
      </c>
      <c r="Y2" s="16">
        <v>290729.34705098363</v>
      </c>
      <c r="Z2" s="17"/>
      <c r="AB2" t="s">
        <v>19</v>
      </c>
      <c r="AD2" s="14" t="s">
        <v>19</v>
      </c>
      <c r="AE2" s="15" t="s">
        <v>22</v>
      </c>
    </row>
    <row r="3" spans="1:32">
      <c r="A3" s="18"/>
      <c r="B3" s="18" t="s">
        <v>20</v>
      </c>
      <c r="C3" s="19" t="s">
        <v>23</v>
      </c>
      <c r="D3" s="20" t="s">
        <v>24</v>
      </c>
      <c r="E3" s="21">
        <v>10035.108759903724</v>
      </c>
      <c r="F3" s="21">
        <v>95.949180351269291</v>
      </c>
      <c r="L3" t="s">
        <v>25</v>
      </c>
      <c r="M3" t="s">
        <v>26</v>
      </c>
      <c r="N3">
        <v>2080.9967711540094</v>
      </c>
      <c r="O3">
        <v>1405.3571212967536</v>
      </c>
      <c r="P3" t="s">
        <v>25</v>
      </c>
      <c r="Q3">
        <v>4458.0412982282905</v>
      </c>
      <c r="R3">
        <v>3320.5905496196806</v>
      </c>
      <c r="T3" s="9" t="s">
        <v>19</v>
      </c>
      <c r="U3" s="9" t="s">
        <v>20</v>
      </c>
      <c r="V3" s="10" t="s">
        <v>21</v>
      </c>
      <c r="W3" s="11"/>
      <c r="X3" s="11">
        <f>VLOOKUP(U3,'[1]% SECCION_ECONOMIA 2022'!$C$81:$I$209,7,FALSE)</f>
        <v>2293.4968473362023</v>
      </c>
      <c r="Y3" s="12">
        <v>9298.8396443836882</v>
      </c>
      <c r="Z3" s="12">
        <v>100</v>
      </c>
      <c r="AA3" s="22">
        <f>X3/$X$2</f>
        <v>2.1978961849027024E-2</v>
      </c>
      <c r="AB3" t="s">
        <v>27</v>
      </c>
      <c r="AC3" t="str">
        <f>LEFT(AB3,4)</f>
        <v>1010</v>
      </c>
      <c r="AD3" s="76" t="s">
        <v>649</v>
      </c>
      <c r="AE3" s="22" t="s">
        <v>21</v>
      </c>
      <c r="AF3" s="22">
        <f>AA3</f>
        <v>2.1978961849027024E-2</v>
      </c>
    </row>
    <row r="4" spans="1:32">
      <c r="A4" s="9" t="s">
        <v>19</v>
      </c>
      <c r="B4" s="9" t="s">
        <v>25</v>
      </c>
      <c r="C4" s="10" t="s">
        <v>26</v>
      </c>
      <c r="D4" s="11"/>
      <c r="E4" s="12">
        <v>2605.0246286796928</v>
      </c>
      <c r="F4" s="12">
        <v>100</v>
      </c>
      <c r="G4" s="13">
        <f>VLOOKUP(B4,$L$2:$N$121,3,FALSE)</f>
        <v>2080.9967711540094</v>
      </c>
      <c r="L4" t="s">
        <v>28</v>
      </c>
      <c r="M4" t="s">
        <v>29</v>
      </c>
      <c r="N4">
        <v>5985.6467383188874</v>
      </c>
      <c r="O4">
        <v>3899.5347869190541</v>
      </c>
      <c r="P4" t="s">
        <v>28</v>
      </c>
      <c r="Q4">
        <v>12936.486303296619</v>
      </c>
      <c r="R4">
        <v>9683.7800183365653</v>
      </c>
      <c r="T4" s="18"/>
      <c r="U4" s="18" t="s">
        <v>20</v>
      </c>
      <c r="V4" s="19" t="s">
        <v>23</v>
      </c>
      <c r="W4" s="20" t="s">
        <v>24</v>
      </c>
      <c r="X4" s="20"/>
      <c r="Y4" s="21">
        <v>8904.6478325257722</v>
      </c>
      <c r="Z4" s="21">
        <v>95.760849450759153</v>
      </c>
      <c r="AC4" t="str">
        <f>LEFT(AB4,4)</f>
        <v/>
      </c>
      <c r="AD4" s="77"/>
      <c r="AE4" s="70" t="s">
        <v>24</v>
      </c>
      <c r="AF4">
        <f>Z4*AF3/100</f>
        <v>2.104724056708656E-2</v>
      </c>
    </row>
    <row r="5" spans="1:32">
      <c r="A5" s="49"/>
      <c r="B5" s="49"/>
      <c r="C5" s="50"/>
      <c r="D5" s="51"/>
      <c r="E5" s="52"/>
      <c r="F5" s="52"/>
      <c r="G5" s="48"/>
      <c r="T5" s="30"/>
      <c r="U5" s="30"/>
      <c r="V5" s="31"/>
      <c r="W5" s="32"/>
      <c r="X5" s="32"/>
      <c r="Y5" s="33"/>
      <c r="Z5" s="33"/>
      <c r="AD5" s="75" t="s">
        <v>30</v>
      </c>
      <c r="AE5" t="s">
        <v>656</v>
      </c>
    </row>
    <row r="6" spans="1:32">
      <c r="A6" s="23"/>
      <c r="B6" s="23" t="s">
        <v>25</v>
      </c>
      <c r="C6" s="24" t="s">
        <v>31</v>
      </c>
      <c r="D6" s="25" t="s">
        <v>32</v>
      </c>
      <c r="E6" s="26">
        <v>2016.1159928184436</v>
      </c>
      <c r="F6" s="26">
        <v>77.393356309275035</v>
      </c>
      <c r="L6" t="s">
        <v>33</v>
      </c>
      <c r="M6" t="s">
        <v>34</v>
      </c>
      <c r="N6">
        <v>5629.069731451189</v>
      </c>
      <c r="O6">
        <v>3473.9102135362473</v>
      </c>
      <c r="P6" t="s">
        <v>33</v>
      </c>
      <c r="Q6">
        <v>10633.24960188697</v>
      </c>
      <c r="R6">
        <v>7007.7887730953444</v>
      </c>
      <c r="T6" s="9" t="s">
        <v>19</v>
      </c>
      <c r="U6" s="9" t="s">
        <v>25</v>
      </c>
      <c r="V6" s="10" t="s">
        <v>26</v>
      </c>
      <c r="W6" s="11"/>
      <c r="X6" s="11">
        <f>VLOOKUP(U6,'[1]% SECCION_ECONOMIA 2022'!$C$81:$I$209,7,FALSE)</f>
        <v>663.60340220959324</v>
      </c>
      <c r="Y6" s="12">
        <v>2340.48297879141</v>
      </c>
      <c r="Z6" s="12">
        <v>100</v>
      </c>
      <c r="AA6" s="22">
        <f>X6/$X$2</f>
        <v>6.3594218047386452E-3</v>
      </c>
      <c r="AB6" t="s">
        <v>35</v>
      </c>
      <c r="AC6" t="str">
        <f>LEFT(AB6,4)</f>
        <v>1010</v>
      </c>
      <c r="AD6" s="76" t="s">
        <v>649</v>
      </c>
      <c r="AE6" s="22" t="str">
        <f>V6</f>
        <v>Elaboración y conservación de carne de ganado porcino</v>
      </c>
      <c r="AF6" s="22">
        <f>AA6</f>
        <v>6.3594218047386452E-3</v>
      </c>
    </row>
    <row r="7" spans="1:32">
      <c r="A7" s="18"/>
      <c r="B7" s="18" t="s">
        <v>25</v>
      </c>
      <c r="C7" s="19" t="s">
        <v>36</v>
      </c>
      <c r="D7" s="20" t="s">
        <v>37</v>
      </c>
      <c r="E7" s="21">
        <v>252.08291996724296</v>
      </c>
      <c r="F7" s="21">
        <v>9.676796034554437</v>
      </c>
      <c r="L7" t="s">
        <v>38</v>
      </c>
      <c r="M7" t="s">
        <v>39</v>
      </c>
      <c r="N7">
        <v>4028.7624489067166</v>
      </c>
      <c r="O7">
        <v>4376.0591411001478</v>
      </c>
      <c r="P7" t="s">
        <v>38</v>
      </c>
      <c r="Q7">
        <v>13926.703018197051</v>
      </c>
      <c r="R7">
        <v>12985.048744801437</v>
      </c>
      <c r="T7" s="23"/>
      <c r="U7" s="23" t="s">
        <v>25</v>
      </c>
      <c r="V7" s="24" t="s">
        <v>31</v>
      </c>
      <c r="W7" s="25" t="s">
        <v>32</v>
      </c>
      <c r="X7" s="25"/>
      <c r="Y7" s="26">
        <v>1769.5300020838727</v>
      </c>
      <c r="Z7" s="26">
        <v>75.605335228612986</v>
      </c>
      <c r="AD7" s="77"/>
      <c r="AE7" s="70" t="s">
        <v>41</v>
      </c>
      <c r="AF7">
        <f>Z7*AF6/100</f>
        <v>4.8080621740741623E-3</v>
      </c>
    </row>
    <row r="8" spans="1:32">
      <c r="A8" s="30"/>
      <c r="B8" s="30"/>
      <c r="C8" s="31"/>
      <c r="D8" s="32"/>
      <c r="E8" s="33"/>
      <c r="F8" s="33"/>
      <c r="T8" s="18"/>
      <c r="U8" s="18"/>
      <c r="V8" s="19"/>
      <c r="W8" s="20"/>
      <c r="X8" s="20"/>
      <c r="Y8" s="21"/>
      <c r="Z8" s="21"/>
      <c r="AD8" s="75" t="s">
        <v>40</v>
      </c>
      <c r="AE8" t="s">
        <v>41</v>
      </c>
    </row>
    <row r="9" spans="1:32">
      <c r="A9" s="9" t="s">
        <v>19</v>
      </c>
      <c r="B9" s="9" t="s">
        <v>28</v>
      </c>
      <c r="C9" s="10" t="s">
        <v>29</v>
      </c>
      <c r="D9" s="11"/>
      <c r="E9" s="12">
        <v>15467.354112619556</v>
      </c>
      <c r="F9" s="12">
        <v>100</v>
      </c>
      <c r="G9" s="13">
        <f>VLOOKUP(B9,$L$2:$N$121,3,FALSE)</f>
        <v>5985.6467383188874</v>
      </c>
      <c r="L9" t="s">
        <v>42</v>
      </c>
      <c r="M9" t="s">
        <v>43</v>
      </c>
      <c r="N9">
        <v>4160.0958505202498</v>
      </c>
      <c r="O9">
        <v>3250.5094540344126</v>
      </c>
      <c r="P9" t="s">
        <v>42</v>
      </c>
      <c r="Q9">
        <v>11398.973025723832</v>
      </c>
      <c r="R9">
        <v>8637.0781450207214</v>
      </c>
      <c r="T9" s="18"/>
      <c r="U9" s="18" t="s">
        <v>25</v>
      </c>
      <c r="V9" s="19" t="s">
        <v>36</v>
      </c>
      <c r="W9" s="20" t="s">
        <v>37</v>
      </c>
      <c r="X9" s="20"/>
      <c r="Y9" s="21">
        <v>238.67365333890947</v>
      </c>
      <c r="Z9" s="21">
        <v>10.197623973414109</v>
      </c>
      <c r="AD9" s="77"/>
      <c r="AE9" s="70" t="s">
        <v>37</v>
      </c>
      <c r="AF9">
        <f>Z9*AF6/100</f>
        <v>6.485099225305523E-4</v>
      </c>
    </row>
    <row r="10" spans="1:32">
      <c r="A10" s="44"/>
      <c r="B10" s="44"/>
      <c r="C10" s="45"/>
      <c r="D10" s="46"/>
      <c r="E10" s="47"/>
      <c r="F10" s="47"/>
      <c r="G10" s="48"/>
      <c r="T10" s="30"/>
      <c r="U10" s="30"/>
      <c r="V10" s="31"/>
      <c r="W10" s="32"/>
      <c r="X10" s="32"/>
      <c r="Y10" s="33"/>
      <c r="Z10" s="33"/>
      <c r="AD10" s="75" t="s">
        <v>658</v>
      </c>
      <c r="AE10" t="s">
        <v>657</v>
      </c>
    </row>
    <row r="11" spans="1:32">
      <c r="A11" s="18"/>
      <c r="B11" s="18" t="s">
        <v>28</v>
      </c>
      <c r="C11" s="19" t="s">
        <v>45</v>
      </c>
      <c r="D11" s="20" t="s">
        <v>46</v>
      </c>
      <c r="E11" s="21">
        <v>14776.508817615611</v>
      </c>
      <c r="F11" s="21">
        <v>95.53352635509718</v>
      </c>
      <c r="L11" t="s">
        <v>47</v>
      </c>
      <c r="M11" t="s">
        <v>48</v>
      </c>
      <c r="N11">
        <v>2724.879805186144</v>
      </c>
      <c r="O11">
        <v>1628.3915062721112</v>
      </c>
      <c r="P11" t="s">
        <v>47</v>
      </c>
      <c r="Q11">
        <v>7267.5921563897145</v>
      </c>
      <c r="R11">
        <v>5179.4897804587881</v>
      </c>
      <c r="T11" s="9" t="s">
        <v>19</v>
      </c>
      <c r="U11" s="9" t="s">
        <v>28</v>
      </c>
      <c r="V11" s="10" t="s">
        <v>29</v>
      </c>
      <c r="W11" s="11"/>
      <c r="X11" s="11">
        <f>VLOOKUP(U11,'[1]% SECCION_ECONOMIA 2022'!$C$81:$I$209,7,FALSE)</f>
        <v>3651.4040455195518</v>
      </c>
      <c r="Y11" s="12">
        <v>13487.919419543732</v>
      </c>
      <c r="Z11" s="12">
        <v>100</v>
      </c>
      <c r="AA11" s="22">
        <f>X11/$X$2</f>
        <v>3.4992012439462823E-2</v>
      </c>
      <c r="AB11" t="s">
        <v>49</v>
      </c>
      <c r="AC11" t="str">
        <f>LEFT(AB11,4)</f>
        <v>1010</v>
      </c>
      <c r="AD11" s="76" t="s">
        <v>649</v>
      </c>
      <c r="AE11" s="22" t="str">
        <f>V11</f>
        <v>Elaboración y conservación de carne de aves de corral</v>
      </c>
      <c r="AF11" s="22">
        <f>AA11</f>
        <v>3.4992012439462823E-2</v>
      </c>
    </row>
    <row r="12" spans="1:32">
      <c r="A12" s="9" t="s">
        <v>19</v>
      </c>
      <c r="B12" s="9" t="s">
        <v>33</v>
      </c>
      <c r="C12" s="10" t="s">
        <v>34</v>
      </c>
      <c r="D12" s="11"/>
      <c r="E12" s="12">
        <v>4078.4025906722313</v>
      </c>
      <c r="F12" s="12">
        <v>100</v>
      </c>
      <c r="G12" s="13">
        <f>VLOOKUP(B12,$L$2:$N$121,3,FALSE)</f>
        <v>5629.069731451189</v>
      </c>
      <c r="L12" t="s">
        <v>50</v>
      </c>
      <c r="M12" t="s">
        <v>51</v>
      </c>
      <c r="N12">
        <v>1049.29531600974</v>
      </c>
      <c r="O12">
        <v>1186.8928087752358</v>
      </c>
      <c r="P12" t="s">
        <v>50</v>
      </c>
      <c r="Q12">
        <v>4382.672487977964</v>
      </c>
      <c r="R12">
        <v>3887.7555471676301</v>
      </c>
      <c r="T12" s="18"/>
      <c r="U12" s="18" t="s">
        <v>28</v>
      </c>
      <c r="V12" s="19" t="s">
        <v>45</v>
      </c>
      <c r="W12" s="20" t="s">
        <v>46</v>
      </c>
      <c r="X12" s="20"/>
      <c r="Y12" s="21">
        <v>12872.662512351295</v>
      </c>
      <c r="Z12" s="21">
        <v>95.438459498053192</v>
      </c>
      <c r="AD12" s="77"/>
      <c r="AE12" s="70" t="s">
        <v>53</v>
      </c>
      <c r="AF12">
        <f>Z12*AF11/100</f>
        <v>3.339583761959046E-2</v>
      </c>
    </row>
    <row r="13" spans="1:32">
      <c r="A13" s="44"/>
      <c r="B13" s="44"/>
      <c r="C13" s="45"/>
      <c r="D13" s="46"/>
      <c r="E13" s="47"/>
      <c r="F13" s="47"/>
      <c r="G13" s="48"/>
      <c r="T13" s="30"/>
      <c r="U13" s="30"/>
      <c r="V13" s="31"/>
      <c r="W13" s="32"/>
      <c r="X13" s="32"/>
      <c r="Y13" s="33"/>
      <c r="Z13" s="33"/>
      <c r="AD13" s="75" t="s">
        <v>52</v>
      </c>
      <c r="AE13" t="s">
        <v>53</v>
      </c>
    </row>
    <row r="14" spans="1:32">
      <c r="A14" s="18"/>
      <c r="B14" s="18" t="s">
        <v>33</v>
      </c>
      <c r="C14" s="19" t="s">
        <v>36</v>
      </c>
      <c r="D14" s="20" t="s">
        <v>37</v>
      </c>
      <c r="E14" s="21">
        <v>3855.8572331740447</v>
      </c>
      <c r="F14" s="21">
        <v>94.543320514576635</v>
      </c>
      <c r="L14" t="s">
        <v>54</v>
      </c>
      <c r="M14" t="s">
        <v>55</v>
      </c>
      <c r="N14">
        <v>3733.6506540269165</v>
      </c>
      <c r="O14">
        <v>3835.9226093649413</v>
      </c>
      <c r="P14" t="s">
        <v>54</v>
      </c>
      <c r="Q14">
        <v>14340.218678954658</v>
      </c>
      <c r="R14">
        <v>12242.223371142585</v>
      </c>
      <c r="T14" s="9" t="s">
        <v>19</v>
      </c>
      <c r="U14" s="9" t="s">
        <v>33</v>
      </c>
      <c r="V14" s="10" t="s">
        <v>34</v>
      </c>
      <c r="W14" s="11"/>
      <c r="X14" s="11">
        <f>VLOOKUP(U14,'[1]% SECCION_ECONOMIA 2022'!$C$81:$I$209,7,FALSE)</f>
        <v>1198.4314170979824</v>
      </c>
      <c r="Y14" s="12">
        <v>3804.6624030937569</v>
      </c>
      <c r="Z14" s="12">
        <v>100</v>
      </c>
      <c r="AA14" s="22">
        <f>X14/$X$2</f>
        <v>1.1484767648869909E-2</v>
      </c>
      <c r="AB14" t="s">
        <v>56</v>
      </c>
      <c r="AC14" t="str">
        <f>LEFT(AB14,4)</f>
        <v>1010</v>
      </c>
      <c r="AD14" s="76" t="s">
        <v>649</v>
      </c>
      <c r="AE14" s="22" t="str">
        <f>V14</f>
        <v>Elaboración de productos cárnicos y elaboración de otros productos de origen animal n.c.p.</v>
      </c>
      <c r="AF14" s="22">
        <f>AA14</f>
        <v>1.1484767648869909E-2</v>
      </c>
    </row>
    <row r="15" spans="1:32">
      <c r="A15" s="9" t="s">
        <v>19</v>
      </c>
      <c r="B15" s="9" t="s">
        <v>38</v>
      </c>
      <c r="C15" s="10" t="s">
        <v>39</v>
      </c>
      <c r="D15" s="27"/>
      <c r="E15" s="28">
        <v>1035.5424602904484</v>
      </c>
      <c r="F15" s="28">
        <v>100</v>
      </c>
      <c r="G15" s="13">
        <f>VLOOKUP(B15,$L$2:$N$121,3,FALSE)</f>
        <v>4028.7624489067166</v>
      </c>
      <c r="L15" t="s">
        <v>57</v>
      </c>
      <c r="M15" t="s">
        <v>58</v>
      </c>
      <c r="N15">
        <v>2833.2947533626711</v>
      </c>
      <c r="O15">
        <v>2639.95030577324</v>
      </c>
      <c r="P15" t="s">
        <v>57</v>
      </c>
      <c r="Q15">
        <v>8376.4913362690768</v>
      </c>
      <c r="R15">
        <v>7282.1212936731754</v>
      </c>
      <c r="T15" s="18"/>
      <c r="U15" s="18" t="s">
        <v>33</v>
      </c>
      <c r="V15" s="19" t="s">
        <v>36</v>
      </c>
      <c r="W15" s="20" t="s">
        <v>37</v>
      </c>
      <c r="X15" s="20"/>
      <c r="Y15" s="21">
        <v>3603.9197009061836</v>
      </c>
      <c r="Z15" s="21">
        <v>94.723770970471918</v>
      </c>
      <c r="AD15" s="77"/>
      <c r="AE15" s="70" t="str">
        <f>W15</f>
        <v>Carne y despojos de otros animales y conservas y preparados de carne</v>
      </c>
      <c r="AF15">
        <f>AF14*Z15/100</f>
        <v>1.0878805004206384E-2</v>
      </c>
    </row>
    <row r="16" spans="1:32">
      <c r="A16" s="49"/>
      <c r="B16" s="49"/>
      <c r="C16" s="50"/>
      <c r="D16" s="73"/>
      <c r="E16" s="53"/>
      <c r="F16" s="53"/>
      <c r="G16" s="48"/>
      <c r="T16" s="30"/>
      <c r="U16" s="30"/>
      <c r="V16" s="31"/>
      <c r="W16" s="32"/>
      <c r="X16" s="32"/>
      <c r="Y16" s="33"/>
      <c r="Z16" s="33"/>
      <c r="AD16" s="75" t="s">
        <v>59</v>
      </c>
      <c r="AE16" t="s">
        <v>60</v>
      </c>
    </row>
    <row r="17" spans="1:32">
      <c r="A17" s="23"/>
      <c r="B17" s="23" t="s">
        <v>38</v>
      </c>
      <c r="C17" s="24" t="s">
        <v>61</v>
      </c>
      <c r="D17" s="25" t="s">
        <v>62</v>
      </c>
      <c r="E17" s="26">
        <v>535.86857365048127</v>
      </c>
      <c r="F17" s="26">
        <v>51.747619648563827</v>
      </c>
      <c r="L17" t="s">
        <v>63</v>
      </c>
      <c r="M17" t="s">
        <v>64</v>
      </c>
      <c r="N17">
        <v>7713.4459698159008</v>
      </c>
      <c r="O17">
        <v>6923.9232935592354</v>
      </c>
      <c r="P17" t="s">
        <v>63</v>
      </c>
      <c r="Q17">
        <v>16131.452404454198</v>
      </c>
      <c r="R17">
        <v>14159.957442614428</v>
      </c>
      <c r="T17" s="9" t="s">
        <v>19</v>
      </c>
      <c r="U17" s="9" t="s">
        <v>38</v>
      </c>
      <c r="V17" s="10" t="s">
        <v>39</v>
      </c>
      <c r="W17" s="11"/>
      <c r="X17" s="11">
        <f>VLOOKUP(U17,'[1]% SECCION_ECONOMIA 2022'!$C$81:$I$209,7,FALSE)</f>
        <v>353.14674514522858</v>
      </c>
      <c r="Y17" s="12">
        <v>1491.6421119058491</v>
      </c>
      <c r="Z17" s="12">
        <v>100</v>
      </c>
      <c r="AA17" s="22">
        <f>X17/$X$2</f>
        <v>3.3842640105086878E-3</v>
      </c>
      <c r="AB17" t="s">
        <v>65</v>
      </c>
      <c r="AC17" t="str">
        <f>LEFT(AB17,4)</f>
        <v>1020</v>
      </c>
      <c r="AD17" s="76" t="s">
        <v>65</v>
      </c>
      <c r="AE17" s="22" t="str">
        <f>V17</f>
        <v>Elaboración y conservación de pescado, crustáceos y moluscos</v>
      </c>
      <c r="AF17" s="22">
        <f>AA17</f>
        <v>3.3842640105086878E-3</v>
      </c>
    </row>
    <row r="18" spans="1:32">
      <c r="A18" s="18"/>
      <c r="B18" s="18" t="s">
        <v>38</v>
      </c>
      <c r="C18" s="19" t="s">
        <v>66</v>
      </c>
      <c r="D18" s="20" t="s">
        <v>67</v>
      </c>
      <c r="E18" s="21">
        <v>496.99620792911037</v>
      </c>
      <c r="F18" s="21">
        <v>47.993802957119996</v>
      </c>
      <c r="L18" t="s">
        <v>68</v>
      </c>
      <c r="M18" t="s">
        <v>69</v>
      </c>
      <c r="N18">
        <v>1035.9503971494917</v>
      </c>
      <c r="O18">
        <v>972.96676556563943</v>
      </c>
      <c r="P18" t="s">
        <v>68</v>
      </c>
      <c r="Q18">
        <v>2937.5551725848591</v>
      </c>
      <c r="R18">
        <v>2615.224760092904</v>
      </c>
      <c r="T18" s="23"/>
      <c r="U18" s="23" t="s">
        <v>38</v>
      </c>
      <c r="V18" s="24" t="s">
        <v>61</v>
      </c>
      <c r="W18" s="25" t="s">
        <v>62</v>
      </c>
      <c r="X18" s="25"/>
      <c r="Y18" s="26">
        <v>745.05685835623672</v>
      </c>
      <c r="Z18" s="26">
        <v>49.94876803285532</v>
      </c>
      <c r="AD18" s="77"/>
      <c r="AE18" s="70" t="s">
        <v>71</v>
      </c>
      <c r="AF18">
        <f>Z18*AA17/100</f>
        <v>1.6903981802283907E-3</v>
      </c>
    </row>
    <row r="19" spans="1:32">
      <c r="A19" s="30"/>
      <c r="B19" s="30"/>
      <c r="C19" s="31"/>
      <c r="D19" s="32"/>
      <c r="E19" s="33"/>
      <c r="F19" s="33"/>
      <c r="T19" s="18"/>
      <c r="U19" s="18"/>
      <c r="V19" s="19"/>
      <c r="W19" s="20"/>
      <c r="X19" s="20"/>
      <c r="Y19" s="21"/>
      <c r="Z19" s="21"/>
      <c r="AD19" s="75" t="s">
        <v>70</v>
      </c>
      <c r="AE19" t="s">
        <v>71</v>
      </c>
    </row>
    <row r="20" spans="1:32">
      <c r="A20" s="9" t="s">
        <v>19</v>
      </c>
      <c r="B20" s="9" t="s">
        <v>42</v>
      </c>
      <c r="C20" s="10" t="s">
        <v>43</v>
      </c>
      <c r="D20" s="11"/>
      <c r="E20" s="12">
        <v>6290.546750713248</v>
      </c>
      <c r="F20" s="12">
        <v>100</v>
      </c>
      <c r="G20" s="13">
        <f>VLOOKUP(B20,$L$2:$N$121,3,FALSE)</f>
        <v>4160.0958505202498</v>
      </c>
      <c r="L20" t="s">
        <v>72</v>
      </c>
      <c r="M20" t="s">
        <v>73</v>
      </c>
      <c r="N20">
        <v>2026.4841053381883</v>
      </c>
      <c r="O20">
        <v>1277.2967262748975</v>
      </c>
      <c r="P20" t="s">
        <v>72</v>
      </c>
      <c r="Q20">
        <v>5287.0732023200053</v>
      </c>
      <c r="R20">
        <v>3701.5394346061294</v>
      </c>
      <c r="T20" s="18"/>
      <c r="U20" s="18" t="s">
        <v>38</v>
      </c>
      <c r="V20" s="19" t="s">
        <v>66</v>
      </c>
      <c r="W20" s="20" t="s">
        <v>67</v>
      </c>
      <c r="X20" s="20"/>
      <c r="Y20" s="21">
        <v>743.18318429215969</v>
      </c>
      <c r="Z20" s="21">
        <v>49.82315653066442</v>
      </c>
      <c r="AD20" s="77"/>
      <c r="AE20" s="70" t="s">
        <v>74</v>
      </c>
      <c r="AF20">
        <f>Z20*AF17/100</f>
        <v>1.6861471553666848E-3</v>
      </c>
    </row>
    <row r="21" spans="1:32">
      <c r="A21" s="49"/>
      <c r="B21" s="49"/>
      <c r="C21" s="50"/>
      <c r="D21" s="51"/>
      <c r="E21" s="52"/>
      <c r="F21" s="52"/>
      <c r="G21" s="48"/>
      <c r="T21" s="30"/>
      <c r="U21" s="30"/>
      <c r="V21" s="31"/>
      <c r="W21" s="32"/>
      <c r="X21" s="32"/>
      <c r="Y21" s="33"/>
      <c r="Z21" s="33"/>
      <c r="AD21" s="75" t="s">
        <v>659</v>
      </c>
      <c r="AE21" t="s">
        <v>660</v>
      </c>
    </row>
    <row r="22" spans="1:32">
      <c r="A22" s="23"/>
      <c r="B22" s="23" t="s">
        <v>42</v>
      </c>
      <c r="C22" s="24" t="s">
        <v>75</v>
      </c>
      <c r="D22" s="25" t="s">
        <v>76</v>
      </c>
      <c r="E22" s="26">
        <v>2120.4018352529865</v>
      </c>
      <c r="F22" s="26">
        <v>33.707750999745237</v>
      </c>
      <c r="L22" t="s">
        <v>77</v>
      </c>
      <c r="M22" t="s">
        <v>78</v>
      </c>
      <c r="N22">
        <v>2599.6730538096072</v>
      </c>
      <c r="O22">
        <v>1887.997028188327</v>
      </c>
      <c r="P22" t="s">
        <v>77</v>
      </c>
      <c r="Q22">
        <v>8977.2815823287692</v>
      </c>
      <c r="R22">
        <v>6610.9111914478053</v>
      </c>
      <c r="T22" s="9" t="s">
        <v>19</v>
      </c>
      <c r="U22" s="9" t="s">
        <v>42</v>
      </c>
      <c r="V22" s="10" t="s">
        <v>43</v>
      </c>
      <c r="W22" s="11"/>
      <c r="X22" s="11">
        <f>VLOOKUP(U22,'[1]% SECCION_ECONOMIA 2022'!$C$81:$I$209,7,FALSE)</f>
        <v>1683.6569498450417</v>
      </c>
      <c r="Y22" s="12">
        <v>5901.3351995864268</v>
      </c>
      <c r="Z22" s="12">
        <v>100</v>
      </c>
      <c r="AA22" s="22">
        <f>X22/$X$2</f>
        <v>1.6134764654450309E-2</v>
      </c>
      <c r="AB22" t="s">
        <v>79</v>
      </c>
      <c r="AC22" t="str">
        <f>LEFT(AB22,4)</f>
        <v>1030</v>
      </c>
      <c r="AD22" s="76" t="s">
        <v>79</v>
      </c>
      <c r="AE22" s="22" t="str">
        <f>V22</f>
        <v>Elaboración y conservación de frutas, legumbres y hortalizas</v>
      </c>
      <c r="AF22" s="22">
        <f>AA22</f>
        <v>1.6134764654450309E-2</v>
      </c>
    </row>
    <row r="23" spans="1:32">
      <c r="A23" s="23"/>
      <c r="B23" s="23" t="s">
        <v>42</v>
      </c>
      <c r="C23" s="24" t="s">
        <v>80</v>
      </c>
      <c r="D23" s="25" t="s">
        <v>81</v>
      </c>
      <c r="E23" s="26">
        <v>1449.3081867202857</v>
      </c>
      <c r="F23" s="26">
        <v>23.039462929926675</v>
      </c>
      <c r="L23" t="s">
        <v>82</v>
      </c>
      <c r="M23" t="s">
        <v>83</v>
      </c>
      <c r="N23">
        <v>974.77201474931667</v>
      </c>
      <c r="O23">
        <v>1030.6753235957394</v>
      </c>
      <c r="P23" t="s">
        <v>82</v>
      </c>
      <c r="Q23">
        <v>2875.8252344252123</v>
      </c>
      <c r="R23">
        <v>2496.3435611846894</v>
      </c>
      <c r="T23" s="23"/>
      <c r="U23" s="23" t="s">
        <v>42</v>
      </c>
      <c r="V23" s="24" t="s">
        <v>75</v>
      </c>
      <c r="W23" s="25" t="s">
        <v>76</v>
      </c>
      <c r="X23" s="25"/>
      <c r="Y23" s="26">
        <v>1940.2444613754376</v>
      </c>
      <c r="Z23" s="26">
        <v>32.878058875750902</v>
      </c>
      <c r="AD23" s="78"/>
      <c r="AE23" s="69" t="s">
        <v>76</v>
      </c>
      <c r="AF23">
        <f>Z23*AF22/100</f>
        <v>5.3047974225540195E-3</v>
      </c>
    </row>
    <row r="24" spans="1:32">
      <c r="A24" s="23"/>
      <c r="B24" s="23"/>
      <c r="C24" s="24"/>
      <c r="D24" s="25"/>
      <c r="E24" s="26"/>
      <c r="F24" s="26"/>
      <c r="T24" s="23"/>
      <c r="U24" s="23"/>
      <c r="V24" s="24"/>
      <c r="W24" s="25"/>
      <c r="X24" s="25"/>
      <c r="Y24" s="26"/>
      <c r="Z24" s="26"/>
      <c r="AD24" s="75" t="s">
        <v>346</v>
      </c>
      <c r="AE24" t="s">
        <v>349</v>
      </c>
    </row>
    <row r="25" spans="1:32">
      <c r="A25" s="23"/>
      <c r="B25" s="23"/>
      <c r="C25" s="24"/>
      <c r="D25" s="25"/>
      <c r="E25" s="26"/>
      <c r="F25" s="26"/>
      <c r="T25" s="23"/>
      <c r="U25" s="23"/>
      <c r="V25" s="24"/>
      <c r="W25" s="25"/>
      <c r="X25" s="25"/>
      <c r="Y25" s="26"/>
      <c r="Z25" s="26"/>
      <c r="AD25" s="75" t="s">
        <v>347</v>
      </c>
      <c r="AE25" t="s">
        <v>350</v>
      </c>
    </row>
    <row r="26" spans="1:32">
      <c r="A26" s="23"/>
      <c r="B26" s="23"/>
      <c r="C26" s="24"/>
      <c r="D26" s="25"/>
      <c r="E26" s="26"/>
      <c r="F26" s="26"/>
      <c r="T26" s="23"/>
      <c r="U26" s="23"/>
      <c r="V26" s="24"/>
      <c r="W26" s="25"/>
      <c r="X26" s="25"/>
      <c r="Y26" s="26"/>
      <c r="Z26" s="26"/>
      <c r="AD26" s="75" t="s">
        <v>348</v>
      </c>
      <c r="AE26" t="s">
        <v>351</v>
      </c>
    </row>
    <row r="27" spans="1:32">
      <c r="A27" s="23"/>
      <c r="B27" s="23" t="s">
        <v>42</v>
      </c>
      <c r="C27" s="24" t="s">
        <v>84</v>
      </c>
      <c r="D27" s="25" t="s">
        <v>85</v>
      </c>
      <c r="E27" s="26">
        <v>1134.6379912797011</v>
      </c>
      <c r="F27" s="26">
        <v>18.037191936472791</v>
      </c>
      <c r="L27" t="s">
        <v>86</v>
      </c>
      <c r="M27" t="s">
        <v>87</v>
      </c>
      <c r="N27">
        <v>3265.1851949527272</v>
      </c>
      <c r="O27">
        <v>2073.0569480792356</v>
      </c>
      <c r="P27" t="s">
        <v>86</v>
      </c>
      <c r="Q27">
        <v>7866.4176404272966</v>
      </c>
      <c r="R27">
        <v>5264.2733906273788</v>
      </c>
      <c r="T27" s="23"/>
      <c r="U27" s="23" t="s">
        <v>42</v>
      </c>
      <c r="V27" s="24" t="s">
        <v>80</v>
      </c>
      <c r="W27" s="25" t="s">
        <v>81</v>
      </c>
      <c r="X27" s="25"/>
      <c r="Y27" s="26">
        <v>1392.5097715427228</v>
      </c>
      <c r="Z27" s="26">
        <v>23.596520523699649</v>
      </c>
      <c r="AD27" s="77"/>
      <c r="AE27" s="70" t="str">
        <f>W27</f>
        <v>Vegetales preparados o en conserva, legumbres y papas</v>
      </c>
      <c r="AF27">
        <f>Z27*AF$22/100</f>
        <v>3.8072430531380041E-3</v>
      </c>
    </row>
    <row r="28" spans="1:32">
      <c r="A28" s="18"/>
      <c r="B28" s="18"/>
      <c r="C28" s="19"/>
      <c r="D28" s="20"/>
      <c r="E28" s="21"/>
      <c r="F28" s="21"/>
      <c r="T28" s="23"/>
      <c r="U28" s="23"/>
      <c r="V28" s="24"/>
      <c r="W28" s="25"/>
      <c r="X28" s="25"/>
      <c r="Y28" s="26"/>
      <c r="Z28" s="26"/>
      <c r="AD28" s="75">
        <v>21311</v>
      </c>
      <c r="AE28" t="s">
        <v>88</v>
      </c>
    </row>
    <row r="29" spans="1:32">
      <c r="A29" s="18"/>
      <c r="B29" s="18"/>
      <c r="C29" s="19"/>
      <c r="D29" s="20"/>
      <c r="E29" s="21"/>
      <c r="F29" s="21"/>
      <c r="T29" s="23"/>
      <c r="U29" s="23"/>
      <c r="V29" s="24"/>
      <c r="W29" s="25"/>
      <c r="X29" s="25"/>
      <c r="Y29" s="26"/>
      <c r="Z29" s="26"/>
      <c r="AD29" s="75">
        <v>21395</v>
      </c>
      <c r="AE29" t="s">
        <v>89</v>
      </c>
    </row>
    <row r="30" spans="1:32">
      <c r="A30" s="18"/>
      <c r="B30" s="18"/>
      <c r="C30" s="19"/>
      <c r="D30" s="20"/>
      <c r="E30" s="21"/>
      <c r="F30" s="21"/>
      <c r="T30" s="23"/>
      <c r="U30" s="23"/>
      <c r="V30" s="24"/>
      <c r="W30" s="25"/>
      <c r="X30" s="25"/>
      <c r="Y30" s="26"/>
      <c r="Z30" s="26"/>
      <c r="AD30" s="75">
        <v>21399</v>
      </c>
      <c r="AE30" t="s">
        <v>90</v>
      </c>
    </row>
    <row r="31" spans="1:32">
      <c r="A31" s="18"/>
      <c r="B31" s="18" t="s">
        <v>42</v>
      </c>
      <c r="C31" s="19" t="s">
        <v>91</v>
      </c>
      <c r="D31" s="20" t="s">
        <v>92</v>
      </c>
      <c r="E31" s="21">
        <v>731.76903177516169</v>
      </c>
      <c r="F31" s="21">
        <v>11.632836711565504</v>
      </c>
      <c r="L31" t="s">
        <v>93</v>
      </c>
      <c r="M31" t="s">
        <v>94</v>
      </c>
      <c r="N31">
        <v>2797.5387191936261</v>
      </c>
      <c r="O31">
        <v>2555.9811045869837</v>
      </c>
      <c r="P31" t="s">
        <v>93</v>
      </c>
      <c r="Q31">
        <v>7377.2438715911121</v>
      </c>
      <c r="R31">
        <v>6103.8860789649279</v>
      </c>
      <c r="T31" s="23"/>
      <c r="U31" s="23" t="s">
        <v>42</v>
      </c>
      <c r="V31" s="24" t="s">
        <v>84</v>
      </c>
      <c r="W31" s="25" t="s">
        <v>85</v>
      </c>
      <c r="X31" s="25"/>
      <c r="Y31" s="26">
        <v>1083.1775736150867</v>
      </c>
      <c r="Z31" s="26">
        <v>18.354788145079389</v>
      </c>
      <c r="AD31" s="77"/>
      <c r="AE31" s="70" t="str">
        <f>W31</f>
        <v>Otras frutas y nueces preparadas y preservadas (excepto por azúcar)</v>
      </c>
      <c r="AF31">
        <f>Z31*AF$22/100</f>
        <v>2.9615018700315048E-3</v>
      </c>
    </row>
    <row r="32" spans="1:32">
      <c r="A32" s="30"/>
      <c r="B32" s="30"/>
      <c r="C32" s="31"/>
      <c r="D32" s="32"/>
      <c r="E32" s="33"/>
      <c r="F32" s="33"/>
      <c r="T32" s="18"/>
      <c r="U32" s="18"/>
      <c r="V32" s="19"/>
      <c r="W32" s="20"/>
      <c r="X32" s="20"/>
      <c r="Y32" s="21"/>
      <c r="Z32" s="21"/>
      <c r="AD32" s="75" t="s">
        <v>334</v>
      </c>
      <c r="AE32" t="s">
        <v>335</v>
      </c>
    </row>
    <row r="33" spans="1:32">
      <c r="A33" s="30"/>
      <c r="B33" s="30"/>
      <c r="C33" s="31"/>
      <c r="D33" s="32"/>
      <c r="E33" s="33"/>
      <c r="F33" s="33"/>
      <c r="T33" s="18"/>
      <c r="U33" s="18"/>
      <c r="V33" s="19"/>
      <c r="W33" s="20"/>
      <c r="X33" s="20"/>
      <c r="Y33" s="21"/>
      <c r="Z33" s="21"/>
      <c r="AD33" s="75" t="s">
        <v>338</v>
      </c>
      <c r="AE33" t="s">
        <v>339</v>
      </c>
    </row>
    <row r="34" spans="1:32">
      <c r="A34" s="30"/>
      <c r="B34" s="30"/>
      <c r="C34" s="31"/>
      <c r="D34" s="32"/>
      <c r="E34" s="33"/>
      <c r="F34" s="33"/>
      <c r="T34" s="18"/>
      <c r="U34" s="18"/>
      <c r="V34" s="19"/>
      <c r="W34" s="20"/>
      <c r="X34" s="20"/>
      <c r="Y34" s="21"/>
      <c r="Z34" s="21"/>
      <c r="AD34" s="75" t="s">
        <v>336</v>
      </c>
      <c r="AE34" t="s">
        <v>337</v>
      </c>
    </row>
    <row r="35" spans="1:32">
      <c r="A35" s="30"/>
      <c r="B35" s="30"/>
      <c r="C35" s="31"/>
      <c r="D35" s="32"/>
      <c r="E35" s="33"/>
      <c r="F35" s="33"/>
      <c r="T35" s="18"/>
      <c r="U35" s="18"/>
      <c r="V35" s="19"/>
      <c r="W35" s="20"/>
      <c r="X35" s="20"/>
      <c r="Y35" s="21"/>
      <c r="Z35" s="21"/>
      <c r="AD35" s="75" t="s">
        <v>340</v>
      </c>
      <c r="AE35" t="s">
        <v>341</v>
      </c>
    </row>
    <row r="36" spans="1:32">
      <c r="A36" s="30"/>
      <c r="B36" s="30"/>
      <c r="C36" s="31"/>
      <c r="D36" s="32"/>
      <c r="E36" s="33"/>
      <c r="F36" s="33"/>
      <c r="T36" s="18"/>
      <c r="U36" s="18"/>
      <c r="V36" s="19"/>
      <c r="W36" s="20"/>
      <c r="X36" s="20"/>
      <c r="Y36" s="21"/>
      <c r="Z36" s="21"/>
      <c r="AD36" s="75" t="s">
        <v>342</v>
      </c>
      <c r="AE36" t="s">
        <v>343</v>
      </c>
    </row>
    <row r="37" spans="1:32">
      <c r="A37" s="30"/>
      <c r="B37" s="30"/>
      <c r="C37" s="31"/>
      <c r="D37" s="32"/>
      <c r="E37" s="33"/>
      <c r="F37" s="33"/>
      <c r="T37" s="18"/>
      <c r="U37" s="18"/>
      <c r="V37" s="19"/>
      <c r="W37" s="20"/>
      <c r="X37" s="20"/>
      <c r="Y37" s="21"/>
      <c r="Z37" s="21"/>
      <c r="AD37" s="75" t="s">
        <v>344</v>
      </c>
      <c r="AE37" t="s">
        <v>345</v>
      </c>
    </row>
    <row r="38" spans="1:32">
      <c r="A38" s="9" t="s">
        <v>19</v>
      </c>
      <c r="B38" s="9" t="s">
        <v>47</v>
      </c>
      <c r="C38" s="10" t="s">
        <v>48</v>
      </c>
      <c r="D38" s="11"/>
      <c r="E38" s="12">
        <v>15643.131228180451</v>
      </c>
      <c r="F38" s="12">
        <v>100</v>
      </c>
      <c r="G38" s="13">
        <f>VLOOKUP(B38,$L$2:$N$121,3,FALSE)</f>
        <v>2724.879805186144</v>
      </c>
      <c r="L38" t="s">
        <v>95</v>
      </c>
      <c r="M38" t="s">
        <v>96</v>
      </c>
      <c r="N38">
        <v>2201.8797171851224</v>
      </c>
      <c r="O38">
        <v>1938.7121088693382</v>
      </c>
      <c r="P38" t="s">
        <v>95</v>
      </c>
      <c r="Q38">
        <v>6160.5907210755067</v>
      </c>
      <c r="R38">
        <v>4844.2719664716542</v>
      </c>
      <c r="T38" s="18"/>
      <c r="U38" s="18" t="s">
        <v>42</v>
      </c>
      <c r="V38" s="19" t="s">
        <v>91</v>
      </c>
      <c r="W38" s="20" t="s">
        <v>92</v>
      </c>
      <c r="X38" s="20"/>
      <c r="Y38" s="21">
        <v>670.59578865742958</v>
      </c>
      <c r="Z38" s="21">
        <v>11.363458708538126</v>
      </c>
      <c r="AD38" s="77"/>
      <c r="AE38" s="70" t="str">
        <f>W38</f>
        <v>Bebidas no alcohólicas</v>
      </c>
      <c r="AF38">
        <f>Z38*AF$22/100</f>
        <v>1.833467319228265E-3</v>
      </c>
    </row>
    <row r="39" spans="1:32">
      <c r="A39" s="44"/>
      <c r="B39" s="44"/>
      <c r="C39" s="45"/>
      <c r="D39" s="46"/>
      <c r="E39" s="47"/>
      <c r="F39" s="47"/>
      <c r="G39" s="48"/>
      <c r="T39" s="30"/>
      <c r="U39" s="30"/>
      <c r="V39" s="31"/>
      <c r="W39" s="32"/>
      <c r="X39" s="32"/>
      <c r="Y39" s="33"/>
      <c r="Z39" s="33"/>
      <c r="AD39" s="75" t="s">
        <v>352</v>
      </c>
      <c r="AE39" t="s">
        <v>353</v>
      </c>
    </row>
    <row r="40" spans="1:32">
      <c r="A40" s="44"/>
      <c r="B40" s="44"/>
      <c r="C40" s="45"/>
      <c r="D40" s="46"/>
      <c r="E40" s="47"/>
      <c r="F40" s="47"/>
      <c r="G40" s="48"/>
      <c r="T40" s="30"/>
      <c r="U40" s="30"/>
      <c r="V40" s="31"/>
      <c r="W40" s="32"/>
      <c r="X40" s="32"/>
      <c r="Y40" s="33"/>
      <c r="Z40" s="33"/>
      <c r="AD40" s="75" t="s">
        <v>354</v>
      </c>
      <c r="AE40" t="s">
        <v>355</v>
      </c>
    </row>
    <row r="41" spans="1:32">
      <c r="A41" s="18"/>
      <c r="B41" s="18" t="s">
        <v>47</v>
      </c>
      <c r="C41" s="19" t="s">
        <v>97</v>
      </c>
      <c r="D41" s="20" t="s">
        <v>98</v>
      </c>
      <c r="E41" s="21">
        <v>12582.036219753147</v>
      </c>
      <c r="F41" s="21">
        <v>80.431698975248196</v>
      </c>
      <c r="L41" t="s">
        <v>99</v>
      </c>
      <c r="M41" t="s">
        <v>100</v>
      </c>
      <c r="N41">
        <v>2593.1235523040641</v>
      </c>
      <c r="O41">
        <v>1949.1815818056873</v>
      </c>
      <c r="P41" t="s">
        <v>99</v>
      </c>
      <c r="Q41">
        <v>6585.0922849848557</v>
      </c>
      <c r="R41">
        <v>5302.0912515356549</v>
      </c>
      <c r="T41" s="9" t="s">
        <v>19</v>
      </c>
      <c r="U41" s="9" t="s">
        <v>47</v>
      </c>
      <c r="V41" s="10" t="s">
        <v>48</v>
      </c>
      <c r="W41" s="11"/>
      <c r="X41" s="11">
        <f>VLOOKUP(U41,'[1]% SECCION_ECONOMIA 2022'!$C$81:$I$209,7,FALSE)</f>
        <v>5881.5027195020648</v>
      </c>
      <c r="Y41" s="12">
        <v>15864.34442747215</v>
      </c>
      <c r="Z41" s="12">
        <v>100</v>
      </c>
      <c r="AA41" s="22">
        <f>X41/$X$2</f>
        <v>5.6363419045910315E-2</v>
      </c>
      <c r="AB41" t="s">
        <v>101</v>
      </c>
      <c r="AC41" t="str">
        <f>LEFT(AB41,4)</f>
        <v>1040</v>
      </c>
      <c r="AD41" s="76" t="s">
        <v>101</v>
      </c>
      <c r="AE41" s="22" t="str">
        <f>V41</f>
        <v>Elaboración de aceites y grasas de origen vegetal y animal</v>
      </c>
      <c r="AF41" s="22">
        <f>AA41</f>
        <v>5.6363419045910315E-2</v>
      </c>
    </row>
    <row r="42" spans="1:32">
      <c r="A42" s="9" t="s">
        <v>19</v>
      </c>
      <c r="B42" s="9" t="s">
        <v>50</v>
      </c>
      <c r="C42" s="10" t="s">
        <v>51</v>
      </c>
      <c r="D42" s="11"/>
      <c r="E42" s="12">
        <v>5704.068465810009</v>
      </c>
      <c r="F42" s="12">
        <v>100</v>
      </c>
      <c r="G42" s="13">
        <f>VLOOKUP(B42,$L$2:$N$121,3,FALSE)</f>
        <v>1049.29531600974</v>
      </c>
      <c r="L42" t="s">
        <v>102</v>
      </c>
      <c r="M42" t="s">
        <v>103</v>
      </c>
      <c r="N42">
        <v>6307.2972528732407</v>
      </c>
      <c r="O42">
        <v>3548.4509220330769</v>
      </c>
      <c r="P42" t="s">
        <v>102</v>
      </c>
      <c r="Q42">
        <v>16764.058496540427</v>
      </c>
      <c r="R42">
        <v>11435.851539504027</v>
      </c>
      <c r="T42" s="18"/>
      <c r="U42" s="18" t="s">
        <v>47</v>
      </c>
      <c r="V42" s="19" t="s">
        <v>97</v>
      </c>
      <c r="W42" s="20" t="s">
        <v>98</v>
      </c>
      <c r="X42" s="20"/>
      <c r="Y42" s="21">
        <v>12982.824730678154</v>
      </c>
      <c r="Z42" s="21">
        <v>81.836503172459544</v>
      </c>
      <c r="AD42" s="77"/>
      <c r="AE42" s="70" t="str">
        <f>W42</f>
        <v>Aceites de origen vegetal</v>
      </c>
      <c r="AF42">
        <f>$Z42*AF41/100</f>
        <v>4.6125851215613058E-2</v>
      </c>
    </row>
    <row r="43" spans="1:32">
      <c r="A43" s="49"/>
      <c r="B43" s="49"/>
      <c r="C43" s="50"/>
      <c r="D43" s="51"/>
      <c r="E43" s="52"/>
      <c r="F43" s="52"/>
      <c r="G43" s="48"/>
      <c r="T43" s="30"/>
      <c r="U43" s="30"/>
      <c r="V43" s="31"/>
      <c r="W43" s="32"/>
      <c r="X43" s="32"/>
      <c r="Y43" s="33"/>
      <c r="Z43" s="33"/>
      <c r="AD43" s="75" t="s">
        <v>356</v>
      </c>
      <c r="AE43" t="s">
        <v>360</v>
      </c>
    </row>
    <row r="44" spans="1:32">
      <c r="A44" s="49"/>
      <c r="B44" s="49"/>
      <c r="C44" s="50"/>
      <c r="D44" s="51"/>
      <c r="E44" s="52"/>
      <c r="F44" s="52"/>
      <c r="G44" s="48"/>
      <c r="T44" s="30"/>
      <c r="U44" s="30"/>
      <c r="V44" s="31"/>
      <c r="W44" s="32"/>
      <c r="X44" s="32"/>
      <c r="Y44" s="33"/>
      <c r="Z44" s="33"/>
      <c r="AD44" s="75" t="s">
        <v>357</v>
      </c>
      <c r="AE44" t="s">
        <v>361</v>
      </c>
    </row>
    <row r="45" spans="1:32">
      <c r="A45" s="49"/>
      <c r="B45" s="49"/>
      <c r="C45" s="50"/>
      <c r="D45" s="51"/>
      <c r="E45" s="52"/>
      <c r="F45" s="52"/>
      <c r="G45" s="48"/>
      <c r="T45" s="30"/>
      <c r="U45" s="30"/>
      <c r="V45" s="31"/>
      <c r="W45" s="32"/>
      <c r="X45" s="32"/>
      <c r="Y45" s="33"/>
      <c r="Z45" s="33"/>
      <c r="AD45" s="75" t="s">
        <v>358</v>
      </c>
      <c r="AE45" t="s">
        <v>362</v>
      </c>
    </row>
    <row r="46" spans="1:32">
      <c r="A46" s="49"/>
      <c r="B46" s="49"/>
      <c r="C46" s="50"/>
      <c r="D46" s="51"/>
      <c r="E46" s="52"/>
      <c r="F46" s="52"/>
      <c r="G46" s="48"/>
      <c r="T46" s="30"/>
      <c r="U46" s="30"/>
      <c r="V46" s="31"/>
      <c r="W46" s="32"/>
      <c r="X46" s="32"/>
      <c r="Y46" s="33"/>
      <c r="Z46" s="33"/>
      <c r="AD46" s="75" t="s">
        <v>359</v>
      </c>
      <c r="AE46" t="s">
        <v>363</v>
      </c>
    </row>
    <row r="47" spans="1:32">
      <c r="A47" s="23"/>
      <c r="B47" s="23" t="s">
        <v>50</v>
      </c>
      <c r="C47" s="24" t="s">
        <v>104</v>
      </c>
      <c r="D47" s="25" t="s">
        <v>105</v>
      </c>
      <c r="E47" s="26">
        <v>3833.6388060677555</v>
      </c>
      <c r="F47" s="26">
        <v>67.208849771815593</v>
      </c>
      <c r="L47" t="s">
        <v>106</v>
      </c>
      <c r="M47" t="s">
        <v>107</v>
      </c>
      <c r="N47">
        <v>498.44563923866065</v>
      </c>
      <c r="O47">
        <v>353.90975866617492</v>
      </c>
      <c r="P47" t="s">
        <v>106</v>
      </c>
      <c r="Q47">
        <v>1306.7459380271307</v>
      </c>
      <c r="R47">
        <v>1022.1865201204145</v>
      </c>
      <c r="T47" s="9" t="s">
        <v>19</v>
      </c>
      <c r="U47" s="9" t="s">
        <v>50</v>
      </c>
      <c r="V47" s="10" t="s">
        <v>51</v>
      </c>
      <c r="W47" s="11"/>
      <c r="X47" s="11">
        <f>VLOOKUP(U47,'[1]% SECCION_ECONOMIA 2022'!$C$81:$I$209,7,FALSE)</f>
        <v>2004.8728096294944</v>
      </c>
      <c r="Y47" s="12">
        <v>4950.6646427537808</v>
      </c>
      <c r="Z47" s="12">
        <v>100</v>
      </c>
      <c r="AA47" s="22">
        <f>X47/$X$2</f>
        <v>1.9213029678317586E-2</v>
      </c>
      <c r="AB47" t="s">
        <v>108</v>
      </c>
      <c r="AC47" t="str">
        <f>LEFT(AB47,4)</f>
        <v>1050</v>
      </c>
      <c r="AD47" s="76" t="s">
        <v>108</v>
      </c>
      <c r="AE47" s="22" t="str">
        <f>V47</f>
        <v>Elaboración de productos lácteos</v>
      </c>
      <c r="AF47" s="22">
        <f>AA47</f>
        <v>1.9213029678317586E-2</v>
      </c>
    </row>
    <row r="48" spans="1:32">
      <c r="A48" s="18"/>
      <c r="B48" s="18" t="s">
        <v>50</v>
      </c>
      <c r="C48" s="19" t="s">
        <v>109</v>
      </c>
      <c r="D48" s="20" t="s">
        <v>110</v>
      </c>
      <c r="E48" s="21">
        <v>1815.5238904066593</v>
      </c>
      <c r="F48" s="21">
        <v>31.828578168176758</v>
      </c>
      <c r="L48" t="s">
        <v>111</v>
      </c>
      <c r="M48" t="s">
        <v>112</v>
      </c>
      <c r="N48">
        <v>5444.9937426938186</v>
      </c>
      <c r="O48">
        <v>4998.4167613614691</v>
      </c>
      <c r="P48" t="s">
        <v>111</v>
      </c>
      <c r="Q48">
        <v>12573.944132778439</v>
      </c>
      <c r="R48">
        <v>11168.637777282062</v>
      </c>
      <c r="T48" s="23"/>
      <c r="U48" s="23" t="s">
        <v>50</v>
      </c>
      <c r="V48" s="24" t="s">
        <v>104</v>
      </c>
      <c r="W48" s="25" t="s">
        <v>105</v>
      </c>
      <c r="X48" s="25"/>
      <c r="Y48" s="26">
        <v>3340.5071829020808</v>
      </c>
      <c r="Z48" s="26">
        <v>67.475933515139928</v>
      </c>
      <c r="AD48" s="77"/>
      <c r="AE48" s="70" t="str">
        <f>W48</f>
        <v>Otros productos lácteos n.c.p.</v>
      </c>
      <c r="AF48">
        <f>$Z48*AF47/100</f>
        <v>1.2964171131985678E-2</v>
      </c>
    </row>
    <row r="49" spans="1:32">
      <c r="A49" s="30"/>
      <c r="B49" s="30"/>
      <c r="C49" s="31"/>
      <c r="D49" s="32"/>
      <c r="E49" s="33"/>
      <c r="F49" s="33"/>
      <c r="T49" s="18"/>
      <c r="U49" s="18"/>
      <c r="V49" s="19"/>
      <c r="W49" s="20"/>
      <c r="X49" s="20"/>
      <c r="Y49" s="21"/>
      <c r="Z49" s="21"/>
      <c r="AD49" s="75" t="s">
        <v>368</v>
      </c>
      <c r="AE49" t="s">
        <v>372</v>
      </c>
    </row>
    <row r="50" spans="1:32">
      <c r="A50" s="30"/>
      <c r="B50" s="30"/>
      <c r="C50" s="31"/>
      <c r="D50" s="32"/>
      <c r="E50" s="33"/>
      <c r="F50" s="33"/>
      <c r="T50" s="18"/>
      <c r="U50" s="18"/>
      <c r="V50" s="19"/>
      <c r="W50" s="20"/>
      <c r="X50" s="20"/>
      <c r="Y50" s="21"/>
      <c r="Z50" s="21"/>
      <c r="AD50" s="75" t="s">
        <v>369</v>
      </c>
      <c r="AE50" t="s">
        <v>373</v>
      </c>
    </row>
    <row r="51" spans="1:32">
      <c r="A51" s="30"/>
      <c r="B51" s="30"/>
      <c r="C51" s="31"/>
      <c r="D51" s="32"/>
      <c r="E51" s="33"/>
      <c r="F51" s="33"/>
      <c r="T51" s="18"/>
      <c r="U51" s="18"/>
      <c r="V51" s="19"/>
      <c r="W51" s="20"/>
      <c r="X51" s="20"/>
      <c r="Y51" s="21"/>
      <c r="Z51" s="21"/>
      <c r="AD51" s="75" t="s">
        <v>385</v>
      </c>
      <c r="AE51" t="s">
        <v>386</v>
      </c>
    </row>
    <row r="52" spans="1:32">
      <c r="A52" s="30"/>
      <c r="B52" s="30"/>
      <c r="C52" s="31"/>
      <c r="D52" s="32"/>
      <c r="E52" s="33"/>
      <c r="F52" s="33"/>
      <c r="T52" s="18"/>
      <c r="U52" s="18"/>
      <c r="V52" s="19"/>
      <c r="W52" s="20"/>
      <c r="X52" s="20"/>
      <c r="Y52" s="21"/>
      <c r="Z52" s="21"/>
      <c r="AD52" s="75" t="s">
        <v>370</v>
      </c>
      <c r="AE52" t="s">
        <v>374</v>
      </c>
    </row>
    <row r="53" spans="1:32">
      <c r="A53" s="30"/>
      <c r="B53" s="30"/>
      <c r="C53" s="31"/>
      <c r="D53" s="32"/>
      <c r="E53" s="33"/>
      <c r="F53" s="33"/>
      <c r="T53" s="18"/>
      <c r="U53" s="18"/>
      <c r="V53" s="19"/>
      <c r="W53" s="20"/>
      <c r="X53" s="20"/>
      <c r="Y53" s="21"/>
      <c r="Z53" s="21"/>
      <c r="AD53" s="75" t="s">
        <v>371</v>
      </c>
      <c r="AE53" t="s">
        <v>375</v>
      </c>
    </row>
    <row r="54" spans="1:32">
      <c r="A54" s="9" t="s">
        <v>19</v>
      </c>
      <c r="B54" s="9" t="s">
        <v>54</v>
      </c>
      <c r="C54" s="10" t="s">
        <v>55</v>
      </c>
      <c r="D54" s="11"/>
      <c r="E54" s="12">
        <v>4078.0056753200997</v>
      </c>
      <c r="F54" s="12">
        <v>100</v>
      </c>
      <c r="G54" s="13">
        <f>VLOOKUP(B54,$L$2:$N$121,3,FALSE)</f>
        <v>3733.6506540269165</v>
      </c>
      <c r="L54" t="s">
        <v>113</v>
      </c>
      <c r="M54" t="s">
        <v>114</v>
      </c>
      <c r="N54">
        <v>1144.4534768966082</v>
      </c>
      <c r="O54">
        <v>851.4341163841857</v>
      </c>
      <c r="P54" t="s">
        <v>113</v>
      </c>
      <c r="Q54">
        <v>2509.4652770015487</v>
      </c>
      <c r="R54">
        <v>1989.1877668877255</v>
      </c>
      <c r="T54" s="18"/>
      <c r="U54" s="18" t="s">
        <v>50</v>
      </c>
      <c r="V54" s="19" t="s">
        <v>109</v>
      </c>
      <c r="W54" s="20" t="s">
        <v>110</v>
      </c>
      <c r="X54" s="20"/>
      <c r="Y54" s="21">
        <v>1560.7598771317005</v>
      </c>
      <c r="Z54" s="21">
        <v>31.526269496281937</v>
      </c>
      <c r="AD54" s="77"/>
      <c r="AE54" s="70" t="str">
        <f>W54</f>
        <v>Leche líquida y crema procesadas</v>
      </c>
      <c r="AF54">
        <f>$Z54*AF47/100</f>
        <v>6.0571515147870326E-3</v>
      </c>
    </row>
    <row r="55" spans="1:32">
      <c r="A55" s="44"/>
      <c r="B55" s="44"/>
      <c r="C55" s="45"/>
      <c r="D55" s="46"/>
      <c r="E55" s="47"/>
      <c r="F55" s="47"/>
      <c r="G55" s="48"/>
      <c r="T55" s="30"/>
      <c r="U55" s="30"/>
      <c r="V55" s="31"/>
      <c r="W55" s="32"/>
      <c r="X55" s="32"/>
      <c r="Y55" s="33"/>
      <c r="Z55" s="33"/>
      <c r="AD55" s="75" t="s">
        <v>364</v>
      </c>
      <c r="AE55" t="s">
        <v>366</v>
      </c>
    </row>
    <row r="56" spans="1:32">
      <c r="A56" s="44"/>
      <c r="B56" s="44"/>
      <c r="C56" s="45"/>
      <c r="D56" s="46"/>
      <c r="E56" s="47"/>
      <c r="F56" s="47"/>
      <c r="G56" s="48"/>
      <c r="T56" s="30"/>
      <c r="U56" s="30"/>
      <c r="V56" s="31"/>
      <c r="W56" s="32"/>
      <c r="X56" s="32"/>
      <c r="Y56" s="33"/>
      <c r="Z56" s="33"/>
      <c r="AD56" s="75" t="s">
        <v>365</v>
      </c>
      <c r="AE56" t="s">
        <v>367</v>
      </c>
    </row>
    <row r="57" spans="1:32">
      <c r="A57" s="18"/>
      <c r="B57" s="18" t="s">
        <v>54</v>
      </c>
      <c r="C57" s="19" t="s">
        <v>115</v>
      </c>
      <c r="D57" s="20" t="s">
        <v>116</v>
      </c>
      <c r="E57" s="21">
        <v>3554.1725279777665</v>
      </c>
      <c r="F57" s="21">
        <v>87.154673410276331</v>
      </c>
      <c r="L57" t="s">
        <v>117</v>
      </c>
      <c r="M57" t="s">
        <v>118</v>
      </c>
      <c r="N57">
        <v>6842.7117945950213</v>
      </c>
      <c r="O57">
        <v>4194.9073822386063</v>
      </c>
      <c r="P57" t="s">
        <v>117</v>
      </c>
      <c r="Q57">
        <v>22618.360106032233</v>
      </c>
      <c r="R57">
        <v>14444.072274311726</v>
      </c>
      <c r="T57" s="9" t="s">
        <v>19</v>
      </c>
      <c r="U57" s="9" t="s">
        <v>54</v>
      </c>
      <c r="V57" s="10" t="s">
        <v>55</v>
      </c>
      <c r="W57" s="11"/>
      <c r="X57" s="11">
        <f>VLOOKUP(U57,'[1]% SECCION_ECONOMIA 2022'!$C$81:$I$209,7,FALSE)</f>
        <v>974.22887396186206</v>
      </c>
      <c r="Y57" s="12">
        <v>3945.6109500818343</v>
      </c>
      <c r="Z57" s="12">
        <v>100</v>
      </c>
      <c r="AA57" s="22">
        <f>X57/$X$2</f>
        <v>9.336197378207893E-3</v>
      </c>
      <c r="AB57" t="s">
        <v>119</v>
      </c>
      <c r="AC57" t="str">
        <f>LEFT(AB57,4)</f>
        <v>1061</v>
      </c>
      <c r="AD57" s="76" t="s">
        <v>650</v>
      </c>
      <c r="AE57" s="22" t="str">
        <f>V57</f>
        <v>Elaboración de harina de trigo</v>
      </c>
      <c r="AF57" s="22">
        <f>AA57</f>
        <v>9.336197378207893E-3</v>
      </c>
    </row>
    <row r="58" spans="1:32">
      <c r="A58" s="9" t="s">
        <v>19</v>
      </c>
      <c r="B58" s="9" t="s">
        <v>57</v>
      </c>
      <c r="C58" s="10" t="s">
        <v>58</v>
      </c>
      <c r="D58" s="11"/>
      <c r="E58" s="28">
        <v>1694.4916509209452</v>
      </c>
      <c r="F58" s="28">
        <v>100</v>
      </c>
      <c r="G58" s="13">
        <f>VLOOKUP(B58,$L$2:$N$121,3,FALSE)</f>
        <v>2833.2947533626711</v>
      </c>
      <c r="L58" t="s">
        <v>120</v>
      </c>
      <c r="M58" t="s">
        <v>121</v>
      </c>
      <c r="N58">
        <v>2897.0784764291157</v>
      </c>
      <c r="O58">
        <v>3153.8338056358389</v>
      </c>
      <c r="P58" t="s">
        <v>120</v>
      </c>
      <c r="Q58">
        <v>9182.8126362122694</v>
      </c>
      <c r="R58">
        <v>7925.7278027130124</v>
      </c>
      <c r="T58" s="18"/>
      <c r="U58" s="18" t="s">
        <v>54</v>
      </c>
      <c r="V58" s="19" t="s">
        <v>115</v>
      </c>
      <c r="W58" s="20" t="s">
        <v>116</v>
      </c>
      <c r="X58" s="20"/>
      <c r="Y58" s="21">
        <v>3450.3240786082069</v>
      </c>
      <c r="Z58" s="21">
        <v>87.447143731610069</v>
      </c>
      <c r="AD58" s="77"/>
      <c r="AE58" s="70" t="str">
        <f>W58</f>
        <v>Harina de trigo</v>
      </c>
      <c r="AF58">
        <f>$Z58*AF57/100</f>
        <v>8.1642379403882668E-3</v>
      </c>
    </row>
    <row r="59" spans="1:32">
      <c r="A59" s="49"/>
      <c r="B59" s="49"/>
      <c r="C59" s="50"/>
      <c r="D59" s="51"/>
      <c r="E59" s="53"/>
      <c r="F59" s="53"/>
      <c r="G59" s="48"/>
      <c r="T59" s="30"/>
      <c r="U59" s="30"/>
      <c r="V59" s="31"/>
      <c r="W59" s="32"/>
      <c r="X59" s="32"/>
      <c r="Y59" s="33"/>
      <c r="Z59" s="33"/>
      <c r="AD59" s="75" t="s">
        <v>376</v>
      </c>
      <c r="AE59" t="s">
        <v>379</v>
      </c>
    </row>
    <row r="60" spans="1:32">
      <c r="A60" s="23"/>
      <c r="B60" s="23" t="s">
        <v>57</v>
      </c>
      <c r="C60" s="24" t="s">
        <v>122</v>
      </c>
      <c r="D60" s="25" t="s">
        <v>123</v>
      </c>
      <c r="E60" s="26">
        <v>1085.1922089046941</v>
      </c>
      <c r="F60" s="26">
        <v>64.042346170009111</v>
      </c>
      <c r="L60" t="s">
        <v>124</v>
      </c>
      <c r="M60" t="s">
        <v>125</v>
      </c>
      <c r="N60">
        <v>3485.7240607585518</v>
      </c>
      <c r="O60">
        <v>2599.5473390641514</v>
      </c>
      <c r="P60" t="s">
        <v>124</v>
      </c>
      <c r="Q60">
        <v>9233.8962785053245</v>
      </c>
      <c r="R60">
        <v>6798.6616257612395</v>
      </c>
      <c r="T60" s="9" t="s">
        <v>19</v>
      </c>
      <c r="U60" s="9" t="s">
        <v>57</v>
      </c>
      <c r="V60" s="10" t="s">
        <v>58</v>
      </c>
      <c r="W60" s="11"/>
      <c r="X60" s="11">
        <f>VLOOKUP(U60,'[1]% SECCION_ECONOMIA 2022'!$C$81:$I$209,7,FALSE)</f>
        <v>765.900937209821</v>
      </c>
      <c r="Y60" s="12">
        <v>1520.33015374405</v>
      </c>
      <c r="Z60" s="12">
        <v>100</v>
      </c>
      <c r="AA60" s="22">
        <f>X60/$X$2</f>
        <v>7.3397561015269425E-3</v>
      </c>
      <c r="AB60" t="s">
        <v>126</v>
      </c>
      <c r="AC60" t="str">
        <f>LEFT(AB60,4)</f>
        <v>1061</v>
      </c>
      <c r="AD60" s="76" t="s">
        <v>650</v>
      </c>
      <c r="AE60" s="22" t="str">
        <f>V60</f>
        <v>Beneficios de arroz</v>
      </c>
      <c r="AF60" s="22">
        <f>AA60</f>
        <v>7.3397561015269425E-3</v>
      </c>
    </row>
    <row r="61" spans="1:32">
      <c r="A61" s="18"/>
      <c r="B61" s="18" t="s">
        <v>57</v>
      </c>
      <c r="C61" s="19" t="s">
        <v>127</v>
      </c>
      <c r="D61" s="20" t="s">
        <v>128</v>
      </c>
      <c r="E61" s="21">
        <v>424.9214807025545</v>
      </c>
      <c r="F61" s="21">
        <v>25.076634663358327</v>
      </c>
      <c r="L61" t="s">
        <v>129</v>
      </c>
      <c r="M61" t="s">
        <v>130</v>
      </c>
      <c r="N61">
        <v>824.95014759750165</v>
      </c>
      <c r="O61">
        <v>794.56315321087754</v>
      </c>
      <c r="P61" t="s">
        <v>129</v>
      </c>
      <c r="Q61">
        <v>2015.2722334135103</v>
      </c>
      <c r="R61">
        <v>1702.1295582927853</v>
      </c>
      <c r="T61" s="23"/>
      <c r="U61" s="23" t="s">
        <v>57</v>
      </c>
      <c r="V61" s="24" t="s">
        <v>122</v>
      </c>
      <c r="W61" s="25" t="s">
        <v>123</v>
      </c>
      <c r="X61" s="25"/>
      <c r="Y61" s="26">
        <v>967.800986927233</v>
      </c>
      <c r="Z61" s="26">
        <v>63.657290789363884</v>
      </c>
      <c r="AD61" s="77"/>
      <c r="AE61" s="70" t="str">
        <f>W61</f>
        <v>Arroz sin cáscara</v>
      </c>
      <c r="AF61">
        <f>$Z61*AF60/100</f>
        <v>4.6722898847790838E-3</v>
      </c>
    </row>
    <row r="62" spans="1:32">
      <c r="A62" s="30"/>
      <c r="B62" s="30"/>
      <c r="C62" s="31"/>
      <c r="D62" s="32"/>
      <c r="E62" s="33"/>
      <c r="F62" s="33"/>
      <c r="T62" s="18"/>
      <c r="U62" s="18"/>
      <c r="V62" s="19"/>
      <c r="W62" s="20"/>
      <c r="X62" s="20"/>
      <c r="Y62" s="21"/>
      <c r="Z62" s="21"/>
      <c r="AD62" s="75" t="s">
        <v>383</v>
      </c>
      <c r="AE62" t="s">
        <v>384</v>
      </c>
    </row>
    <row r="63" spans="1:32">
      <c r="A63" s="9" t="s">
        <v>19</v>
      </c>
      <c r="B63" s="9" t="s">
        <v>63</v>
      </c>
      <c r="C63" s="10" t="s">
        <v>64</v>
      </c>
      <c r="D63" s="11"/>
      <c r="E63" s="12">
        <v>2608.9432924843286</v>
      </c>
      <c r="F63" s="12">
        <v>100</v>
      </c>
      <c r="G63" s="13">
        <f>VLOOKUP(B63,$L$2:$N$121,3,FALSE)</f>
        <v>7713.4459698159008</v>
      </c>
      <c r="L63" t="s">
        <v>131</v>
      </c>
      <c r="M63" t="s">
        <v>132</v>
      </c>
      <c r="N63">
        <v>12093.331056389025</v>
      </c>
      <c r="O63">
        <v>12733.837611057517</v>
      </c>
      <c r="P63" t="s">
        <v>131</v>
      </c>
      <c r="Q63">
        <v>20749.447699276145</v>
      </c>
      <c r="R63">
        <v>19926.1782853654</v>
      </c>
      <c r="T63" s="18"/>
      <c r="U63" s="18" t="s">
        <v>57</v>
      </c>
      <c r="V63" s="19" t="s">
        <v>127</v>
      </c>
      <c r="W63" s="20" t="s">
        <v>128</v>
      </c>
      <c r="X63" s="20"/>
      <c r="Y63" s="21">
        <v>386.30193112372262</v>
      </c>
      <c r="Z63" s="21">
        <v>25.409081716388631</v>
      </c>
      <c r="AD63" s="77"/>
      <c r="AE63" s="70" t="str">
        <f>W63</f>
        <v>Otros productos de molinería n.c.p.</v>
      </c>
      <c r="AF63">
        <f>$Z63*AF60/100</f>
        <v>1.8649646256206013E-3</v>
      </c>
    </row>
    <row r="64" spans="1:32">
      <c r="A64" s="49"/>
      <c r="B64" s="49"/>
      <c r="C64" s="50"/>
      <c r="D64" s="51"/>
      <c r="E64" s="52"/>
      <c r="F64" s="52"/>
      <c r="G64" s="48"/>
      <c r="T64" s="30"/>
      <c r="U64" s="30"/>
      <c r="V64" s="31"/>
      <c r="W64" s="32"/>
      <c r="X64" s="32"/>
      <c r="Y64" s="33"/>
      <c r="Z64" s="33"/>
      <c r="AD64" s="75" t="s">
        <v>378</v>
      </c>
      <c r="AE64" t="s">
        <v>382</v>
      </c>
    </row>
    <row r="65" spans="1:32">
      <c r="A65" s="23"/>
      <c r="B65" s="23" t="s">
        <v>63</v>
      </c>
      <c r="C65" s="24" t="s">
        <v>127</v>
      </c>
      <c r="D65" s="25" t="s">
        <v>128</v>
      </c>
      <c r="E65" s="26">
        <v>1992.2121579562902</v>
      </c>
      <c r="F65" s="26">
        <v>76.36088387567959</v>
      </c>
      <c r="L65" t="s">
        <v>133</v>
      </c>
      <c r="M65" t="s">
        <v>134</v>
      </c>
      <c r="N65">
        <v>4926.3287901064441</v>
      </c>
      <c r="O65">
        <v>3514.9755755277465</v>
      </c>
      <c r="P65" t="s">
        <v>133</v>
      </c>
      <c r="Q65">
        <v>7099.2328415768106</v>
      </c>
      <c r="R65">
        <v>5404.0962225765552</v>
      </c>
      <c r="T65" s="9" t="s">
        <v>19</v>
      </c>
      <c r="U65" s="9" t="s">
        <v>63</v>
      </c>
      <c r="V65" s="10" t="s">
        <v>64</v>
      </c>
      <c r="W65" s="11"/>
      <c r="X65" s="11">
        <f>VLOOKUP(U65,'[1]% SECCION_ECONOMIA 2022'!$C$81:$I$209,7,FALSE)</f>
        <v>899.59999198330388</v>
      </c>
      <c r="Y65" s="12">
        <v>2366.5371905558918</v>
      </c>
      <c r="Z65" s="12">
        <v>100</v>
      </c>
      <c r="AA65" s="22">
        <f>X65/$X$2</f>
        <v>8.6210163864627477E-3</v>
      </c>
      <c r="AB65" t="s">
        <v>135</v>
      </c>
      <c r="AC65" t="str">
        <f>LEFT(AB65,4)</f>
        <v>1061</v>
      </c>
      <c r="AD65" s="76" t="s">
        <v>650</v>
      </c>
      <c r="AE65" s="22" t="str">
        <f>V65</f>
        <v>Elaboración de otros productos de molinería n.c.p. por cuenta propia</v>
      </c>
      <c r="AF65" s="22">
        <f>AA65</f>
        <v>8.6210163864627477E-3</v>
      </c>
    </row>
    <row r="66" spans="1:32">
      <c r="A66" s="18"/>
      <c r="B66" s="18" t="s">
        <v>63</v>
      </c>
      <c r="C66" s="19" t="s">
        <v>136</v>
      </c>
      <c r="D66" s="20" t="s">
        <v>137</v>
      </c>
      <c r="E66" s="21">
        <v>367.22096486407884</v>
      </c>
      <c r="F66" s="21">
        <v>14.075467486086982</v>
      </c>
      <c r="L66" t="s">
        <v>138</v>
      </c>
      <c r="M66" t="s">
        <v>139</v>
      </c>
      <c r="N66">
        <v>18547.442704415578</v>
      </c>
      <c r="O66">
        <v>11009.920180574671</v>
      </c>
      <c r="P66" t="s">
        <v>138</v>
      </c>
      <c r="Q66">
        <v>38374.52923030599</v>
      </c>
      <c r="R66">
        <v>25703.892535383256</v>
      </c>
      <c r="T66" s="23"/>
      <c r="U66" s="23" t="s">
        <v>63</v>
      </c>
      <c r="V66" s="24" t="s">
        <v>127</v>
      </c>
      <c r="W66" s="25" t="s">
        <v>128</v>
      </c>
      <c r="X66" s="25"/>
      <c r="Y66" s="26">
        <v>1827.8865945315831</v>
      </c>
      <c r="Z66" s="26">
        <v>77.238870440156433</v>
      </c>
      <c r="AD66" s="77"/>
      <c r="AE66" s="70" t="str">
        <f>W66</f>
        <v>Otros productos de molinería n.c.p.</v>
      </c>
      <c r="AF66">
        <f>$Z66*AF65/100</f>
        <v>6.658775677364618E-3</v>
      </c>
    </row>
    <row r="67" spans="1:32">
      <c r="A67" s="30"/>
      <c r="B67" s="30"/>
      <c r="C67" s="31"/>
      <c r="D67" s="32"/>
      <c r="E67" s="33"/>
      <c r="F67" s="33"/>
      <c r="T67" s="18"/>
      <c r="U67" s="18"/>
      <c r="V67" s="19"/>
      <c r="W67" s="20"/>
      <c r="X67" s="20"/>
      <c r="Y67" s="21"/>
      <c r="Z67" s="21"/>
      <c r="AD67" s="75" t="s">
        <v>377</v>
      </c>
      <c r="AE67" t="s">
        <v>380</v>
      </c>
    </row>
    <row r="68" spans="1:32">
      <c r="A68" s="30"/>
      <c r="B68" s="30"/>
      <c r="C68" s="31"/>
      <c r="D68" s="32"/>
      <c r="E68" s="33"/>
      <c r="F68" s="33"/>
      <c r="T68" s="18"/>
      <c r="U68" s="18"/>
      <c r="V68" s="19"/>
      <c r="W68" s="20"/>
      <c r="X68" s="20"/>
      <c r="Y68" s="21"/>
      <c r="Z68" s="21"/>
      <c r="AD68" s="75" t="s">
        <v>378</v>
      </c>
      <c r="AE68" t="s">
        <v>381</v>
      </c>
    </row>
    <row r="69" spans="1:32">
      <c r="A69" s="9" t="s">
        <v>19</v>
      </c>
      <c r="B69" s="9" t="s">
        <v>68</v>
      </c>
      <c r="C69" s="10" t="s">
        <v>69</v>
      </c>
      <c r="D69" s="11"/>
      <c r="E69" s="12">
        <v>2299.0025424509777</v>
      </c>
      <c r="F69" s="12">
        <v>100</v>
      </c>
      <c r="G69" s="13">
        <f>VLOOKUP(B69,$L$2:$N$121,3,FALSE)</f>
        <v>1035.9503971494917</v>
      </c>
      <c r="L69" t="s">
        <v>140</v>
      </c>
      <c r="M69" t="s">
        <v>141</v>
      </c>
      <c r="N69">
        <v>10920.516163037231</v>
      </c>
      <c r="O69">
        <v>7549.4446322820559</v>
      </c>
      <c r="P69" t="s">
        <v>140</v>
      </c>
      <c r="Q69">
        <v>27490.035870215805</v>
      </c>
      <c r="R69">
        <v>19875.635877900717</v>
      </c>
      <c r="T69" s="18"/>
      <c r="U69" s="18" t="s">
        <v>63</v>
      </c>
      <c r="V69" s="19" t="s">
        <v>136</v>
      </c>
      <c r="W69" s="20" t="s">
        <v>137</v>
      </c>
      <c r="X69" s="20"/>
      <c r="Y69" s="21">
        <v>319.81572529933311</v>
      </c>
      <c r="Z69" s="21">
        <v>13.514079836801951</v>
      </c>
      <c r="AD69" s="77"/>
      <c r="AE69" s="70" t="str">
        <f>W69</f>
        <v>Productos alimenticios n.c.p.</v>
      </c>
      <c r="AF69">
        <f>$Z69*AF65/100</f>
        <v>1.1650510372103544E-3</v>
      </c>
    </row>
    <row r="70" spans="1:32">
      <c r="A70" s="44"/>
      <c r="B70" s="44"/>
      <c r="C70" s="45"/>
      <c r="D70" s="46"/>
      <c r="E70" s="47"/>
      <c r="F70" s="47"/>
      <c r="G70" s="48"/>
      <c r="T70" s="30"/>
      <c r="U70" s="30"/>
      <c r="V70" s="31"/>
      <c r="W70" s="32"/>
      <c r="X70" s="32"/>
      <c r="Y70" s="33"/>
      <c r="Z70" s="33"/>
      <c r="AD70" s="75" t="s">
        <v>387</v>
      </c>
      <c r="AE70" t="s">
        <v>394</v>
      </c>
    </row>
    <row r="71" spans="1:32">
      <c r="A71" s="44"/>
      <c r="B71" s="44"/>
      <c r="C71" s="45"/>
      <c r="D71" s="46"/>
      <c r="E71" s="47"/>
      <c r="F71" s="47"/>
      <c r="G71" s="48"/>
      <c r="T71" s="30"/>
      <c r="U71" s="30"/>
      <c r="V71" s="31"/>
      <c r="W71" s="32"/>
      <c r="X71" s="32"/>
      <c r="Y71" s="33"/>
      <c r="Z71" s="33"/>
      <c r="AD71" s="75" t="s">
        <v>388</v>
      </c>
      <c r="AE71" t="s">
        <v>395</v>
      </c>
    </row>
    <row r="72" spans="1:32">
      <c r="A72" s="44"/>
      <c r="B72" s="44"/>
      <c r="C72" s="45"/>
      <c r="D72" s="46"/>
      <c r="E72" s="47"/>
      <c r="F72" s="47"/>
      <c r="G72" s="48"/>
      <c r="T72" s="30"/>
      <c r="U72" s="30"/>
      <c r="V72" s="31"/>
      <c r="W72" s="32"/>
      <c r="X72" s="32"/>
      <c r="Y72" s="33"/>
      <c r="Z72" s="33"/>
      <c r="AD72" s="75" t="s">
        <v>389</v>
      </c>
      <c r="AE72" t="s">
        <v>396</v>
      </c>
    </row>
    <row r="73" spans="1:32">
      <c r="A73" s="44"/>
      <c r="B73" s="44"/>
      <c r="C73" s="45"/>
      <c r="D73" s="46"/>
      <c r="E73" s="47"/>
      <c r="F73" s="47"/>
      <c r="G73" s="48"/>
      <c r="T73" s="30"/>
      <c r="U73" s="30"/>
      <c r="V73" s="31"/>
      <c r="W73" s="32"/>
      <c r="X73" s="32"/>
      <c r="Y73" s="33"/>
      <c r="Z73" s="33"/>
      <c r="AD73" s="75" t="s">
        <v>390</v>
      </c>
      <c r="AE73" t="s">
        <v>397</v>
      </c>
    </row>
    <row r="74" spans="1:32">
      <c r="A74" s="44"/>
      <c r="B74" s="44"/>
      <c r="C74" s="45"/>
      <c r="D74" s="46"/>
      <c r="E74" s="47"/>
      <c r="F74" s="47"/>
      <c r="G74" s="48"/>
      <c r="T74" s="30"/>
      <c r="U74" s="30"/>
      <c r="V74" s="31"/>
      <c r="W74" s="32"/>
      <c r="X74" s="32"/>
      <c r="Y74" s="33"/>
      <c r="Z74" s="33"/>
      <c r="AD74" s="75" t="s">
        <v>391</v>
      </c>
      <c r="AE74" t="s">
        <v>398</v>
      </c>
    </row>
    <row r="75" spans="1:32">
      <c r="A75" s="44"/>
      <c r="B75" s="44"/>
      <c r="C75" s="45"/>
      <c r="D75" s="46"/>
      <c r="E75" s="47"/>
      <c r="F75" s="47"/>
      <c r="G75" s="48"/>
      <c r="T75" s="30"/>
      <c r="U75" s="30"/>
      <c r="V75" s="31"/>
      <c r="W75" s="32"/>
      <c r="X75" s="32"/>
      <c r="Y75" s="33"/>
      <c r="Z75" s="33"/>
      <c r="AD75" s="75" t="s">
        <v>392</v>
      </c>
      <c r="AE75" t="s">
        <v>399</v>
      </c>
    </row>
    <row r="76" spans="1:32">
      <c r="A76" s="44"/>
      <c r="B76" s="44"/>
      <c r="C76" s="45"/>
      <c r="D76" s="46"/>
      <c r="E76" s="47"/>
      <c r="F76" s="47"/>
      <c r="G76" s="48"/>
      <c r="T76" s="30"/>
      <c r="U76" s="30"/>
      <c r="V76" s="31"/>
      <c r="W76" s="32"/>
      <c r="X76" s="32"/>
      <c r="Y76" s="33"/>
      <c r="Z76" s="33"/>
      <c r="AD76" s="75" t="s">
        <v>393</v>
      </c>
      <c r="AE76" t="s">
        <v>400</v>
      </c>
    </row>
    <row r="77" spans="1:32">
      <c r="A77" s="18"/>
      <c r="B77" s="18" t="s">
        <v>68</v>
      </c>
      <c r="C77" s="19" t="s">
        <v>142</v>
      </c>
      <c r="D77" s="20" t="s">
        <v>143</v>
      </c>
      <c r="E77" s="21">
        <v>2226.3365158993074</v>
      </c>
      <c r="F77" s="21">
        <v>96.839236790308163</v>
      </c>
      <c r="L77" t="s">
        <v>144</v>
      </c>
      <c r="M77" t="s">
        <v>145</v>
      </c>
      <c r="N77">
        <v>2252.6195241777541</v>
      </c>
      <c r="O77">
        <v>1648.0084160855126</v>
      </c>
      <c r="P77" t="s">
        <v>144</v>
      </c>
      <c r="Q77">
        <v>4083.9897789363677</v>
      </c>
      <c r="R77">
        <v>3056.569832645203</v>
      </c>
      <c r="T77" s="9" t="s">
        <v>19</v>
      </c>
      <c r="U77" s="9" t="s">
        <v>68</v>
      </c>
      <c r="V77" s="10" t="s">
        <v>69</v>
      </c>
      <c r="W77" s="11"/>
      <c r="X77" s="11">
        <f>VLOOKUP(U77,'[1]% SECCION_ECONOMIA 2022'!$C$81:$I$209,7,FALSE)</f>
        <v>1181.3967791707048</v>
      </c>
      <c r="Y77" s="12">
        <v>2091.5041076723992</v>
      </c>
      <c r="Z77" s="12">
        <v>100</v>
      </c>
      <c r="AA77" s="22">
        <f>X77/$X$2</f>
        <v>1.1321521879620008E-2</v>
      </c>
      <c r="AB77" t="s">
        <v>146</v>
      </c>
      <c r="AC77" t="str">
        <f>LEFT(AB77,4)</f>
        <v>1062</v>
      </c>
      <c r="AD77" s="76" t="s">
        <v>146</v>
      </c>
      <c r="AE77" s="22" t="str">
        <f>V77</f>
        <v>Elaboración de almidones y productos derivados del almidón</v>
      </c>
      <c r="AF77" s="22">
        <f>AA77</f>
        <v>1.1321521879620008E-2</v>
      </c>
    </row>
    <row r="78" spans="1:32">
      <c r="A78" s="9" t="s">
        <v>19</v>
      </c>
      <c r="B78" s="9" t="s">
        <v>72</v>
      </c>
      <c r="C78" s="10" t="s">
        <v>73</v>
      </c>
      <c r="D78" s="11"/>
      <c r="E78" s="12">
        <v>13772.923954393016</v>
      </c>
      <c r="F78" s="12">
        <v>100</v>
      </c>
      <c r="G78" s="13">
        <f>VLOOKUP(B78,$L$2:$N$121,3,FALSE)</f>
        <v>2026.4841053381883</v>
      </c>
      <c r="L78" t="s">
        <v>147</v>
      </c>
      <c r="M78" t="s">
        <v>148</v>
      </c>
      <c r="N78">
        <v>141617.77102402865</v>
      </c>
      <c r="O78">
        <v>95775.071017057591</v>
      </c>
      <c r="P78" t="s">
        <v>147</v>
      </c>
      <c r="Q78">
        <v>191741.69560840962</v>
      </c>
      <c r="R78">
        <v>136921.70795610396</v>
      </c>
      <c r="T78" s="18"/>
      <c r="U78" s="18" t="s">
        <v>68</v>
      </c>
      <c r="V78" s="19" t="s">
        <v>142</v>
      </c>
      <c r="W78" s="20" t="s">
        <v>143</v>
      </c>
      <c r="X78" s="20"/>
      <c r="Y78" s="21">
        <v>2021.8558307581347</v>
      </c>
      <c r="Z78" s="21">
        <v>96.669943096990863</v>
      </c>
      <c r="AD78" s="77"/>
      <c r="AE78" s="70" t="str">
        <f>W78</f>
        <v>Servicios de manufactura</v>
      </c>
      <c r="AF78">
        <f>$Z78*AF77/100</f>
        <v>1.0944508758742033E-2</v>
      </c>
    </row>
    <row r="79" spans="1:32">
      <c r="A79" s="49"/>
      <c r="B79" s="49"/>
      <c r="C79" s="50"/>
      <c r="D79" s="51"/>
      <c r="E79" s="52"/>
      <c r="F79" s="52"/>
      <c r="G79" s="48"/>
      <c r="T79" s="30"/>
      <c r="U79" s="30"/>
      <c r="V79" s="31"/>
      <c r="W79" s="32"/>
      <c r="X79" s="32"/>
      <c r="Y79" s="33"/>
      <c r="Z79" s="33"/>
      <c r="AD79" s="75" t="s">
        <v>402</v>
      </c>
      <c r="AE79" t="s">
        <v>401</v>
      </c>
    </row>
    <row r="80" spans="1:32">
      <c r="A80" s="23"/>
      <c r="B80" s="23" t="s">
        <v>72</v>
      </c>
      <c r="C80" s="24" t="s">
        <v>149</v>
      </c>
      <c r="D80" s="25" t="s">
        <v>150</v>
      </c>
      <c r="E80" s="26">
        <v>10902.946074816435</v>
      </c>
      <c r="F80" s="26">
        <v>79.162174356875241</v>
      </c>
      <c r="L80" t="s">
        <v>151</v>
      </c>
      <c r="M80" t="s">
        <v>152</v>
      </c>
      <c r="N80">
        <v>11033.039323876648</v>
      </c>
      <c r="O80">
        <v>8300.9834873038053</v>
      </c>
      <c r="P80" t="s">
        <v>151</v>
      </c>
      <c r="Q80">
        <v>15557.367490014092</v>
      </c>
      <c r="R80">
        <v>12013.633913360771</v>
      </c>
      <c r="T80" s="9" t="s">
        <v>19</v>
      </c>
      <c r="U80" s="9" t="s">
        <v>72</v>
      </c>
      <c r="V80" s="10" t="s">
        <v>73</v>
      </c>
      <c r="W80" s="11"/>
      <c r="X80" s="11">
        <f>VLOOKUP(U80,'[1]% SECCION_ECONOMIA 2022'!$C$81:$I$209,7,FALSE)</f>
        <v>5985.6467383188892</v>
      </c>
      <c r="Y80" s="12">
        <v>12936.486303296619</v>
      </c>
      <c r="Z80" s="12">
        <v>100</v>
      </c>
      <c r="AA80" s="22">
        <f>X80/$X$2</f>
        <v>5.7361448504306072E-2</v>
      </c>
      <c r="AB80" t="s">
        <v>153</v>
      </c>
      <c r="AC80" t="str">
        <f>LEFT(AB80,4)</f>
        <v>1071</v>
      </c>
      <c r="AD80" s="76" t="s">
        <v>651</v>
      </c>
      <c r="AE80" s="22" t="str">
        <f>V80</f>
        <v>Elaboración de productos de panadería</v>
      </c>
      <c r="AF80" s="22">
        <f>AA80</f>
        <v>5.7361448504306072E-2</v>
      </c>
    </row>
    <row r="81" spans="1:32">
      <c r="A81" s="18"/>
      <c r="B81" s="18" t="s">
        <v>72</v>
      </c>
      <c r="C81" s="19" t="s">
        <v>154</v>
      </c>
      <c r="D81" s="20" t="s">
        <v>155</v>
      </c>
      <c r="E81" s="21">
        <v>2681.7031074179308</v>
      </c>
      <c r="F81" s="21">
        <v>19.470833617451099</v>
      </c>
      <c r="L81" t="s">
        <v>156</v>
      </c>
      <c r="M81" t="s">
        <v>157</v>
      </c>
      <c r="N81">
        <v>16191.747085217619</v>
      </c>
      <c r="O81">
        <v>9475.9892938484791</v>
      </c>
      <c r="P81" t="s">
        <v>156</v>
      </c>
      <c r="Q81">
        <v>28702.692630940866</v>
      </c>
      <c r="R81">
        <v>20844.673889031084</v>
      </c>
      <c r="T81" s="23"/>
      <c r="U81" s="23" t="s">
        <v>72</v>
      </c>
      <c r="V81" s="24" t="s">
        <v>149</v>
      </c>
      <c r="W81" s="25" t="s">
        <v>150</v>
      </c>
      <c r="X81" s="25"/>
      <c r="Y81" s="26">
        <v>10246.002565375236</v>
      </c>
      <c r="Z81" s="26">
        <v>79.202360866445147</v>
      </c>
      <c r="AD81" s="77"/>
      <c r="AE81" s="70" t="str">
        <f>W81</f>
        <v>Pan</v>
      </c>
      <c r="AF81">
        <f>$Z81*AF80/100</f>
        <v>4.5431621442600593E-2</v>
      </c>
    </row>
    <row r="82" spans="1:32">
      <c r="A82" s="30"/>
      <c r="B82" s="30"/>
      <c r="C82" s="31"/>
      <c r="D82" s="32"/>
      <c r="E82" s="33"/>
      <c r="F82" s="33"/>
      <c r="T82" s="18"/>
      <c r="U82" s="18"/>
      <c r="V82" s="19"/>
      <c r="W82" s="20"/>
      <c r="X82" s="20"/>
      <c r="Y82" s="21"/>
      <c r="Z82" s="21"/>
      <c r="AD82" s="75" t="s">
        <v>403</v>
      </c>
      <c r="AE82" t="s">
        <v>404</v>
      </c>
    </row>
    <row r="83" spans="1:32">
      <c r="A83" s="9" t="s">
        <v>19</v>
      </c>
      <c r="B83" s="9" t="s">
        <v>77</v>
      </c>
      <c r="C83" s="10" t="s">
        <v>78</v>
      </c>
      <c r="D83" s="11"/>
      <c r="E83" s="12">
        <v>11657.460935015724</v>
      </c>
      <c r="F83" s="12">
        <v>100</v>
      </c>
      <c r="G83" s="13">
        <f>VLOOKUP(B83,$L$2:$N$121,3,FALSE)</f>
        <v>2599.6730538096072</v>
      </c>
      <c r="L83" t="s">
        <v>158</v>
      </c>
      <c r="M83" t="s">
        <v>159</v>
      </c>
      <c r="N83">
        <v>5033.6150368828366</v>
      </c>
      <c r="O83">
        <v>3969.8469899301845</v>
      </c>
      <c r="P83" t="s">
        <v>158</v>
      </c>
      <c r="Q83">
        <v>10156.599153194766</v>
      </c>
      <c r="R83">
        <v>8114.6254627139042</v>
      </c>
      <c r="T83" s="18"/>
      <c r="U83" s="18" t="s">
        <v>72</v>
      </c>
      <c r="V83" s="19" t="s">
        <v>154</v>
      </c>
      <c r="W83" s="20" t="s">
        <v>155</v>
      </c>
      <c r="X83" s="20"/>
      <c r="Y83" s="21">
        <v>2525.6825228109574</v>
      </c>
      <c r="Z83" s="21">
        <v>19.523713499911757</v>
      </c>
      <c r="AD83" s="77"/>
      <c r="AE83" s="70" t="str">
        <f>W83</f>
        <v>Otros productos de panadería y repostería n.c.p.</v>
      </c>
      <c r="AF83">
        <f>$Z83*AF80/100</f>
        <v>1.1199084865380135E-2</v>
      </c>
    </row>
    <row r="84" spans="1:32">
      <c r="A84" s="44"/>
      <c r="B84" s="44"/>
      <c r="C84" s="45"/>
      <c r="D84" s="46"/>
      <c r="E84" s="47"/>
      <c r="F84" s="47"/>
      <c r="G84" s="48"/>
      <c r="T84" s="30"/>
      <c r="U84" s="30"/>
      <c r="V84" s="31"/>
      <c r="W84" s="32"/>
      <c r="X84" s="32"/>
      <c r="Y84" s="33"/>
      <c r="Z84" s="33"/>
      <c r="AD84" s="75" t="s">
        <v>405</v>
      </c>
      <c r="AE84" t="s">
        <v>407</v>
      </c>
    </row>
    <row r="85" spans="1:32">
      <c r="A85" s="44"/>
      <c r="B85" s="44"/>
      <c r="C85" s="45"/>
      <c r="D85" s="46"/>
      <c r="E85" s="47"/>
      <c r="F85" s="47"/>
      <c r="G85" s="48"/>
      <c r="T85" s="30"/>
      <c r="U85" s="30"/>
      <c r="V85" s="31"/>
      <c r="W85" s="32"/>
      <c r="X85" s="32"/>
      <c r="Y85" s="33"/>
      <c r="Z85" s="33"/>
      <c r="AD85" s="75" t="s">
        <v>406</v>
      </c>
      <c r="AE85" t="s">
        <v>408</v>
      </c>
    </row>
    <row r="86" spans="1:32">
      <c r="A86" s="18"/>
      <c r="B86" s="18" t="s">
        <v>77</v>
      </c>
      <c r="C86" s="19" t="s">
        <v>160</v>
      </c>
      <c r="D86" s="20" t="s">
        <v>161</v>
      </c>
      <c r="E86" s="21">
        <v>11596.061795543999</v>
      </c>
      <c r="F86" s="21">
        <v>99.473306067127368</v>
      </c>
      <c r="L86" t="s">
        <v>162</v>
      </c>
      <c r="M86" t="s">
        <v>163</v>
      </c>
      <c r="N86">
        <v>889.81897074497704</v>
      </c>
      <c r="O86">
        <v>617.91324037155857</v>
      </c>
      <c r="P86" t="s">
        <v>162</v>
      </c>
      <c r="Q86">
        <v>1759.7917313938119</v>
      </c>
      <c r="R86">
        <v>1341.2064859664736</v>
      </c>
      <c r="T86" s="9" t="s">
        <v>19</v>
      </c>
      <c r="U86" s="9" t="s">
        <v>77</v>
      </c>
      <c r="V86" s="10" t="s">
        <v>78</v>
      </c>
      <c r="W86" s="11"/>
      <c r="X86" s="11">
        <f>VLOOKUP(U86,'[1]% SECCION_ECONOMIA 2022'!$C$81:$I$209,7,FALSE)</f>
        <v>5629.0697314511908</v>
      </c>
      <c r="Y86" s="12">
        <v>10633.24960188697</v>
      </c>
      <c r="Z86" s="12">
        <v>100</v>
      </c>
      <c r="AA86" s="22">
        <f>X86/$X$2</f>
        <v>5.3944311725030378E-2</v>
      </c>
      <c r="AB86" t="s">
        <v>164</v>
      </c>
      <c r="AC86" t="str">
        <f>LEFT(AB86,4)</f>
        <v>1071</v>
      </c>
      <c r="AD86" s="76" t="s">
        <v>651</v>
      </c>
      <c r="AE86" s="22" t="str">
        <f>V86</f>
        <v>Elaboración de tortillas de maíz</v>
      </c>
      <c r="AF86" s="22">
        <f>AA86</f>
        <v>5.3944311725030378E-2</v>
      </c>
    </row>
    <row r="87" spans="1:32">
      <c r="A87" s="9" t="s">
        <v>19</v>
      </c>
      <c r="B87" s="9" t="s">
        <v>82</v>
      </c>
      <c r="C87" s="10" t="s">
        <v>83</v>
      </c>
      <c r="D87" s="11"/>
      <c r="E87" s="12">
        <v>14046.281418581602</v>
      </c>
      <c r="F87" s="12">
        <v>100</v>
      </c>
      <c r="G87" s="13">
        <f>VLOOKUP(B87,$L$2:$N$121,3,FALSE)</f>
        <v>974.77201474931667</v>
      </c>
      <c r="L87" t="s">
        <v>165</v>
      </c>
      <c r="M87" t="s">
        <v>166</v>
      </c>
      <c r="N87">
        <v>1888.7155080501054</v>
      </c>
      <c r="O87">
        <v>1495.5733544547952</v>
      </c>
      <c r="P87" t="s">
        <v>165</v>
      </c>
      <c r="Q87">
        <v>3285.8738433470317</v>
      </c>
      <c r="R87">
        <v>2672.9299396883589</v>
      </c>
      <c r="T87" s="18"/>
      <c r="U87" s="18" t="s">
        <v>77</v>
      </c>
      <c r="V87" s="19" t="s">
        <v>160</v>
      </c>
      <c r="W87" s="20" t="s">
        <v>161</v>
      </c>
      <c r="X87" s="20"/>
      <c r="Y87" s="21">
        <v>10581.927533079841</v>
      </c>
      <c r="Z87" s="21">
        <v>99.517343514648417</v>
      </c>
      <c r="AD87" s="77"/>
      <c r="AE87" s="70" t="str">
        <f>W87</f>
        <v>Tortillas de maíz, incluso tostadas, horneadas o fritas</v>
      </c>
      <c r="AF87">
        <f>$Z87*AF86/100</f>
        <v>5.368394600601125E-2</v>
      </c>
    </row>
    <row r="88" spans="1:32">
      <c r="A88" s="44"/>
      <c r="B88" s="44"/>
      <c r="C88" s="45"/>
      <c r="D88" s="46"/>
      <c r="E88" s="47"/>
      <c r="F88" s="47"/>
      <c r="G88" s="48"/>
      <c r="T88" s="30"/>
      <c r="U88" s="30"/>
      <c r="V88" s="31"/>
      <c r="W88" s="32"/>
      <c r="X88" s="32"/>
      <c r="Y88" s="33"/>
      <c r="Z88" s="33"/>
      <c r="AD88" s="75" t="s">
        <v>403</v>
      </c>
      <c r="AE88" t="s">
        <v>404</v>
      </c>
    </row>
    <row r="89" spans="1:32">
      <c r="A89" s="18"/>
      <c r="B89" s="18" t="s">
        <v>82</v>
      </c>
      <c r="C89" s="19" t="s">
        <v>167</v>
      </c>
      <c r="D89" s="20" t="s">
        <v>168</v>
      </c>
      <c r="E89" s="21">
        <v>12280.494592792595</v>
      </c>
      <c r="F89" s="21">
        <v>87.428795044266465</v>
      </c>
      <c r="L89" t="s">
        <v>169</v>
      </c>
      <c r="M89" t="s">
        <v>170</v>
      </c>
      <c r="N89">
        <v>18950.262635072308</v>
      </c>
      <c r="O89">
        <v>15185.453217211165</v>
      </c>
      <c r="P89" t="s">
        <v>169</v>
      </c>
      <c r="Q89">
        <v>48773.389376479186</v>
      </c>
      <c r="R89">
        <v>38234.56578550327</v>
      </c>
      <c r="T89" s="9" t="s">
        <v>19</v>
      </c>
      <c r="U89" s="9" t="s">
        <v>82</v>
      </c>
      <c r="V89" s="10" t="s">
        <v>83</v>
      </c>
      <c r="W89" s="11"/>
      <c r="X89" s="11">
        <f>VLOOKUP(U89,'[1]% SECCION_ECONOMIA 2022'!$C$81:$I$209,7,FALSE)</f>
        <v>4028.7624489067166</v>
      </c>
      <c r="Y89" s="12">
        <v>13926.703018197051</v>
      </c>
      <c r="Z89" s="12">
        <v>100</v>
      </c>
      <c r="AA89" s="22">
        <f>X89/$X$2</f>
        <v>3.8608300798912414E-2</v>
      </c>
      <c r="AB89" t="s">
        <v>171</v>
      </c>
      <c r="AC89" t="str">
        <f>LEFT(AB89,4)</f>
        <v>1072</v>
      </c>
      <c r="AD89" s="76" t="s">
        <v>171</v>
      </c>
      <c r="AE89" s="22" t="str">
        <f>V89</f>
        <v>Elaboración de azúcar</v>
      </c>
      <c r="AF89" s="22">
        <f>AA89</f>
        <v>3.8608300798912414E-2</v>
      </c>
    </row>
    <row r="90" spans="1:32">
      <c r="A90" s="9" t="s">
        <v>19</v>
      </c>
      <c r="B90" s="9" t="s">
        <v>86</v>
      </c>
      <c r="C90" s="10" t="s">
        <v>87</v>
      </c>
      <c r="D90" s="11"/>
      <c r="E90" s="12">
        <v>2257.5409953114631</v>
      </c>
      <c r="F90" s="12">
        <v>100</v>
      </c>
      <c r="G90" s="13">
        <f>VLOOKUP(B90,$L$2:$N$121,3,FALSE)</f>
        <v>3265.1851949527272</v>
      </c>
      <c r="L90" t="s">
        <v>172</v>
      </c>
      <c r="M90" t="s">
        <v>173</v>
      </c>
      <c r="N90">
        <v>2299.9047219672834</v>
      </c>
      <c r="O90">
        <v>1844.0713982509326</v>
      </c>
      <c r="P90" t="s">
        <v>172</v>
      </c>
      <c r="Q90">
        <v>4694.2480097839525</v>
      </c>
      <c r="R90">
        <v>3754.5534229763189</v>
      </c>
      <c r="T90" s="18"/>
      <c r="U90" s="18" t="s">
        <v>82</v>
      </c>
      <c r="V90" s="19" t="s">
        <v>167</v>
      </c>
      <c r="W90" s="20" t="s">
        <v>168</v>
      </c>
      <c r="X90" s="20"/>
      <c r="Y90" s="21">
        <v>12219.085600297092</v>
      </c>
      <c r="Z90" s="21">
        <v>87.738537860190348</v>
      </c>
      <c r="AD90" s="77"/>
      <c r="AE90" s="70" t="str">
        <f>W90</f>
        <v>Azúcar de caña sin refinar, refinada y los demás azúcares n.c.p.</v>
      </c>
      <c r="AF90">
        <f>$Z90*AF89/100</f>
        <v>3.3874358613629946E-2</v>
      </c>
    </row>
    <row r="91" spans="1:32">
      <c r="A91" s="44"/>
      <c r="B91" s="44"/>
      <c r="C91" s="45"/>
      <c r="D91" s="46"/>
      <c r="E91" s="47"/>
      <c r="F91" s="47"/>
      <c r="G91" s="48"/>
      <c r="T91" s="30"/>
      <c r="U91" s="30"/>
      <c r="V91" s="31"/>
      <c r="W91" s="32"/>
      <c r="X91" s="32"/>
      <c r="Y91" s="33"/>
      <c r="Z91" s="33"/>
      <c r="AD91" s="75" t="s">
        <v>421</v>
      </c>
      <c r="AE91" t="s">
        <v>423</v>
      </c>
    </row>
    <row r="92" spans="1:32">
      <c r="A92" s="44"/>
      <c r="B92" s="44"/>
      <c r="C92" s="45"/>
      <c r="D92" s="46"/>
      <c r="E92" s="47"/>
      <c r="F92" s="47"/>
      <c r="G92" s="48"/>
      <c r="T92" s="30"/>
      <c r="U92" s="30"/>
      <c r="V92" s="31"/>
      <c r="W92" s="32"/>
      <c r="X92" s="32"/>
      <c r="Y92" s="33"/>
      <c r="Z92" s="33"/>
      <c r="AD92" s="75" t="s">
        <v>422</v>
      </c>
      <c r="AE92" t="s">
        <v>424</v>
      </c>
    </row>
    <row r="93" spans="1:32">
      <c r="A93" s="18"/>
      <c r="B93" s="18" t="s">
        <v>86</v>
      </c>
      <c r="C93" s="19" t="s">
        <v>174</v>
      </c>
      <c r="D93" s="20" t="s">
        <v>175</v>
      </c>
      <c r="E93" s="21">
        <v>2056.9972923677001</v>
      </c>
      <c r="F93" s="21">
        <v>91.116719326016266</v>
      </c>
      <c r="L93" t="s">
        <v>176</v>
      </c>
      <c r="M93" t="s">
        <v>177</v>
      </c>
      <c r="N93">
        <v>20130.487782213553</v>
      </c>
      <c r="O93">
        <v>22258.834986891179</v>
      </c>
      <c r="P93" t="s">
        <v>176</v>
      </c>
      <c r="Q93">
        <v>33997.540003353999</v>
      </c>
      <c r="R93">
        <v>36393.561955690035</v>
      </c>
      <c r="T93" s="9" t="s">
        <v>19</v>
      </c>
      <c r="U93" s="9" t="s">
        <v>86</v>
      </c>
      <c r="V93" s="10" t="s">
        <v>87</v>
      </c>
      <c r="W93" s="11"/>
      <c r="X93" s="11">
        <f>VLOOKUP(U93,'[1]% SECCION_ECONOMIA 2022'!$C$81:$I$209,7,FALSE)</f>
        <v>665.01541447940258</v>
      </c>
      <c r="Y93" s="12">
        <v>2058.1049198310357</v>
      </c>
      <c r="Z93" s="12">
        <v>100</v>
      </c>
      <c r="AA93" s="22">
        <f>X93/$X$2</f>
        <v>6.3729533532317431E-3</v>
      </c>
      <c r="AB93" t="s">
        <v>178</v>
      </c>
      <c r="AC93" t="str">
        <f>LEFT(AB93,4)</f>
        <v>1073</v>
      </c>
      <c r="AD93" s="76" t="s">
        <v>178</v>
      </c>
      <c r="AE93" s="22" t="str">
        <f>V93</f>
        <v>Elaboración de cacao y chocolate y de productos de confitería</v>
      </c>
      <c r="AF93" s="22">
        <f>AA93</f>
        <v>6.3729533532317431E-3</v>
      </c>
    </row>
    <row r="94" spans="1:32">
      <c r="A94" s="9" t="s">
        <v>19</v>
      </c>
      <c r="B94" s="9" t="s">
        <v>93</v>
      </c>
      <c r="C94" s="10" t="s">
        <v>94</v>
      </c>
      <c r="D94" s="11"/>
      <c r="E94" s="28">
        <v>1218.6848077550624</v>
      </c>
      <c r="F94" s="28">
        <v>100</v>
      </c>
      <c r="G94" s="13">
        <f>VLOOKUP(B94,$L$2:$N$121,3,FALSE)</f>
        <v>2797.5387191936261</v>
      </c>
      <c r="L94" t="s">
        <v>179</v>
      </c>
      <c r="M94" t="s">
        <v>180</v>
      </c>
      <c r="N94">
        <v>2650.7789482238049</v>
      </c>
      <c r="O94">
        <v>2355.7293130355342</v>
      </c>
      <c r="P94" t="s">
        <v>179</v>
      </c>
      <c r="Q94">
        <v>4351.4329085767858</v>
      </c>
      <c r="R94">
        <v>3812.3746141499032</v>
      </c>
      <c r="T94" s="18"/>
      <c r="U94" s="18" t="s">
        <v>86</v>
      </c>
      <c r="V94" s="19" t="s">
        <v>174</v>
      </c>
      <c r="W94" s="20" t="s">
        <v>175</v>
      </c>
      <c r="X94" s="20"/>
      <c r="Y94" s="21">
        <v>1874.9165041829406</v>
      </c>
      <c r="Z94" s="21">
        <v>91.09917021805019</v>
      </c>
      <c r="AD94" s="77"/>
      <c r="AE94" s="70" t="str">
        <f>W94</f>
        <v>Cacao, chocolate y productos de confitería</v>
      </c>
      <c r="AF94">
        <f>$Z94*AF93/100</f>
        <v>5.8057076231775228E-3</v>
      </c>
    </row>
    <row r="95" spans="1:32">
      <c r="A95" s="44"/>
      <c r="B95" s="44"/>
      <c r="C95" s="45"/>
      <c r="D95" s="46"/>
      <c r="E95" s="57"/>
      <c r="F95" s="57"/>
      <c r="G95" s="48"/>
      <c r="T95" s="30"/>
      <c r="U95" s="30"/>
      <c r="V95" s="31"/>
      <c r="W95" s="32"/>
      <c r="X95" s="32"/>
      <c r="Y95" s="33"/>
      <c r="Z95" s="33"/>
      <c r="AD95" s="75" t="s">
        <v>425</v>
      </c>
      <c r="AE95" t="s">
        <v>428</v>
      </c>
    </row>
    <row r="96" spans="1:32">
      <c r="A96" s="44"/>
      <c r="B96" s="44"/>
      <c r="C96" s="45"/>
      <c r="D96" s="46"/>
      <c r="E96" s="57"/>
      <c r="F96" s="57"/>
      <c r="G96" s="48"/>
      <c r="T96" s="30"/>
      <c r="U96" s="30"/>
      <c r="V96" s="31"/>
      <c r="W96" s="32"/>
      <c r="X96" s="32"/>
      <c r="Y96" s="33"/>
      <c r="Z96" s="33"/>
      <c r="AD96" s="75" t="s">
        <v>426</v>
      </c>
      <c r="AE96" t="s">
        <v>429</v>
      </c>
    </row>
    <row r="97" spans="1:32">
      <c r="A97" s="44"/>
      <c r="B97" s="44"/>
      <c r="C97" s="45"/>
      <c r="D97" s="46"/>
      <c r="E97" s="57"/>
      <c r="F97" s="57"/>
      <c r="G97" s="48"/>
      <c r="T97" s="30"/>
      <c r="U97" s="30"/>
      <c r="V97" s="31"/>
      <c r="W97" s="32"/>
      <c r="X97" s="32"/>
      <c r="Y97" s="33"/>
      <c r="Z97" s="33"/>
      <c r="AD97" s="75" t="s">
        <v>427</v>
      </c>
      <c r="AE97" t="s">
        <v>430</v>
      </c>
    </row>
    <row r="98" spans="1:32">
      <c r="A98" s="18"/>
      <c r="B98" s="18" t="s">
        <v>93</v>
      </c>
      <c r="C98" s="19" t="s">
        <v>181</v>
      </c>
      <c r="D98" s="20" t="s">
        <v>182</v>
      </c>
      <c r="E98" s="21">
        <v>1163.3132093259583</v>
      </c>
      <c r="F98" s="21">
        <v>95.456446320102728</v>
      </c>
      <c r="L98" t="s">
        <v>183</v>
      </c>
      <c r="M98" t="s">
        <v>184</v>
      </c>
      <c r="N98">
        <v>23307.258304379135</v>
      </c>
      <c r="O98">
        <v>20372.616093086381</v>
      </c>
      <c r="P98" t="s">
        <v>183</v>
      </c>
      <c r="Q98">
        <v>34621.046432034258</v>
      </c>
      <c r="R98">
        <v>30052.234577343603</v>
      </c>
      <c r="T98" s="9" t="s">
        <v>19</v>
      </c>
      <c r="U98" s="9" t="s">
        <v>93</v>
      </c>
      <c r="V98" s="10" t="s">
        <v>94</v>
      </c>
      <c r="W98" s="11"/>
      <c r="X98" s="11">
        <f>VLOOKUP(U98,'[1]% SECCION_ECONOMIA 2022'!$C$81:$I$209,7,FALSE)</f>
        <v>471.95034198907513</v>
      </c>
      <c r="Y98" s="12">
        <v>1155.3669533160687</v>
      </c>
      <c r="Z98" s="12">
        <v>100</v>
      </c>
      <c r="AA98" s="22">
        <f>X98/$X$2</f>
        <v>4.5227786439998403E-3</v>
      </c>
      <c r="AB98" t="s">
        <v>185</v>
      </c>
      <c r="AC98" t="str">
        <f>LEFT(AB98,4)</f>
        <v>1074</v>
      </c>
      <c r="AD98" s="76" t="s">
        <v>185</v>
      </c>
      <c r="AE98" s="22" t="str">
        <f>V98</f>
        <v>Elaboración de macarrones, fideos, alcuzcuz y productos farináceos similares</v>
      </c>
      <c r="AF98" s="22">
        <f>AA98</f>
        <v>4.5227786439998403E-3</v>
      </c>
    </row>
    <row r="99" spans="1:32">
      <c r="A99" s="9" t="s">
        <v>19</v>
      </c>
      <c r="B99" s="9" t="s">
        <v>95</v>
      </c>
      <c r="C99" s="10" t="s">
        <v>96</v>
      </c>
      <c r="D99" s="11"/>
      <c r="E99" s="12">
        <v>9306.9636809697568</v>
      </c>
      <c r="F99" s="12">
        <v>100</v>
      </c>
      <c r="G99" s="13">
        <f>VLOOKUP(B99,$L$2:$N$121,3,FALSE)</f>
        <v>2201.8797171851224</v>
      </c>
      <c r="L99" t="s">
        <v>186</v>
      </c>
      <c r="M99" t="s">
        <v>187</v>
      </c>
      <c r="N99">
        <v>1752.023738088069</v>
      </c>
      <c r="O99">
        <v>1449.682209017421</v>
      </c>
      <c r="P99" t="s">
        <v>186</v>
      </c>
      <c r="Q99">
        <v>6165.1139056864877</v>
      </c>
      <c r="R99">
        <v>5015.9454656099933</v>
      </c>
      <c r="T99" s="18"/>
      <c r="U99" s="18" t="s">
        <v>93</v>
      </c>
      <c r="V99" s="19" t="s">
        <v>181</v>
      </c>
      <c r="W99" s="20" t="s">
        <v>182</v>
      </c>
      <c r="X99" s="20"/>
      <c r="Y99" s="21">
        <v>1101.7418991776758</v>
      </c>
      <c r="Z99" s="21">
        <v>95.358612778002581</v>
      </c>
      <c r="AD99" s="77"/>
      <c r="AE99" s="70" t="str">
        <f>W99</f>
        <v>Macarrones, fideos y productos farináceos similares</v>
      </c>
      <c r="AF99">
        <f>$Z99*AF98/100</f>
        <v>4.3128589739380033E-3</v>
      </c>
    </row>
    <row r="100" spans="1:32">
      <c r="A100" s="44"/>
      <c r="B100" s="44"/>
      <c r="C100" s="45"/>
      <c r="D100" s="46"/>
      <c r="E100" s="47"/>
      <c r="F100" s="47"/>
      <c r="G100" s="48"/>
      <c r="T100" s="30"/>
      <c r="U100" s="30"/>
      <c r="V100" s="31"/>
      <c r="W100" s="32"/>
      <c r="X100" s="32"/>
      <c r="Y100" s="33"/>
      <c r="Z100" s="33"/>
      <c r="AD100" s="75" t="s">
        <v>431</v>
      </c>
      <c r="AE100" t="s">
        <v>432</v>
      </c>
    </row>
    <row r="101" spans="1:32">
      <c r="A101" s="18"/>
      <c r="B101" s="18" t="s">
        <v>95</v>
      </c>
      <c r="C101" s="19" t="s">
        <v>136</v>
      </c>
      <c r="D101" s="20" t="s">
        <v>137</v>
      </c>
      <c r="E101" s="21">
        <v>8911.0524723613144</v>
      </c>
      <c r="F101" s="21">
        <v>95.74607549594316</v>
      </c>
      <c r="L101" t="s">
        <v>188</v>
      </c>
      <c r="M101" t="s">
        <v>189</v>
      </c>
      <c r="N101">
        <v>3619.8774272212363</v>
      </c>
      <c r="O101">
        <v>3004.4123237831022</v>
      </c>
      <c r="P101" t="s">
        <v>188</v>
      </c>
      <c r="Q101">
        <v>6585.0890948486813</v>
      </c>
      <c r="R101">
        <v>5510.9288218802812</v>
      </c>
      <c r="T101" s="9" t="s">
        <v>19</v>
      </c>
      <c r="U101" s="9" t="s">
        <v>95</v>
      </c>
      <c r="V101" s="10" t="s">
        <v>96</v>
      </c>
      <c r="W101" s="11"/>
      <c r="X101" s="11">
        <f>VLOOKUP(U101,'[1]% SECCION_ECONOMIA 2022'!$C$81:$I$209,7,FALSE)</f>
        <v>3023.1300940517722</v>
      </c>
      <c r="Y101" s="12">
        <v>8185.5011525767268</v>
      </c>
      <c r="Z101" s="12">
        <v>100</v>
      </c>
      <c r="AA101" s="22">
        <f>X101/$X$2</f>
        <v>2.8971158638819442E-2</v>
      </c>
      <c r="AB101" t="s">
        <v>190</v>
      </c>
      <c r="AC101" t="str">
        <f>LEFT(AB101,4)</f>
        <v>1075</v>
      </c>
      <c r="AD101" s="76" t="str">
        <f>MID(AB101,7,4)</f>
        <v>1079</v>
      </c>
      <c r="AE101" s="22" t="str">
        <f>V101</f>
        <v xml:space="preserve">Elaboración de otros productos alimenticios n.c.p  incluyendo comidas y platos preparados </v>
      </c>
      <c r="AF101" s="22">
        <f>AA101</f>
        <v>2.8971158638819442E-2</v>
      </c>
    </row>
    <row r="102" spans="1:32">
      <c r="A102" s="9" t="s">
        <v>19</v>
      </c>
      <c r="B102" s="9" t="s">
        <v>99</v>
      </c>
      <c r="C102" s="10" t="s">
        <v>100</v>
      </c>
      <c r="D102" s="11"/>
      <c r="E102" s="12">
        <v>7523.7923091811699</v>
      </c>
      <c r="F102" s="12">
        <v>100</v>
      </c>
      <c r="G102" s="13">
        <f>VLOOKUP(B102,$L$2:$N$121,3,FALSE)</f>
        <v>2593.1235523040641</v>
      </c>
      <c r="L102" t="s">
        <v>191</v>
      </c>
      <c r="M102" t="s">
        <v>192</v>
      </c>
      <c r="N102">
        <v>7478.1464205460206</v>
      </c>
      <c r="O102">
        <v>7039.172332433267</v>
      </c>
      <c r="P102" t="s">
        <v>191</v>
      </c>
      <c r="Q102">
        <v>7768.4220506159872</v>
      </c>
      <c r="R102">
        <v>7266.2872869901885</v>
      </c>
      <c r="T102" s="18"/>
      <c r="U102" s="18" t="s">
        <v>95</v>
      </c>
      <c r="V102" s="19" t="s">
        <v>136</v>
      </c>
      <c r="W102" s="20" t="s">
        <v>137</v>
      </c>
      <c r="X102" s="20"/>
      <c r="Y102" s="21">
        <v>7822.1232879446334</v>
      </c>
      <c r="Z102" s="21">
        <v>95.560713292212967</v>
      </c>
      <c r="AD102" s="77"/>
      <c r="AE102" s="70" t="str">
        <f>W102</f>
        <v>Productos alimenticios n.c.p.</v>
      </c>
      <c r="AF102">
        <f>$Z102*AF101/100</f>
        <v>2.7685045844274433E-2</v>
      </c>
    </row>
    <row r="103" spans="1:32">
      <c r="A103" s="44"/>
      <c r="B103" s="44"/>
      <c r="C103" s="45"/>
      <c r="D103" s="46"/>
      <c r="E103" s="47"/>
      <c r="F103" s="47"/>
      <c r="G103" s="48"/>
      <c r="T103" s="30"/>
      <c r="U103" s="30"/>
      <c r="V103" s="31"/>
      <c r="W103" s="32"/>
      <c r="X103" s="32"/>
      <c r="Y103" s="33"/>
      <c r="Z103" s="33"/>
      <c r="AD103" s="75" t="s">
        <v>387</v>
      </c>
      <c r="AE103" t="s">
        <v>394</v>
      </c>
    </row>
    <row r="104" spans="1:32">
      <c r="A104" s="44"/>
      <c r="B104" s="44"/>
      <c r="C104" s="45"/>
      <c r="D104" s="46"/>
      <c r="E104" s="47"/>
      <c r="F104" s="47"/>
      <c r="G104" s="48"/>
      <c r="T104" s="30"/>
      <c r="U104" s="30"/>
      <c r="V104" s="31"/>
      <c r="W104" s="32"/>
      <c r="X104" s="32"/>
      <c r="Y104" s="33"/>
      <c r="Z104" s="33"/>
      <c r="AD104" s="75" t="s">
        <v>388</v>
      </c>
      <c r="AE104" t="s">
        <v>395</v>
      </c>
    </row>
    <row r="105" spans="1:32">
      <c r="A105" s="44"/>
      <c r="B105" s="44"/>
      <c r="C105" s="45"/>
      <c r="D105" s="46"/>
      <c r="E105" s="47"/>
      <c r="F105" s="47"/>
      <c r="G105" s="48"/>
      <c r="T105" s="30"/>
      <c r="U105" s="30"/>
      <c r="V105" s="31"/>
      <c r="W105" s="32"/>
      <c r="X105" s="32"/>
      <c r="Y105" s="33"/>
      <c r="Z105" s="33"/>
      <c r="AD105" s="75" t="s">
        <v>389</v>
      </c>
      <c r="AE105" t="s">
        <v>396</v>
      </c>
    </row>
    <row r="106" spans="1:32">
      <c r="A106" s="44"/>
      <c r="B106" s="44"/>
      <c r="C106" s="45"/>
      <c r="D106" s="46"/>
      <c r="E106" s="47"/>
      <c r="F106" s="47"/>
      <c r="G106" s="48"/>
      <c r="T106" s="30"/>
      <c r="U106" s="30"/>
      <c r="V106" s="31"/>
      <c r="W106" s="32"/>
      <c r="X106" s="32"/>
      <c r="Y106" s="33"/>
      <c r="Z106" s="33"/>
      <c r="AD106" s="75" t="s">
        <v>390</v>
      </c>
      <c r="AE106" t="s">
        <v>397</v>
      </c>
    </row>
    <row r="107" spans="1:32">
      <c r="A107" s="44"/>
      <c r="B107" s="44"/>
      <c r="C107" s="45"/>
      <c r="D107" s="46"/>
      <c r="E107" s="47"/>
      <c r="F107" s="47"/>
      <c r="G107" s="48"/>
      <c r="T107" s="30"/>
      <c r="U107" s="30"/>
      <c r="V107" s="31"/>
      <c r="W107" s="32"/>
      <c r="X107" s="32"/>
      <c r="Y107" s="33"/>
      <c r="Z107" s="33"/>
      <c r="AD107" s="75" t="s">
        <v>391</v>
      </c>
      <c r="AE107" t="s">
        <v>398</v>
      </c>
    </row>
    <row r="108" spans="1:32">
      <c r="A108" s="44"/>
      <c r="B108" s="44"/>
      <c r="C108" s="45"/>
      <c r="D108" s="46"/>
      <c r="E108" s="47"/>
      <c r="F108" s="47"/>
      <c r="G108" s="48"/>
      <c r="T108" s="30"/>
      <c r="U108" s="30"/>
      <c r="V108" s="31"/>
      <c r="W108" s="32"/>
      <c r="X108" s="32"/>
      <c r="Y108" s="33"/>
      <c r="Z108" s="33"/>
      <c r="AD108" s="75" t="s">
        <v>392</v>
      </c>
      <c r="AE108" t="s">
        <v>399</v>
      </c>
    </row>
    <row r="109" spans="1:32">
      <c r="A109" s="44"/>
      <c r="B109" s="44"/>
      <c r="C109" s="45"/>
      <c r="D109" s="46"/>
      <c r="E109" s="47"/>
      <c r="F109" s="47"/>
      <c r="G109" s="48"/>
      <c r="T109" s="30"/>
      <c r="U109" s="30"/>
      <c r="V109" s="31"/>
      <c r="W109" s="32"/>
      <c r="X109" s="32"/>
      <c r="Y109" s="33"/>
      <c r="Z109" s="33"/>
      <c r="AD109" s="75" t="s">
        <v>393</v>
      </c>
      <c r="AE109" t="s">
        <v>400</v>
      </c>
    </row>
    <row r="110" spans="1:32">
      <c r="A110" s="44"/>
      <c r="B110" s="44"/>
      <c r="C110" s="45"/>
      <c r="D110" s="46"/>
      <c r="E110" s="47"/>
      <c r="F110" s="47"/>
      <c r="G110" s="48"/>
      <c r="T110" s="30"/>
      <c r="U110" s="30"/>
      <c r="V110" s="31"/>
      <c r="W110" s="32"/>
      <c r="X110" s="32"/>
      <c r="Y110" s="33"/>
      <c r="Z110" s="33"/>
      <c r="AD110" s="75" t="s">
        <v>433</v>
      </c>
      <c r="AE110" t="s">
        <v>434</v>
      </c>
    </row>
    <row r="111" spans="1:32">
      <c r="A111" s="18"/>
      <c r="B111" s="18" t="s">
        <v>99</v>
      </c>
      <c r="C111" s="19" t="s">
        <v>193</v>
      </c>
      <c r="D111" s="20" t="s">
        <v>194</v>
      </c>
      <c r="E111" s="21">
        <v>7429.9258803018492</v>
      </c>
      <c r="F111" s="21">
        <v>98.752405369234125</v>
      </c>
      <c r="L111" t="s">
        <v>195</v>
      </c>
      <c r="M111" t="s">
        <v>196</v>
      </c>
      <c r="N111">
        <v>13617.794134058777</v>
      </c>
      <c r="O111">
        <v>10190.122290606578</v>
      </c>
      <c r="P111" t="s">
        <v>195</v>
      </c>
      <c r="Q111">
        <v>18424.505532445462</v>
      </c>
      <c r="R111">
        <v>14114.935248718561</v>
      </c>
      <c r="T111" s="9" t="s">
        <v>19</v>
      </c>
      <c r="U111" s="9" t="s">
        <v>99</v>
      </c>
      <c r="V111" s="10" t="s">
        <v>100</v>
      </c>
      <c r="W111" s="11"/>
      <c r="X111" s="11">
        <f>VLOOKUP(U111,'[1]% SECCION_ECONOMIA 2022'!$C$81:$I$209,7,FALSE)</f>
        <v>2724.8798051861431</v>
      </c>
      <c r="Y111" s="12">
        <v>7267.5921563897145</v>
      </c>
      <c r="Z111" s="12">
        <v>100</v>
      </c>
      <c r="AA111" s="22">
        <f>X111/$X$2</f>
        <v>2.6112976501768515E-2</v>
      </c>
      <c r="AB111" t="s">
        <v>197</v>
      </c>
      <c r="AC111" t="str">
        <f>LEFT(AB111,4)</f>
        <v>1080</v>
      </c>
      <c r="AD111" s="76" t="s">
        <v>197</v>
      </c>
      <c r="AE111" s="22" t="str">
        <f>V111</f>
        <v>Elaboración de alimentos preparados para animales</v>
      </c>
      <c r="AF111" s="22">
        <f>AA111</f>
        <v>2.6112976501768515E-2</v>
      </c>
    </row>
    <row r="112" spans="1:32">
      <c r="A112" s="9" t="s">
        <v>19</v>
      </c>
      <c r="B112" s="9" t="s">
        <v>102</v>
      </c>
      <c r="C112" s="10" t="s">
        <v>103</v>
      </c>
      <c r="D112" s="11"/>
      <c r="E112" s="12">
        <v>879.39370169610845</v>
      </c>
      <c r="F112" s="12">
        <v>100</v>
      </c>
      <c r="G112" s="13">
        <f>VLOOKUP(B112,$L$2:$N$121,3,FALSE)</f>
        <v>6307.2972528732407</v>
      </c>
      <c r="L112" t="s">
        <v>198</v>
      </c>
      <c r="M112" t="s">
        <v>199</v>
      </c>
      <c r="N112">
        <v>5187.6165928981327</v>
      </c>
      <c r="O112">
        <v>4194.3792631274482</v>
      </c>
      <c r="P112" t="s">
        <v>198</v>
      </c>
      <c r="Q112">
        <v>6465.651439989515</v>
      </c>
      <c r="R112">
        <v>5240.4092192023545</v>
      </c>
      <c r="T112" s="18"/>
      <c r="U112" s="18" t="s">
        <v>99</v>
      </c>
      <c r="V112" s="19" t="s">
        <v>193</v>
      </c>
      <c r="W112" s="20" t="s">
        <v>194</v>
      </c>
      <c r="X112" s="20"/>
      <c r="Y112" s="21">
        <v>7162.7511675951937</v>
      </c>
      <c r="Z112" s="21">
        <v>98.557417827824253</v>
      </c>
      <c r="AD112" s="77"/>
      <c r="AE112" s="70" t="str">
        <f>W112</f>
        <v>Preparados para alimentación animal</v>
      </c>
      <c r="AF112">
        <f>$Z112*AF111/100</f>
        <v>2.573627535812956E-2</v>
      </c>
    </row>
    <row r="113" spans="1:32">
      <c r="A113" s="44"/>
      <c r="B113" s="44"/>
      <c r="C113" s="45"/>
      <c r="D113" s="46"/>
      <c r="E113" s="47"/>
      <c r="F113" s="47"/>
      <c r="G113" s="48"/>
      <c r="T113" s="30"/>
      <c r="U113" s="30"/>
      <c r="V113" s="31"/>
      <c r="W113" s="32"/>
      <c r="X113" s="32"/>
      <c r="Y113" s="33"/>
      <c r="Z113" s="33"/>
      <c r="AD113" s="75" t="s">
        <v>435</v>
      </c>
      <c r="AE113" t="s">
        <v>437</v>
      </c>
    </row>
    <row r="114" spans="1:32">
      <c r="A114" s="44"/>
      <c r="B114" s="44"/>
      <c r="C114" s="45"/>
      <c r="D114" s="46"/>
      <c r="E114" s="47"/>
      <c r="F114" s="47"/>
      <c r="G114" s="48"/>
      <c r="T114" s="30"/>
      <c r="U114" s="30"/>
      <c r="V114" s="31"/>
      <c r="W114" s="32"/>
      <c r="X114" s="32"/>
      <c r="Y114" s="33"/>
      <c r="Z114" s="33"/>
      <c r="AD114" s="75" t="s">
        <v>436</v>
      </c>
      <c r="AE114" t="s">
        <v>438</v>
      </c>
    </row>
    <row r="115" spans="1:32">
      <c r="A115" s="18"/>
      <c r="B115" s="18" t="s">
        <v>102</v>
      </c>
      <c r="C115" s="19" t="s">
        <v>200</v>
      </c>
      <c r="D115" s="20" t="s">
        <v>201</v>
      </c>
      <c r="E115" s="21">
        <v>803.48521515158154</v>
      </c>
      <c r="F115" s="21">
        <v>91.368088445696131</v>
      </c>
      <c r="L115" t="s">
        <v>202</v>
      </c>
      <c r="M115" t="s">
        <v>203</v>
      </c>
      <c r="N115">
        <v>6039.7360558036289</v>
      </c>
      <c r="O115">
        <v>5295.8676149211678</v>
      </c>
      <c r="P115" t="s">
        <v>202</v>
      </c>
      <c r="Q115">
        <v>8523.1470535507797</v>
      </c>
      <c r="R115">
        <v>7333.4611864639101</v>
      </c>
      <c r="T115" s="9" t="s">
        <v>19</v>
      </c>
      <c r="U115" s="9" t="s">
        <v>102</v>
      </c>
      <c r="V115" s="10" t="s">
        <v>103</v>
      </c>
      <c r="W115" s="11"/>
      <c r="X115" s="11">
        <f>VLOOKUP(U115,'[1]% SECCION_ECONOMIA 2022'!$C$81:$I$209,7,FALSE)</f>
        <v>240.86267546609474</v>
      </c>
      <c r="Y115" s="12">
        <v>878.1311479969014</v>
      </c>
      <c r="Z115" s="12">
        <v>100</v>
      </c>
      <c r="AA115" s="22">
        <f>X115/$X$2</f>
        <v>2.3082270904677821E-3</v>
      </c>
      <c r="AB115" t="s">
        <v>204</v>
      </c>
      <c r="AC115" t="str">
        <f>LEFT(AB115,4)</f>
        <v>1101</v>
      </c>
      <c r="AD115" s="76" t="s">
        <v>204</v>
      </c>
      <c r="AE115" s="22" t="str">
        <f>V115</f>
        <v>Destilación, rectificación y mezcla de bebidas alcohólicas</v>
      </c>
      <c r="AF115" s="22">
        <f>AA115</f>
        <v>2.3082270904677821E-3</v>
      </c>
    </row>
    <row r="116" spans="1:32">
      <c r="A116" s="9" t="s">
        <v>19</v>
      </c>
      <c r="B116" s="9" t="s">
        <v>106</v>
      </c>
      <c r="C116" s="10" t="s">
        <v>107</v>
      </c>
      <c r="D116" s="11"/>
      <c r="E116" s="12">
        <v>38.215260484391642</v>
      </c>
      <c r="F116" s="12">
        <v>100</v>
      </c>
      <c r="G116" s="13">
        <f>VLOOKUP(B116,$L$2:$N$121,3,FALSE)</f>
        <v>498.44563923866065</v>
      </c>
      <c r="L116" t="s">
        <v>205</v>
      </c>
      <c r="M116" t="s">
        <v>206</v>
      </c>
      <c r="N116">
        <v>1971.0781078954508</v>
      </c>
      <c r="O116">
        <v>1524.2706949233752</v>
      </c>
      <c r="P116" t="s">
        <v>205</v>
      </c>
      <c r="Q116">
        <v>3413.5208674757482</v>
      </c>
      <c r="R116">
        <v>2703.8682283503872</v>
      </c>
      <c r="T116" s="18"/>
      <c r="U116" s="18" t="s">
        <v>102</v>
      </c>
      <c r="V116" s="19" t="s">
        <v>200</v>
      </c>
      <c r="W116" s="20" t="s">
        <v>201</v>
      </c>
      <c r="X116" s="20"/>
      <c r="Y116" s="21">
        <v>799.91634450329082</v>
      </c>
      <c r="Z116" s="21">
        <v>91.09303847471692</v>
      </c>
      <c r="AD116" s="77"/>
      <c r="AE116" s="70" t="str">
        <f>W116</f>
        <v>Aguardientes, licores y demás bebidas espirituosas</v>
      </c>
      <c r="AF116">
        <f>$Z116*AF115/100</f>
        <v>2.1026341916036556E-3</v>
      </c>
    </row>
    <row r="117" spans="1:32">
      <c r="A117" s="44"/>
      <c r="B117" s="44"/>
      <c r="C117" s="45"/>
      <c r="D117" s="46"/>
      <c r="E117" s="47"/>
      <c r="F117" s="47"/>
      <c r="G117" s="48"/>
      <c r="T117" s="30"/>
      <c r="U117" s="30"/>
      <c r="V117" s="31"/>
      <c r="W117" s="32"/>
      <c r="X117" s="32"/>
      <c r="Y117" s="33"/>
      <c r="Z117" s="33"/>
      <c r="AD117" s="75" t="s">
        <v>439</v>
      </c>
      <c r="AE117" t="s">
        <v>440</v>
      </c>
    </row>
    <row r="118" spans="1:32">
      <c r="A118" s="18"/>
      <c r="B118" s="18" t="s">
        <v>106</v>
      </c>
      <c r="C118" s="19" t="s">
        <v>207</v>
      </c>
      <c r="D118" s="20" t="s">
        <v>208</v>
      </c>
      <c r="E118" s="21">
        <v>35.10522907617964</v>
      </c>
      <c r="F118" s="21">
        <v>91.861807642310225</v>
      </c>
      <c r="L118" t="s">
        <v>209</v>
      </c>
      <c r="M118" t="s">
        <v>210</v>
      </c>
      <c r="N118">
        <v>3171.0527222929395</v>
      </c>
      <c r="O118">
        <v>2184.6143527014324</v>
      </c>
      <c r="P118" t="s">
        <v>209</v>
      </c>
      <c r="Q118">
        <v>5559.8525531102305</v>
      </c>
      <c r="R118">
        <v>4144.6770972175173</v>
      </c>
      <c r="T118" s="9" t="s">
        <v>19</v>
      </c>
      <c r="U118" s="9" t="s">
        <v>106</v>
      </c>
      <c r="V118" s="10" t="s">
        <v>107</v>
      </c>
      <c r="W118" s="11"/>
      <c r="X118" s="11">
        <f>VLOOKUP(U118,'[1]% SECCION_ECONOMIA 2022'!$C$81:$I$209,7,FALSE)</f>
        <v>13.349359091360686</v>
      </c>
      <c r="Y118" s="12">
        <v>34.667856858564441</v>
      </c>
      <c r="Z118" s="12">
        <v>100</v>
      </c>
      <c r="AA118" s="22">
        <f>X118/$X$2</f>
        <v>1.2792912905843138E-4</v>
      </c>
      <c r="AB118" t="s">
        <v>211</v>
      </c>
      <c r="AC118" t="str">
        <f>LEFT(AB118,4)</f>
        <v>1102</v>
      </c>
      <c r="AD118" s="76" t="s">
        <v>211</v>
      </c>
      <c r="AE118" s="22" t="str">
        <f>V118</f>
        <v>Elaboración de vinos</v>
      </c>
      <c r="AF118" s="22">
        <f>AA118</f>
        <v>1.2792912905843138E-4</v>
      </c>
    </row>
    <row r="119" spans="1:32">
      <c r="A119" s="9" t="s">
        <v>19</v>
      </c>
      <c r="B119" s="9" t="s">
        <v>111</v>
      </c>
      <c r="C119" s="10" t="s">
        <v>112</v>
      </c>
      <c r="D119" s="11"/>
      <c r="E119" s="12">
        <v>3428.6402603418906</v>
      </c>
      <c r="F119" s="12">
        <v>100</v>
      </c>
      <c r="G119" s="13">
        <f>VLOOKUP(B119,$L$2:$N$121,3,FALSE)</f>
        <v>5444.9937426938186</v>
      </c>
      <c r="L119" t="s">
        <v>212</v>
      </c>
      <c r="M119" t="s">
        <v>213</v>
      </c>
      <c r="N119">
        <v>814.73954029918548</v>
      </c>
      <c r="O119">
        <v>689.9089504437494</v>
      </c>
      <c r="P119" t="s">
        <v>212</v>
      </c>
      <c r="Q119">
        <v>1395.5779096142346</v>
      </c>
      <c r="R119">
        <v>1167.5372909642072</v>
      </c>
      <c r="T119" s="18"/>
      <c r="U119" s="18" t="s">
        <v>106</v>
      </c>
      <c r="V119" s="19" t="s">
        <v>207</v>
      </c>
      <c r="W119" s="20" t="s">
        <v>208</v>
      </c>
      <c r="X119" s="20"/>
      <c r="Y119" s="21">
        <v>32.035334722564535</v>
      </c>
      <c r="Z119" s="21">
        <v>92.406446851503134</v>
      </c>
      <c r="AD119" s="77"/>
      <c r="AE119" s="70" t="str">
        <f>W119</f>
        <v>Vinos</v>
      </c>
      <c r="AF119">
        <f>$Z119*AF118/100</f>
        <v>1.1821476265097025E-4</v>
      </c>
    </row>
    <row r="120" spans="1:32">
      <c r="A120" s="49"/>
      <c r="B120" s="49"/>
      <c r="C120" s="50"/>
      <c r="D120" s="51"/>
      <c r="E120" s="52"/>
      <c r="F120" s="52"/>
      <c r="G120" s="48"/>
      <c r="T120" s="30"/>
      <c r="U120" s="30"/>
      <c r="V120" s="31"/>
      <c r="W120" s="32"/>
      <c r="X120" s="32"/>
      <c r="Y120" s="33"/>
      <c r="Z120" s="33"/>
      <c r="AD120" s="75" t="s">
        <v>441</v>
      </c>
      <c r="AE120" t="s">
        <v>442</v>
      </c>
    </row>
    <row r="121" spans="1:32">
      <c r="A121" s="23"/>
      <c r="B121" s="23" t="s">
        <v>111</v>
      </c>
      <c r="C121" s="24" t="s">
        <v>214</v>
      </c>
      <c r="D121" s="25" t="s">
        <v>215</v>
      </c>
      <c r="E121" s="26">
        <v>2998.2345878029055</v>
      </c>
      <c r="F121" s="26">
        <v>87.446753235754542</v>
      </c>
      <c r="L121" t="s">
        <v>216</v>
      </c>
      <c r="M121" t="s">
        <v>217</v>
      </c>
      <c r="N121">
        <v>3451.9687156580494</v>
      </c>
      <c r="O121">
        <v>2954.8307321334614</v>
      </c>
      <c r="P121" t="s">
        <v>216</v>
      </c>
      <c r="Q121">
        <v>0</v>
      </c>
      <c r="R121">
        <v>4491.5061486696877</v>
      </c>
      <c r="T121" s="9" t="s">
        <v>19</v>
      </c>
      <c r="U121" s="9" t="s">
        <v>111</v>
      </c>
      <c r="V121" s="10" t="s">
        <v>112</v>
      </c>
      <c r="W121" s="11"/>
      <c r="X121" s="11">
        <f>VLOOKUP(U121,'[1]% SECCION_ECONOMIA 2022'!$C$81:$I$209,7,FALSE)</f>
        <v>658.64412518399376</v>
      </c>
      <c r="Y121" s="12">
        <v>3029.7594103614033</v>
      </c>
      <c r="Z121" s="12">
        <v>100</v>
      </c>
      <c r="AA121" s="22">
        <f>X121/$X$2</f>
        <v>6.3118962279448488E-3</v>
      </c>
      <c r="AB121" t="s">
        <v>218</v>
      </c>
      <c r="AC121" t="str">
        <f>LEFT(AB121,4)</f>
        <v>1103</v>
      </c>
      <c r="AD121" s="76" t="s">
        <v>218</v>
      </c>
      <c r="AE121" s="22" t="str">
        <f>V121</f>
        <v>Elaboración de bebidas malteadas y de malta</v>
      </c>
      <c r="AF121" s="22">
        <f>AA121</f>
        <v>6.3118962279448488E-3</v>
      </c>
    </row>
    <row r="122" spans="1:32">
      <c r="A122" s="18"/>
      <c r="B122" s="18" t="s">
        <v>111</v>
      </c>
      <c r="C122" s="19" t="s">
        <v>219</v>
      </c>
      <c r="D122" s="20" t="s">
        <v>220</v>
      </c>
      <c r="E122" s="21">
        <v>329.23212490510099</v>
      </c>
      <c r="F122" s="21">
        <v>9.6024108657077729</v>
      </c>
      <c r="T122" s="23"/>
      <c r="U122" s="23" t="s">
        <v>111</v>
      </c>
      <c r="V122" s="24" t="s">
        <v>214</v>
      </c>
      <c r="W122" s="25" t="s">
        <v>215</v>
      </c>
      <c r="X122" s="25"/>
      <c r="Y122" s="26">
        <v>2573.7402812742039</v>
      </c>
      <c r="Z122" s="26">
        <v>84.948668612838688</v>
      </c>
      <c r="AD122" s="77"/>
      <c r="AE122" s="70" t="str">
        <f>W122</f>
        <v>Cerveza de malta</v>
      </c>
      <c r="AF122">
        <f>$Z122*AF121/100</f>
        <v>5.3618718098631347E-3</v>
      </c>
    </row>
    <row r="123" spans="1:32">
      <c r="A123" s="30"/>
      <c r="B123" s="30"/>
      <c r="C123" s="31"/>
      <c r="D123" s="32"/>
      <c r="E123" s="33"/>
      <c r="F123" s="33"/>
      <c r="T123" s="18"/>
      <c r="U123" s="18"/>
      <c r="V123" s="19"/>
      <c r="W123" s="20"/>
      <c r="X123" s="20"/>
      <c r="Y123" s="21"/>
      <c r="Z123" s="21"/>
      <c r="AD123" s="75" t="s">
        <v>443</v>
      </c>
      <c r="AE123" t="s">
        <v>444</v>
      </c>
    </row>
    <row r="124" spans="1:32">
      <c r="A124" s="9" t="s">
        <v>19</v>
      </c>
      <c r="B124" s="9" t="s">
        <v>113</v>
      </c>
      <c r="C124" s="10" t="s">
        <v>114</v>
      </c>
      <c r="D124" s="11"/>
      <c r="E124" s="12">
        <v>16590.236747271294</v>
      </c>
      <c r="F124" s="12">
        <v>100</v>
      </c>
      <c r="G124" s="13">
        <f>VLOOKUP(B124,$L$2:$N$121,3,FALSE)</f>
        <v>1144.4534768966082</v>
      </c>
      <c r="T124" s="18"/>
      <c r="U124" s="18" t="s">
        <v>111</v>
      </c>
      <c r="V124" s="19" t="s">
        <v>219</v>
      </c>
      <c r="W124" s="20" t="s">
        <v>220</v>
      </c>
      <c r="X124" s="20"/>
      <c r="Y124" s="21">
        <v>368.268524007949</v>
      </c>
      <c r="Z124" s="21">
        <v>12.155041840897205</v>
      </c>
      <c r="AD124" s="77"/>
      <c r="AE124" s="70" t="str">
        <f>W124</f>
        <v xml:space="preserve">Servicios de Comercio </v>
      </c>
      <c r="AF124">
        <f>$Z124*AF121/100</f>
        <v>7.672136274607087E-4</v>
      </c>
    </row>
    <row r="125" spans="1:32">
      <c r="A125" s="18"/>
      <c r="B125" s="18" t="s">
        <v>113</v>
      </c>
      <c r="C125" s="19" t="s">
        <v>91</v>
      </c>
      <c r="D125" s="20" t="s">
        <v>92</v>
      </c>
      <c r="E125" s="21">
        <v>13464.372045382079</v>
      </c>
      <c r="F125" s="21">
        <v>81.158408107688118</v>
      </c>
      <c r="T125" s="9" t="s">
        <v>19</v>
      </c>
      <c r="U125" s="9" t="s">
        <v>113</v>
      </c>
      <c r="V125" s="10" t="s">
        <v>114</v>
      </c>
      <c r="W125" s="11"/>
      <c r="X125" s="11">
        <f>VLOOKUP(U125,'[1]% SECCION_ECONOMIA 2022'!$C$81:$I$209,7,FALSE)</f>
        <v>3733.6506540269183</v>
      </c>
      <c r="Y125" s="12">
        <v>14340.218678954658</v>
      </c>
      <c r="Z125" s="12">
        <v>100</v>
      </c>
      <c r="AA125" s="22">
        <f>X125/$X$2</f>
        <v>3.5780195371867912E-2</v>
      </c>
      <c r="AB125" t="s">
        <v>221</v>
      </c>
      <c r="AC125" t="str">
        <f>LEFT(AB125,4)</f>
        <v>1104</v>
      </c>
      <c r="AD125" s="76" t="s">
        <v>221</v>
      </c>
      <c r="AE125" s="22" t="str">
        <f>V125</f>
        <v>Elaboración de bebidas no alcohólicas; producción de aguas minerales y otras aguas embotelladas</v>
      </c>
      <c r="AF125" s="22">
        <f>AA125</f>
        <v>3.5780195371867912E-2</v>
      </c>
    </row>
    <row r="126" spans="1:32">
      <c r="A126" s="9" t="s">
        <v>19</v>
      </c>
      <c r="B126" s="9" t="s">
        <v>117</v>
      </c>
      <c r="C126" s="10" t="s">
        <v>118</v>
      </c>
      <c r="D126" s="11"/>
      <c r="E126" s="12">
        <v>592.10473339875182</v>
      </c>
      <c r="F126" s="12">
        <v>100</v>
      </c>
      <c r="G126" s="13">
        <f>VLOOKUP(B126,$L$2:$N$121,3,FALSE)</f>
        <v>6842.7117945950213</v>
      </c>
      <c r="T126" s="18"/>
      <c r="U126" s="18" t="s">
        <v>113</v>
      </c>
      <c r="V126" s="19" t="s">
        <v>91</v>
      </c>
      <c r="W126" s="20" t="s">
        <v>92</v>
      </c>
      <c r="X126" s="20"/>
      <c r="Y126" s="21">
        <v>11621.953178657766</v>
      </c>
      <c r="Z126" s="21">
        <v>81.044462702049657</v>
      </c>
      <c r="AD126" s="77"/>
      <c r="AE126" s="70" t="str">
        <f>W126</f>
        <v>Bebidas no alcohólicas</v>
      </c>
      <c r="AF126">
        <f>$Z126*AF125/100</f>
        <v>2.8997867092873986E-2</v>
      </c>
    </row>
    <row r="127" spans="1:32">
      <c r="A127" s="44"/>
      <c r="B127" s="44"/>
      <c r="C127" s="45"/>
      <c r="D127" s="46"/>
      <c r="E127" s="47"/>
      <c r="F127" s="47"/>
      <c r="G127" s="48"/>
      <c r="T127" s="30"/>
      <c r="U127" s="30"/>
      <c r="V127" s="31"/>
      <c r="W127" s="32"/>
      <c r="X127" s="32"/>
      <c r="Y127" s="33"/>
      <c r="Z127" s="33"/>
      <c r="AD127" s="75" t="s">
        <v>352</v>
      </c>
      <c r="AE127" t="s">
        <v>353</v>
      </c>
    </row>
    <row r="128" spans="1:32">
      <c r="A128" s="18"/>
      <c r="B128" s="18" t="s">
        <v>117</v>
      </c>
      <c r="C128" s="19" t="s">
        <v>222</v>
      </c>
      <c r="D128" s="20" t="s">
        <v>223</v>
      </c>
      <c r="E128" s="21">
        <v>543.99873855699116</v>
      </c>
      <c r="F128" s="21">
        <v>91.875424713187726</v>
      </c>
      <c r="N128" s="12">
        <f>SUBTOTAL(9,N2:N126)</f>
        <v>425482.97135527123</v>
      </c>
      <c r="O128" s="12"/>
      <c r="P128" s="12"/>
      <c r="Q128" s="12">
        <f>SUBTOTAL(9,Q2:Q126)</f>
        <v>769383.63828854763</v>
      </c>
      <c r="R128" s="12">
        <f>SUBTOTAL(9,R2:R126)</f>
        <v>604051.16714122542</v>
      </c>
      <c r="T128" s="9" t="s">
        <v>19</v>
      </c>
      <c r="U128" s="9" t="s">
        <v>117</v>
      </c>
      <c r="V128" s="10" t="s">
        <v>118</v>
      </c>
      <c r="W128" s="11"/>
      <c r="X128" s="11">
        <f>VLOOKUP(U128,'[1]% SECCION_ECONOMIA 2022'!$C$81:$I$209,7,FALSE)</f>
        <v>136.43915626828903</v>
      </c>
      <c r="Y128" s="12">
        <v>440.11407276109418</v>
      </c>
      <c r="Z128" s="12">
        <v>100</v>
      </c>
      <c r="AA128" s="22">
        <f>X128/$X$2</f>
        <v>1.3075191334215816E-3</v>
      </c>
      <c r="AB128" t="s">
        <v>224</v>
      </c>
      <c r="AC128" t="str">
        <f>LEFT(AB128,4)</f>
        <v>1200</v>
      </c>
      <c r="AD128" s="76" t="s">
        <v>224</v>
      </c>
      <c r="AE128" s="22" t="str">
        <f>V128</f>
        <v>Elaboración de productos de tabaco</v>
      </c>
      <c r="AF128" s="22">
        <f>AA128</f>
        <v>1.3075191334215816E-3</v>
      </c>
    </row>
    <row r="129" spans="1:35">
      <c r="A129" s="9" t="s">
        <v>19</v>
      </c>
      <c r="B129" s="9" t="s">
        <v>120</v>
      </c>
      <c r="C129" s="10" t="s">
        <v>121</v>
      </c>
      <c r="D129" s="11"/>
      <c r="E129" s="12">
        <v>4025.3308073487096</v>
      </c>
      <c r="F129" s="12">
        <v>100</v>
      </c>
      <c r="G129" s="13">
        <f>VLOOKUP(B129,$L$2:$N$121,3,FALSE)</f>
        <v>2897.0784764291157</v>
      </c>
      <c r="T129" s="18"/>
      <c r="U129" s="18" t="s">
        <v>117</v>
      </c>
      <c r="V129" s="19" t="s">
        <v>222</v>
      </c>
      <c r="W129" s="20" t="s">
        <v>223</v>
      </c>
      <c r="X129" s="20"/>
      <c r="Y129" s="21">
        <v>404.96309744396495</v>
      </c>
      <c r="Z129" s="21">
        <v>92.013212598132455</v>
      </c>
      <c r="AC129" t="s">
        <v>44</v>
      </c>
      <c r="AD129" s="77"/>
      <c r="AE129" s="70" t="str">
        <f>W129</f>
        <v>Productos del tabaco</v>
      </c>
      <c r="AF129">
        <f>$Z129*AF128/100</f>
        <v>1.2030903599964591E-3</v>
      </c>
    </row>
    <row r="130" spans="1:35">
      <c r="A130" s="23"/>
      <c r="B130" s="23" t="s">
        <v>120</v>
      </c>
      <c r="C130" s="24" t="s">
        <v>225</v>
      </c>
      <c r="D130" s="25" t="s">
        <v>226</v>
      </c>
      <c r="E130" s="26">
        <v>3041.0786451123008</v>
      </c>
      <c r="F130" s="26">
        <v>75.548539751328221</v>
      </c>
      <c r="T130" s="9" t="s">
        <v>19</v>
      </c>
      <c r="U130" s="9" t="s">
        <v>120</v>
      </c>
      <c r="V130" s="10" t="s">
        <v>121</v>
      </c>
      <c r="W130" s="11"/>
      <c r="X130" s="11">
        <f>VLOOKUP(U130,'[1]% SECCION_ECONOMIA 2022'!$C$81:$I$209,7,FALSE)</f>
        <v>1009.9897097161256</v>
      </c>
      <c r="Y130" s="12">
        <v>3739.5654325200658</v>
      </c>
      <c r="Z130" s="12">
        <v>100</v>
      </c>
      <c r="AA130" s="22">
        <f>X130/$X$2</f>
        <v>9.6788994166454746E-3</v>
      </c>
      <c r="AB130" t="s">
        <v>227</v>
      </c>
      <c r="AC130" t="str">
        <f>LEFT(AB130,4)</f>
        <v>1311</v>
      </c>
      <c r="AD130" s="76" t="s">
        <v>654</v>
      </c>
      <c r="AE130" s="22" t="str">
        <f>V130</f>
        <v>Hilatura, tejedura y acabado de productos textiles</v>
      </c>
      <c r="AF130" s="22">
        <f>AA130</f>
        <v>9.6788994166454746E-3</v>
      </c>
    </row>
    <row r="131" spans="1:35">
      <c r="A131" s="18"/>
      <c r="B131" s="18" t="s">
        <v>120</v>
      </c>
      <c r="C131" s="19" t="s">
        <v>142</v>
      </c>
      <c r="D131" s="20" t="s">
        <v>143</v>
      </c>
      <c r="E131" s="21">
        <v>727.34211651231885</v>
      </c>
      <c r="F131" s="21">
        <v>18.069126522085373</v>
      </c>
      <c r="T131" s="23"/>
      <c r="U131" s="23" t="s">
        <v>120</v>
      </c>
      <c r="V131" s="24" t="s">
        <v>225</v>
      </c>
      <c r="W131" s="25" t="s">
        <v>226</v>
      </c>
      <c r="X131" s="25"/>
      <c r="Y131" s="26">
        <v>2822.1039207318322</v>
      </c>
      <c r="Z131" s="26">
        <v>75.466092829669705</v>
      </c>
      <c r="AD131" s="77"/>
      <c r="AE131" s="70" t="str">
        <f>W131</f>
        <v>Hilados e hilos, tejidos y telas textiles</v>
      </c>
      <c r="AF131">
        <f>$Z131*AF130/100</f>
        <v>7.3042872186560338E-3</v>
      </c>
    </row>
    <row r="132" spans="1:35">
      <c r="A132" s="30"/>
      <c r="B132" s="30"/>
      <c r="C132" s="31"/>
      <c r="D132" s="32"/>
      <c r="E132" s="33"/>
      <c r="F132" s="33"/>
      <c r="T132" s="18"/>
      <c r="U132" s="18"/>
      <c r="V132" s="19"/>
      <c r="W132" s="20"/>
      <c r="X132" s="20"/>
      <c r="Y132" s="21"/>
      <c r="Z132" s="21"/>
      <c r="AD132" s="75" t="s">
        <v>445</v>
      </c>
      <c r="AE132" t="s">
        <v>448</v>
      </c>
    </row>
    <row r="133" spans="1:35">
      <c r="A133" s="30"/>
      <c r="B133" s="30"/>
      <c r="C133" s="31"/>
      <c r="D133" s="32"/>
      <c r="E133" s="33"/>
      <c r="F133" s="33"/>
      <c r="T133" s="18"/>
      <c r="U133" s="18"/>
      <c r="V133" s="19"/>
      <c r="W133" s="20"/>
      <c r="X133" s="20"/>
      <c r="Y133" s="21"/>
      <c r="Z133" s="21"/>
      <c r="AD133" s="75" t="s">
        <v>447</v>
      </c>
      <c r="AE133" t="s">
        <v>446</v>
      </c>
    </row>
    <row r="134" spans="1:35">
      <c r="A134" s="30"/>
      <c r="B134" s="30"/>
      <c r="C134" s="31"/>
      <c r="D134" s="32"/>
      <c r="E134" s="33"/>
      <c r="F134" s="33"/>
      <c r="T134" s="18"/>
      <c r="U134" s="18"/>
      <c r="V134" s="19"/>
      <c r="W134" s="20"/>
      <c r="X134" s="20"/>
      <c r="Y134" s="21"/>
      <c r="Z134" s="21"/>
      <c r="AD134" s="75" t="s">
        <v>449</v>
      </c>
      <c r="AE134" t="s">
        <v>453</v>
      </c>
    </row>
    <row r="135" spans="1:35">
      <c r="A135" s="30"/>
      <c r="B135" s="30"/>
      <c r="C135" s="31"/>
      <c r="D135" s="32"/>
      <c r="E135" s="33"/>
      <c r="F135" s="33"/>
      <c r="T135" s="18"/>
      <c r="U135" s="18"/>
      <c r="V135" s="19"/>
      <c r="W135" s="20"/>
      <c r="X135" s="20"/>
      <c r="Y135" s="21"/>
      <c r="Z135" s="21"/>
      <c r="AD135" s="75" t="s">
        <v>450</v>
      </c>
      <c r="AE135" t="s">
        <v>454</v>
      </c>
    </row>
    <row r="136" spans="1:35">
      <c r="A136" s="30"/>
      <c r="B136" s="30"/>
      <c r="C136" s="31"/>
      <c r="D136" s="32"/>
      <c r="E136" s="33"/>
      <c r="F136" s="33"/>
      <c r="T136" s="18"/>
      <c r="U136" s="18"/>
      <c r="V136" s="19"/>
      <c r="W136" s="20"/>
      <c r="X136" s="20"/>
      <c r="Y136" s="21"/>
      <c r="Z136" s="21"/>
      <c r="AD136" s="75" t="s">
        <v>451</v>
      </c>
      <c r="AE136" t="s">
        <v>455</v>
      </c>
    </row>
    <row r="137" spans="1:35">
      <c r="A137" s="30"/>
      <c r="B137" s="30"/>
      <c r="C137" s="31"/>
      <c r="D137" s="32"/>
      <c r="E137" s="33"/>
      <c r="F137" s="33"/>
      <c r="T137" s="18"/>
      <c r="U137" s="18"/>
      <c r="V137" s="19"/>
      <c r="W137" s="20"/>
      <c r="X137" s="20"/>
      <c r="Y137" s="21"/>
      <c r="Z137" s="21"/>
      <c r="AD137" s="75" t="s">
        <v>452</v>
      </c>
      <c r="AE137" t="s">
        <v>456</v>
      </c>
    </row>
    <row r="138" spans="1:35">
      <c r="A138" s="9" t="s">
        <v>19</v>
      </c>
      <c r="B138" s="9" t="s">
        <v>124</v>
      </c>
      <c r="C138" s="10" t="s">
        <v>125</v>
      </c>
      <c r="D138" s="11"/>
      <c r="E138" s="12">
        <v>4462.3933199397816</v>
      </c>
      <c r="F138" s="12">
        <v>100</v>
      </c>
      <c r="G138" s="13">
        <f>VLOOKUP(B138,$L$2:$N$121,3,FALSE)</f>
        <v>3485.7240607585518</v>
      </c>
      <c r="T138" s="18"/>
      <c r="U138" s="18" t="s">
        <v>120</v>
      </c>
      <c r="V138" s="19" t="s">
        <v>142</v>
      </c>
      <c r="W138" s="20" t="s">
        <v>143</v>
      </c>
      <c r="X138" s="20"/>
      <c r="Y138" s="21">
        <v>675.26920073212455</v>
      </c>
      <c r="Z138" s="21">
        <v>18.057424396424203</v>
      </c>
      <c r="AD138" s="77"/>
      <c r="AE138" s="70" t="str">
        <f>W138</f>
        <v>Servicios de manufactura</v>
      </c>
      <c r="AF138">
        <f>$Z138*AF129/100</f>
        <v>2.1724713217702838E-4</v>
      </c>
    </row>
    <row r="139" spans="1:35">
      <c r="A139" s="18"/>
      <c r="B139" s="18" t="s">
        <v>124</v>
      </c>
      <c r="C139" s="19" t="s">
        <v>228</v>
      </c>
      <c r="D139" s="20" t="s">
        <v>229</v>
      </c>
      <c r="E139" s="21">
        <v>3868.8442420131305</v>
      </c>
      <c r="F139" s="21">
        <v>86.698862350962358</v>
      </c>
      <c r="T139" s="9" t="s">
        <v>19</v>
      </c>
      <c r="U139" s="9" t="s">
        <v>124</v>
      </c>
      <c r="V139" s="10" t="s">
        <v>125</v>
      </c>
      <c r="W139" s="11"/>
      <c r="X139" s="11">
        <f>VLOOKUP(U139,'[1]% SECCION_ECONOMIA 2022'!$C$81:$I$209,7,FALSE)</f>
        <v>1823.3050436465455</v>
      </c>
      <c r="Y139" s="12">
        <v>4636.9259037490119</v>
      </c>
      <c r="Z139" s="12">
        <v>100</v>
      </c>
      <c r="AA139" s="22">
        <f>X139/$X$2</f>
        <v>1.7473035570112341E-2</v>
      </c>
      <c r="AB139" t="s">
        <v>230</v>
      </c>
      <c r="AC139" t="str">
        <f>LEFT(AB139,4)</f>
        <v>1391</v>
      </c>
      <c r="AD139" s="76" t="s">
        <v>653</v>
      </c>
      <c r="AE139" s="22" t="str">
        <f>V139</f>
        <v>Fabricación de otros productos textiles</v>
      </c>
      <c r="AF139" s="22">
        <f>AA139</f>
        <v>1.7473035570112341E-2</v>
      </c>
      <c r="AH139">
        <v>1394</v>
      </c>
      <c r="AI139">
        <v>1399</v>
      </c>
    </row>
    <row r="140" spans="1:35">
      <c r="A140" s="9" t="s">
        <v>19</v>
      </c>
      <c r="B140" s="9" t="s">
        <v>129</v>
      </c>
      <c r="C140" s="10" t="s">
        <v>130</v>
      </c>
      <c r="D140" s="11"/>
      <c r="E140" s="12">
        <v>15213.014226648746</v>
      </c>
      <c r="F140" s="12">
        <v>100</v>
      </c>
      <c r="G140" s="13">
        <f>VLOOKUP(B140,$L$2:$N$121,3,FALSE)</f>
        <v>824.95014759750165</v>
      </c>
      <c r="T140" s="18"/>
      <c r="U140" s="18" t="s">
        <v>124</v>
      </c>
      <c r="V140" s="19" t="s">
        <v>228</v>
      </c>
      <c r="W140" s="20" t="s">
        <v>229</v>
      </c>
      <c r="X140" s="20"/>
      <c r="Y140" s="21">
        <v>4047.3121755161419</v>
      </c>
      <c r="Z140" s="21">
        <v>87.284383221302718</v>
      </c>
      <c r="AD140" s="77"/>
      <c r="AE140" s="70" t="str">
        <f>W140</f>
        <v>Otros productos textiles (artículos textiles excepto prendas de vestir)</v>
      </c>
      <c r="AF140" s="54">
        <f>$Z140*AF139/100</f>
        <v>1.5251231327411392E-2</v>
      </c>
    </row>
    <row r="141" spans="1:35">
      <c r="A141" s="49"/>
      <c r="B141" s="49"/>
      <c r="C141" s="50"/>
      <c r="D141" s="51"/>
      <c r="E141" s="52"/>
      <c r="F141" s="52"/>
      <c r="G141" s="48"/>
      <c r="T141" s="30"/>
      <c r="U141" s="30"/>
      <c r="V141" s="31"/>
      <c r="W141" s="32"/>
      <c r="X141" s="32"/>
      <c r="Y141" s="33"/>
      <c r="Z141" s="33"/>
      <c r="AD141" s="75">
        <v>27120</v>
      </c>
      <c r="AE141" t="s">
        <v>457</v>
      </c>
    </row>
    <row r="142" spans="1:35">
      <c r="A142" s="49"/>
      <c r="B142" s="49"/>
      <c r="C142" s="50"/>
      <c r="D142" s="51"/>
      <c r="E142" s="52"/>
      <c r="F142" s="52"/>
      <c r="G142" s="48"/>
      <c r="T142" s="30"/>
      <c r="U142" s="30"/>
      <c r="V142" s="31"/>
      <c r="W142" s="32"/>
      <c r="X142" s="32"/>
      <c r="Y142" s="33"/>
      <c r="Z142" s="33"/>
      <c r="AD142" s="75">
        <v>27130</v>
      </c>
      <c r="AE142" t="s">
        <v>458</v>
      </c>
    </row>
    <row r="143" spans="1:35">
      <c r="A143" s="49"/>
      <c r="B143" s="49"/>
      <c r="C143" s="50"/>
      <c r="D143" s="51"/>
      <c r="E143" s="52"/>
      <c r="F143" s="52"/>
      <c r="G143" s="48"/>
      <c r="T143" s="30"/>
      <c r="U143" s="30"/>
      <c r="V143" s="31"/>
      <c r="W143" s="32"/>
      <c r="X143" s="32"/>
      <c r="Y143" s="33"/>
      <c r="Z143" s="33"/>
      <c r="AD143" s="75">
        <v>27180</v>
      </c>
      <c r="AE143" t="s">
        <v>459</v>
      </c>
    </row>
    <row r="144" spans="1:35">
      <c r="A144" s="49"/>
      <c r="B144" s="49"/>
      <c r="C144" s="50"/>
      <c r="D144" s="51"/>
      <c r="E144" s="52"/>
      <c r="F144" s="52"/>
      <c r="G144" s="48"/>
      <c r="T144" s="30"/>
      <c r="U144" s="30"/>
      <c r="V144" s="31"/>
      <c r="W144" s="32"/>
      <c r="X144" s="32"/>
      <c r="Y144" s="33"/>
      <c r="Z144" s="33"/>
      <c r="AD144" s="75">
        <v>27190</v>
      </c>
      <c r="AE144" t="s">
        <v>460</v>
      </c>
    </row>
    <row r="145" spans="1:32">
      <c r="A145" s="49"/>
      <c r="B145" s="49"/>
      <c r="C145" s="50"/>
      <c r="D145" s="51"/>
      <c r="E145" s="52"/>
      <c r="F145" s="52"/>
      <c r="G145" s="48"/>
      <c r="T145" s="30"/>
      <c r="U145" s="30"/>
      <c r="V145" s="31"/>
      <c r="W145" s="32"/>
      <c r="X145" s="32"/>
      <c r="Y145" s="33"/>
      <c r="Z145" s="33"/>
      <c r="AD145" s="75">
        <v>27911</v>
      </c>
      <c r="AE145" t="s">
        <v>461</v>
      </c>
    </row>
    <row r="146" spans="1:32" ht="28">
      <c r="A146" s="23"/>
      <c r="B146" s="23" t="s">
        <v>129</v>
      </c>
      <c r="C146" s="24" t="s">
        <v>231</v>
      </c>
      <c r="D146" s="25" t="s">
        <v>232</v>
      </c>
      <c r="E146" s="26">
        <v>9841.3733200490478</v>
      </c>
      <c r="F146" s="26">
        <v>64.69048916558458</v>
      </c>
      <c r="L146" s="34" t="s">
        <v>11</v>
      </c>
      <c r="M146" s="35" t="s">
        <v>233</v>
      </c>
      <c r="N146" s="36" t="s">
        <v>234</v>
      </c>
      <c r="O146" s="37" t="s">
        <v>235</v>
      </c>
      <c r="P146" s="38" t="s">
        <v>236</v>
      </c>
      <c r="Q146" s="39" t="s">
        <v>237</v>
      </c>
      <c r="T146" s="9" t="s">
        <v>19</v>
      </c>
      <c r="U146" s="9" t="s">
        <v>129</v>
      </c>
      <c r="V146" s="10" t="s">
        <v>130</v>
      </c>
      <c r="W146" s="11"/>
      <c r="X146" s="11">
        <f>VLOOKUP(U146,'[1]% SECCION_ECONOMIA 2022'!$C$81:$I$209,7,FALSE)</f>
        <v>7713.4459698159008</v>
      </c>
      <c r="Y146" s="12">
        <v>16131.452404454198</v>
      </c>
      <c r="Z146" s="12">
        <v>100</v>
      </c>
      <c r="AA146" s="22">
        <f>X146/$X$2</f>
        <v>7.3919235987623358E-2</v>
      </c>
      <c r="AB146" t="s">
        <v>238</v>
      </c>
      <c r="AC146" t="str">
        <f>LEFT(AB146,4)</f>
        <v>1410</v>
      </c>
      <c r="AD146" s="76" t="s">
        <v>652</v>
      </c>
      <c r="AE146" s="22" t="str">
        <f>V146</f>
        <v>Fabricación de prendas de vestir</v>
      </c>
      <c r="AF146" s="22">
        <f>AA146</f>
        <v>7.3919235987623358E-2</v>
      </c>
    </row>
    <row r="147" spans="1:32">
      <c r="A147" s="18"/>
      <c r="B147" s="18" t="s">
        <v>129</v>
      </c>
      <c r="C147" s="19" t="s">
        <v>142</v>
      </c>
      <c r="D147" s="20" t="s">
        <v>143</v>
      </c>
      <c r="E147" s="21">
        <v>4795.2754242084529</v>
      </c>
      <c r="F147" s="21">
        <v>31.52087648618993</v>
      </c>
      <c r="T147" s="23"/>
      <c r="U147" s="23" t="s">
        <v>129</v>
      </c>
      <c r="V147" s="24" t="s">
        <v>231</v>
      </c>
      <c r="W147" s="25" t="s">
        <v>232</v>
      </c>
      <c r="X147" s="25"/>
      <c r="Y147" s="26">
        <v>10425.586937494412</v>
      </c>
      <c r="Z147" s="26">
        <v>64.628941499500144</v>
      </c>
      <c r="AD147" s="77"/>
      <c r="AE147" s="70" t="str">
        <f>W147</f>
        <v>Prendas de vestir, adobo y teñido de pieles</v>
      </c>
      <c r="AF147" s="54">
        <f>Z147*AA146/100</f>
        <v>4.7773219783318562E-2</v>
      </c>
    </row>
    <row r="148" spans="1:32">
      <c r="A148" s="30"/>
      <c r="B148" s="30"/>
      <c r="C148" s="31"/>
      <c r="D148" s="32"/>
      <c r="E148" s="33"/>
      <c r="F148" s="33"/>
      <c r="T148" s="18"/>
      <c r="U148" s="18"/>
      <c r="V148" s="19"/>
      <c r="W148" s="20"/>
      <c r="X148" s="20"/>
      <c r="Y148" s="21"/>
      <c r="Z148" s="21"/>
      <c r="AD148" s="75" t="s">
        <v>462</v>
      </c>
      <c r="AE148" t="s">
        <v>470</v>
      </c>
    </row>
    <row r="149" spans="1:32">
      <c r="A149" s="30"/>
      <c r="B149" s="30"/>
      <c r="C149" s="31"/>
      <c r="D149" s="32"/>
      <c r="E149" s="33"/>
      <c r="F149" s="33"/>
      <c r="T149" s="18"/>
      <c r="U149" s="18"/>
      <c r="V149" s="19"/>
      <c r="W149" s="20"/>
      <c r="X149" s="20"/>
      <c r="Y149" s="21"/>
      <c r="Z149" s="21"/>
      <c r="AD149" s="75" t="s">
        <v>463</v>
      </c>
      <c r="AE149" t="s">
        <v>471</v>
      </c>
    </row>
    <row r="150" spans="1:32">
      <c r="A150" s="30"/>
      <c r="B150" s="30"/>
      <c r="C150" s="31"/>
      <c r="D150" s="32"/>
      <c r="E150" s="33"/>
      <c r="F150" s="33"/>
      <c r="T150" s="18"/>
      <c r="U150" s="18"/>
      <c r="V150" s="19"/>
      <c r="W150" s="20"/>
      <c r="X150" s="20"/>
      <c r="Y150" s="21"/>
      <c r="Z150" s="21"/>
      <c r="AD150" s="75" t="s">
        <v>464</v>
      </c>
      <c r="AE150" t="s">
        <v>472</v>
      </c>
    </row>
    <row r="151" spans="1:32">
      <c r="A151" s="30"/>
      <c r="B151" s="30"/>
      <c r="C151" s="31"/>
      <c r="D151" s="32"/>
      <c r="E151" s="33"/>
      <c r="F151" s="33"/>
      <c r="T151" s="18"/>
      <c r="U151" s="18"/>
      <c r="V151" s="19"/>
      <c r="W151" s="20"/>
      <c r="X151" s="20"/>
      <c r="Y151" s="21"/>
      <c r="Z151" s="21"/>
      <c r="AD151" s="75" t="s">
        <v>465</v>
      </c>
      <c r="AE151" t="s">
        <v>473</v>
      </c>
    </row>
    <row r="152" spans="1:32">
      <c r="A152" s="30"/>
      <c r="B152" s="30"/>
      <c r="C152" s="31"/>
      <c r="D152" s="32"/>
      <c r="E152" s="33"/>
      <c r="F152" s="33"/>
      <c r="T152" s="18"/>
      <c r="U152" s="18"/>
      <c r="V152" s="19"/>
      <c r="W152" s="20"/>
      <c r="X152" s="20"/>
      <c r="Y152" s="21"/>
      <c r="Z152" s="21"/>
      <c r="AD152" s="75" t="s">
        <v>466</v>
      </c>
      <c r="AE152" t="s">
        <v>474</v>
      </c>
    </row>
    <row r="153" spans="1:32">
      <c r="A153" s="30"/>
      <c r="B153" s="30"/>
      <c r="C153" s="31"/>
      <c r="D153" s="32"/>
      <c r="E153" s="33"/>
      <c r="F153" s="33"/>
      <c r="T153" s="18"/>
      <c r="U153" s="18"/>
      <c r="V153" s="19"/>
      <c r="W153" s="20"/>
      <c r="X153" s="20"/>
      <c r="Y153" s="21"/>
      <c r="Z153" s="21"/>
      <c r="AD153" s="75" t="s">
        <v>467</v>
      </c>
      <c r="AE153" t="s">
        <v>475</v>
      </c>
    </row>
    <row r="154" spans="1:32">
      <c r="A154" s="30"/>
      <c r="B154" s="30"/>
      <c r="C154" s="31"/>
      <c r="D154" s="32"/>
      <c r="E154" s="33"/>
      <c r="F154" s="33"/>
      <c r="T154" s="18"/>
      <c r="U154" s="18"/>
      <c r="V154" s="19"/>
      <c r="W154" s="20"/>
      <c r="X154" s="20"/>
      <c r="Y154" s="21"/>
      <c r="Z154" s="21"/>
      <c r="AD154" s="75" t="s">
        <v>468</v>
      </c>
      <c r="AE154" t="s">
        <v>476</v>
      </c>
    </row>
    <row r="155" spans="1:32">
      <c r="A155" s="30"/>
      <c r="B155" s="30"/>
      <c r="C155" s="31"/>
      <c r="D155" s="32"/>
      <c r="E155" s="33"/>
      <c r="F155" s="33"/>
      <c r="T155" s="18"/>
      <c r="U155" s="18"/>
      <c r="V155" s="19"/>
      <c r="W155" s="20"/>
      <c r="X155" s="20"/>
      <c r="Y155" s="21"/>
      <c r="Z155" s="21"/>
      <c r="AD155" s="75" t="s">
        <v>469</v>
      </c>
      <c r="AE155" t="s">
        <v>477</v>
      </c>
    </row>
    <row r="156" spans="1:32">
      <c r="A156" s="9" t="s">
        <v>19</v>
      </c>
      <c r="B156" s="9" t="s">
        <v>131</v>
      </c>
      <c r="C156" s="10" t="s">
        <v>132</v>
      </c>
      <c r="D156" s="11"/>
      <c r="E156" s="12">
        <v>1107.7907259689687</v>
      </c>
      <c r="F156" s="12">
        <v>100</v>
      </c>
      <c r="G156" s="13">
        <f>VLOOKUP(B156,$L$2:$N$121,3,FALSE)</f>
        <v>12093.331056389025</v>
      </c>
      <c r="T156" s="18"/>
      <c r="U156" s="18" t="s">
        <v>129</v>
      </c>
      <c r="V156" s="19" t="s">
        <v>142</v>
      </c>
      <c r="W156" s="20" t="s">
        <v>143</v>
      </c>
      <c r="X156" s="20"/>
      <c r="Y156" s="21">
        <v>5233.0026408781259</v>
      </c>
      <c r="Z156" s="21">
        <v>32.439748819103201</v>
      </c>
      <c r="AD156" s="77"/>
      <c r="AE156" s="70" t="str">
        <f>W156</f>
        <v>Servicios de manufactura</v>
      </c>
      <c r="AF156" s="54">
        <f>Z156*AA146/100</f>
        <v>2.3979214483385157E-2</v>
      </c>
    </row>
    <row r="157" spans="1:32">
      <c r="A157" s="49"/>
      <c r="B157" s="49"/>
      <c r="C157" s="50"/>
      <c r="D157" s="51"/>
      <c r="E157" s="52"/>
      <c r="F157" s="52"/>
      <c r="G157" s="48"/>
      <c r="T157" s="30"/>
      <c r="U157" s="30"/>
      <c r="V157" s="31"/>
      <c r="W157" s="32"/>
      <c r="X157" s="32"/>
      <c r="Y157" s="33"/>
      <c r="Z157" s="33"/>
      <c r="AD157" s="79" t="s">
        <v>478</v>
      </c>
      <c r="AE157" s="58" t="s">
        <v>480</v>
      </c>
      <c r="AF157" s="54"/>
    </row>
    <row r="158" spans="1:32">
      <c r="A158" s="49"/>
      <c r="B158" s="49"/>
      <c r="C158" s="50"/>
      <c r="D158" s="51"/>
      <c r="E158" s="52"/>
      <c r="F158" s="52"/>
      <c r="G158" s="48"/>
      <c r="T158" s="30"/>
      <c r="U158" s="30"/>
      <c r="V158" s="31"/>
      <c r="W158" s="32"/>
      <c r="X158" s="32"/>
      <c r="Y158" s="33"/>
      <c r="Z158" s="33"/>
      <c r="AD158" s="79" t="s">
        <v>479</v>
      </c>
      <c r="AE158" s="58" t="s">
        <v>481</v>
      </c>
      <c r="AF158" s="54"/>
    </row>
    <row r="159" spans="1:32">
      <c r="A159" s="23"/>
      <c r="B159" s="23" t="s">
        <v>131</v>
      </c>
      <c r="C159" s="24" t="s">
        <v>239</v>
      </c>
      <c r="D159" s="25" t="s">
        <v>240</v>
      </c>
      <c r="E159" s="26">
        <v>781.86290924823822</v>
      </c>
      <c r="F159" s="26">
        <v>70.578575079183295</v>
      </c>
      <c r="T159" s="9" t="s">
        <v>19</v>
      </c>
      <c r="U159" s="9" t="s">
        <v>131</v>
      </c>
      <c r="V159" s="10" t="s">
        <v>132</v>
      </c>
      <c r="W159" s="11"/>
      <c r="X159" s="11">
        <f>VLOOKUP(U159,'[1]% SECCION_ECONOMIA 2022'!$C$81:$I$209,7,FALSE)</f>
        <v>347.35198911100792</v>
      </c>
      <c r="Y159" s="12">
        <v>1007.8272822403886</v>
      </c>
      <c r="Z159" s="12">
        <v>100</v>
      </c>
      <c r="AA159" s="22">
        <f>X159/$X$2</f>
        <v>3.3287318993795701E-3</v>
      </c>
      <c r="AB159" t="s">
        <v>241</v>
      </c>
      <c r="AC159" t="str">
        <f>LEFT(AB159,4)</f>
        <v>1511</v>
      </c>
      <c r="AD159" s="76" t="str">
        <f>MID(AB159,7,4)</f>
        <v>1512</v>
      </c>
      <c r="AE159" s="22" t="str">
        <f>V159</f>
        <v>Curtido, adobo, teñido de cueros y pieles; fabricación de maletas, bolsos de mano y artículos similares, y  artículos de talabartería y guarnicionería</v>
      </c>
      <c r="AF159" s="22">
        <f>AA159</f>
        <v>3.3287318993795701E-3</v>
      </c>
    </row>
    <row r="160" spans="1:32">
      <c r="A160" s="18"/>
      <c r="B160" s="18" t="s">
        <v>131</v>
      </c>
      <c r="C160" s="19" t="s">
        <v>242</v>
      </c>
      <c r="D160" s="20" t="s">
        <v>243</v>
      </c>
      <c r="E160" s="21">
        <v>325.52008692533263</v>
      </c>
      <c r="F160" s="21">
        <v>29.384619251132012</v>
      </c>
      <c r="T160" s="23"/>
      <c r="U160" s="23" t="s">
        <v>131</v>
      </c>
      <c r="V160" s="24" t="s">
        <v>239</v>
      </c>
      <c r="W160" s="25" t="s">
        <v>240</v>
      </c>
      <c r="X160" s="25"/>
      <c r="Y160" s="26">
        <v>709.80405900522192</v>
      </c>
      <c r="Z160" s="26">
        <v>70.429137165977039</v>
      </c>
      <c r="AD160" s="77"/>
      <c r="AE160" s="70" t="str">
        <f>W160</f>
        <v>Cuero de piel curtida o adobada y cuero artificial o regenerado</v>
      </c>
      <c r="AF160" s="54">
        <f>$Z160*AF159/100</f>
        <v>2.3443971553016702E-3</v>
      </c>
    </row>
    <row r="161" spans="1:32">
      <c r="A161" s="30"/>
      <c r="B161" s="30"/>
      <c r="C161" s="31"/>
      <c r="D161" s="32"/>
      <c r="E161" s="33"/>
      <c r="F161" s="33"/>
      <c r="T161" s="18"/>
      <c r="U161" s="18"/>
      <c r="V161" s="19"/>
      <c r="W161" s="20"/>
      <c r="X161" s="20"/>
      <c r="Y161" s="21"/>
      <c r="Z161" s="21"/>
      <c r="AD161" s="75" t="s">
        <v>485</v>
      </c>
      <c r="AE161" t="s">
        <v>482</v>
      </c>
    </row>
    <row r="162" spans="1:32">
      <c r="A162" s="9" t="s">
        <v>19</v>
      </c>
      <c r="B162" s="9" t="s">
        <v>133</v>
      </c>
      <c r="C162" s="10" t="s">
        <v>134</v>
      </c>
      <c r="D162" s="11"/>
      <c r="E162" s="12">
        <v>1965.1932783867271</v>
      </c>
      <c r="F162" s="12">
        <v>100</v>
      </c>
      <c r="G162" s="13">
        <f>VLOOKUP(B162,$L$2:$N$121,3,FALSE)</f>
        <v>4926.3287901064441</v>
      </c>
      <c r="T162" s="18"/>
      <c r="U162" s="18" t="s">
        <v>131</v>
      </c>
      <c r="V162" s="19" t="s">
        <v>242</v>
      </c>
      <c r="W162" s="20" t="s">
        <v>243</v>
      </c>
      <c r="X162" s="20"/>
      <c r="Y162" s="21">
        <v>297.65845994331244</v>
      </c>
      <c r="Z162" s="21">
        <v>29.534669797946041</v>
      </c>
      <c r="AD162" s="77"/>
      <c r="AE162" s="70" t="str">
        <f>W162</f>
        <v>Artículos de cuero</v>
      </c>
      <c r="AF162" s="54">
        <f>$Z162*AF159/100</f>
        <v>9.831299749406535E-4</v>
      </c>
    </row>
    <row r="163" spans="1:32">
      <c r="A163" s="44"/>
      <c r="B163" s="44"/>
      <c r="C163" s="45"/>
      <c r="D163" s="46"/>
      <c r="E163" s="47"/>
      <c r="F163" s="47"/>
      <c r="G163" s="48"/>
      <c r="T163" s="30"/>
      <c r="U163" s="30"/>
      <c r="V163" s="31"/>
      <c r="W163" s="32"/>
      <c r="X163" s="32"/>
      <c r="Y163" s="33"/>
      <c r="Z163" s="33"/>
      <c r="AD163" s="75" t="s">
        <v>483</v>
      </c>
      <c r="AE163" t="s">
        <v>486</v>
      </c>
      <c r="AF163" s="54"/>
    </row>
    <row r="164" spans="1:32">
      <c r="A164" s="44"/>
      <c r="B164" s="44"/>
      <c r="C164" s="45"/>
      <c r="D164" s="46"/>
      <c r="E164" s="47"/>
      <c r="F164" s="47"/>
      <c r="G164" s="48"/>
      <c r="T164" s="30"/>
      <c r="U164" s="30"/>
      <c r="V164" s="31"/>
      <c r="W164" s="32"/>
      <c r="X164" s="32"/>
      <c r="Y164" s="33"/>
      <c r="Z164" s="33"/>
      <c r="AD164" s="75" t="s">
        <v>484</v>
      </c>
      <c r="AE164" t="s">
        <v>487</v>
      </c>
      <c r="AF164" s="54"/>
    </row>
    <row r="165" spans="1:32">
      <c r="A165" s="18"/>
      <c r="B165" s="18" t="s">
        <v>133</v>
      </c>
      <c r="C165" s="19" t="s">
        <v>244</v>
      </c>
      <c r="D165" s="20" t="s">
        <v>245</v>
      </c>
      <c r="E165" s="21">
        <v>1729.9756450814734</v>
      </c>
      <c r="F165" s="21">
        <v>88.030814277038985</v>
      </c>
      <c r="T165" s="9" t="s">
        <v>19</v>
      </c>
      <c r="U165" s="9" t="s">
        <v>133</v>
      </c>
      <c r="V165" s="10" t="s">
        <v>134</v>
      </c>
      <c r="W165" s="11"/>
      <c r="X165" s="11">
        <f>VLOOKUP(U165,'[1]% SECCION_ECONOMIA 2022'!$C$81:$I$209,7,FALSE)</f>
        <v>688.59840803848465</v>
      </c>
      <c r="Y165" s="12">
        <v>1929.7278903444708</v>
      </c>
      <c r="Z165" s="12">
        <v>100</v>
      </c>
      <c r="AA165" s="22">
        <f>X165/$X$2</f>
        <v>6.5989531039281225E-3</v>
      </c>
      <c r="AB165" t="s">
        <v>246</v>
      </c>
      <c r="AC165" t="str">
        <f>LEFT(AB165,4)</f>
        <v>1520</v>
      </c>
      <c r="AD165" s="76" t="s">
        <v>246</v>
      </c>
      <c r="AE165" s="22" t="str">
        <f>V165</f>
        <v>Fabricación de calzado de cualquier material y de cualquier uso; partes de calzado de cuero</v>
      </c>
      <c r="AF165" s="22">
        <f>AA165</f>
        <v>6.5989531039281225E-3</v>
      </c>
    </row>
    <row r="166" spans="1:32">
      <c r="A166" s="9" t="s">
        <v>19</v>
      </c>
      <c r="B166" s="9" t="s">
        <v>138</v>
      </c>
      <c r="C166" s="10" t="s">
        <v>139</v>
      </c>
      <c r="D166" s="11"/>
      <c r="E166" s="12">
        <v>3596.940240243995</v>
      </c>
      <c r="F166" s="12">
        <v>100</v>
      </c>
      <c r="G166" s="13">
        <f>VLOOKUP(B166,$L$2:$N$121,3,FALSE)</f>
        <v>18547.442704415578</v>
      </c>
      <c r="T166" s="18"/>
      <c r="U166" s="18" t="s">
        <v>133</v>
      </c>
      <c r="V166" s="19" t="s">
        <v>244</v>
      </c>
      <c r="W166" s="20" t="s">
        <v>245</v>
      </c>
      <c r="X166" s="20"/>
      <c r="Y166" s="21">
        <v>1703.3215227388341</v>
      </c>
      <c r="Z166" s="21">
        <v>88.267445957615223</v>
      </c>
      <c r="AD166" s="77"/>
      <c r="AE166" s="70" t="str">
        <f>W166</f>
        <v>Calzado y sus partes, de cualquier material y de cualquier uso</v>
      </c>
      <c r="AF166" s="54">
        <f>Z166*AF165/100</f>
        <v>5.8247273647781287E-3</v>
      </c>
    </row>
    <row r="167" spans="1:32">
      <c r="A167" s="44"/>
      <c r="B167" s="44"/>
      <c r="C167" s="45"/>
      <c r="D167" s="46"/>
      <c r="E167" s="47"/>
      <c r="F167" s="47"/>
      <c r="G167" s="48"/>
      <c r="T167" s="30"/>
      <c r="U167" s="30"/>
      <c r="V167" s="31"/>
      <c r="W167" s="32"/>
      <c r="X167" s="32"/>
      <c r="Y167" s="33"/>
      <c r="Z167" s="33"/>
      <c r="AD167" s="75" t="s">
        <v>488</v>
      </c>
      <c r="AE167" t="s">
        <v>492</v>
      </c>
    </row>
    <row r="168" spans="1:32">
      <c r="A168" s="44"/>
      <c r="B168" s="44"/>
      <c r="C168" s="45"/>
      <c r="D168" s="46"/>
      <c r="E168" s="47"/>
      <c r="F168" s="47"/>
      <c r="G168" s="48"/>
      <c r="T168" s="30"/>
      <c r="U168" s="30"/>
      <c r="V168" s="31"/>
      <c r="W168" s="32"/>
      <c r="X168" s="32"/>
      <c r="Y168" s="33"/>
      <c r="Z168" s="33"/>
      <c r="AD168" s="75" t="s">
        <v>489</v>
      </c>
      <c r="AE168" t="s">
        <v>493</v>
      </c>
    </row>
    <row r="169" spans="1:32">
      <c r="A169" s="44"/>
      <c r="B169" s="44"/>
      <c r="C169" s="45"/>
      <c r="D169" s="46"/>
      <c r="E169" s="47"/>
      <c r="F169" s="47"/>
      <c r="G169" s="48"/>
      <c r="T169" s="30"/>
      <c r="U169" s="30"/>
      <c r="V169" s="31"/>
      <c r="W169" s="32"/>
      <c r="X169" s="32"/>
      <c r="Y169" s="33"/>
      <c r="Z169" s="33"/>
      <c r="AD169" s="75" t="s">
        <v>490</v>
      </c>
      <c r="AE169" t="s">
        <v>494</v>
      </c>
    </row>
    <row r="170" spans="1:32">
      <c r="A170" s="44"/>
      <c r="B170" s="44"/>
      <c r="C170" s="45"/>
      <c r="D170" s="46"/>
      <c r="E170" s="47"/>
      <c r="F170" s="47"/>
      <c r="G170" s="48"/>
      <c r="T170" s="30"/>
      <c r="U170" s="30"/>
      <c r="V170" s="31"/>
      <c r="W170" s="32"/>
      <c r="X170" s="32"/>
      <c r="Y170" s="33"/>
      <c r="Z170" s="33"/>
      <c r="AD170" s="75" t="s">
        <v>491</v>
      </c>
      <c r="AE170" t="s">
        <v>495</v>
      </c>
    </row>
    <row r="171" spans="1:32">
      <c r="A171" s="18"/>
      <c r="B171" s="18" t="s">
        <v>138</v>
      </c>
      <c r="C171" s="19" t="s">
        <v>247</v>
      </c>
      <c r="D171" s="20" t="s">
        <v>248</v>
      </c>
      <c r="E171" s="21">
        <v>3547.2393941587256</v>
      </c>
      <c r="F171" s="21">
        <v>98.61824654384867</v>
      </c>
      <c r="T171" s="9" t="s">
        <v>19</v>
      </c>
      <c r="U171" s="9" t="s">
        <v>138</v>
      </c>
      <c r="V171" s="10" t="s">
        <v>139</v>
      </c>
      <c r="W171" s="11"/>
      <c r="X171" s="11">
        <f>VLOOKUP(U171,'[1]% SECCION_ECONOMIA 2022'!$C$81:$I$209,7,FALSE)</f>
        <v>1220.3556449615762</v>
      </c>
      <c r="Y171" s="12">
        <v>3338.2264209096793</v>
      </c>
      <c r="Z171" s="12">
        <v>100</v>
      </c>
      <c r="AA171" s="22">
        <f>X171/$X$2</f>
        <v>1.169487117194341E-2</v>
      </c>
      <c r="AB171" t="s">
        <v>249</v>
      </c>
      <c r="AC171" t="str">
        <f>LEFT(AB171,4)</f>
        <v>1610</v>
      </c>
      <c r="AD171" s="76" t="s">
        <v>249</v>
      </c>
      <c r="AE171" s="22" t="str">
        <f>V171</f>
        <v>Aserrado y acepilladura de madera</v>
      </c>
      <c r="AF171" s="22">
        <f>AA171</f>
        <v>1.169487117194341E-2</v>
      </c>
    </row>
    <row r="172" spans="1:32">
      <c r="A172" s="9" t="s">
        <v>19</v>
      </c>
      <c r="B172" s="9" t="s">
        <v>140</v>
      </c>
      <c r="C172" s="10" t="s">
        <v>141</v>
      </c>
      <c r="D172" s="11"/>
      <c r="E172" s="12">
        <v>1899.3315434537631</v>
      </c>
      <c r="F172" s="12">
        <v>100</v>
      </c>
      <c r="G172" s="13">
        <f>VLOOKUP(B172,$L$2:$N$121,3,FALSE)</f>
        <v>10920.516163037231</v>
      </c>
      <c r="T172" s="18"/>
      <c r="U172" s="18" t="s">
        <v>138</v>
      </c>
      <c r="V172" s="19" t="s">
        <v>247</v>
      </c>
      <c r="W172" s="20" t="s">
        <v>248</v>
      </c>
      <c r="X172" s="20"/>
      <c r="Y172" s="21">
        <v>3293.7218535576731</v>
      </c>
      <c r="Z172" s="21">
        <v>98.666819989403876</v>
      </c>
      <c r="AD172" s="77"/>
      <c r="AE172" s="70" t="str">
        <f>W172</f>
        <v>Madera aserrada y acepillada</v>
      </c>
      <c r="AF172" s="54">
        <f>Z172*AF171/100</f>
        <v>1.1538957487214093E-2</v>
      </c>
    </row>
    <row r="173" spans="1:32">
      <c r="A173" s="44"/>
      <c r="B173" s="44"/>
      <c r="C173" s="45"/>
      <c r="D173" s="46"/>
      <c r="E173" s="47"/>
      <c r="F173" s="47"/>
      <c r="G173" s="48"/>
      <c r="T173" s="30"/>
      <c r="U173" s="30"/>
      <c r="V173" s="31"/>
      <c r="W173" s="32"/>
      <c r="X173" s="32"/>
      <c r="Y173" s="33"/>
      <c r="Z173" s="33"/>
      <c r="AD173" s="75" t="s">
        <v>496</v>
      </c>
      <c r="AE173" t="s">
        <v>499</v>
      </c>
    </row>
    <row r="174" spans="1:32">
      <c r="A174" s="44"/>
      <c r="B174" s="44"/>
      <c r="C174" s="45"/>
      <c r="D174" s="46"/>
      <c r="E174" s="47"/>
      <c r="F174" s="47"/>
      <c r="G174" s="48"/>
      <c r="T174" s="30"/>
      <c r="U174" s="30"/>
      <c r="V174" s="31"/>
      <c r="W174" s="32"/>
      <c r="X174" s="32"/>
      <c r="Y174" s="33"/>
      <c r="Z174" s="33"/>
      <c r="AD174" s="75" t="s">
        <v>497</v>
      </c>
      <c r="AE174" t="s">
        <v>500</v>
      </c>
    </row>
    <row r="175" spans="1:32">
      <c r="A175" s="44"/>
      <c r="B175" s="44"/>
      <c r="C175" s="45"/>
      <c r="D175" s="46"/>
      <c r="E175" s="47"/>
      <c r="F175" s="47"/>
      <c r="G175" s="48"/>
      <c r="T175" s="30"/>
      <c r="U175" s="30"/>
      <c r="V175" s="31"/>
      <c r="W175" s="32"/>
      <c r="X175" s="32"/>
      <c r="Y175" s="33"/>
      <c r="Z175" s="33"/>
      <c r="AD175" s="75" t="s">
        <v>498</v>
      </c>
      <c r="AE175" t="s">
        <v>501</v>
      </c>
    </row>
    <row r="176" spans="1:32">
      <c r="A176" s="18"/>
      <c r="B176" s="18" t="s">
        <v>140</v>
      </c>
      <c r="C176" s="19" t="s">
        <v>250</v>
      </c>
      <c r="D176" s="20" t="s">
        <v>251</v>
      </c>
      <c r="E176" s="21">
        <v>1831.1472341090921</v>
      </c>
      <c r="F176" s="21">
        <v>96.410089140062198</v>
      </c>
      <c r="T176" s="9" t="s">
        <v>19</v>
      </c>
      <c r="U176" s="9" t="s">
        <v>140</v>
      </c>
      <c r="V176" s="10" t="s">
        <v>141</v>
      </c>
      <c r="W176" s="11"/>
      <c r="X176" s="11">
        <f>VLOOKUP(U176,'[1]% SECCION_ECONOMIA 2022'!$C$81:$I$209,7,FALSE)</f>
        <v>806.12846037661529</v>
      </c>
      <c r="Y176" s="12">
        <v>1948.8467814103271</v>
      </c>
      <c r="Z176" s="12">
        <v>100</v>
      </c>
      <c r="AA176" s="22">
        <f>X176/$X$2</f>
        <v>7.72526314854588E-3</v>
      </c>
      <c r="AB176" t="s">
        <v>252</v>
      </c>
      <c r="AC176" t="str">
        <f>LEFT(AB176,4)</f>
        <v>1621</v>
      </c>
      <c r="AD176" s="76" t="s">
        <v>252</v>
      </c>
      <c r="AE176" s="22" t="str">
        <f>V176</f>
        <v>Fabricación de productos de madera, productos de corcho, paja y materiales trenzables</v>
      </c>
      <c r="AF176" s="22">
        <f>AA176</f>
        <v>7.72526314854588E-3</v>
      </c>
    </row>
    <row r="177" spans="1:36">
      <c r="A177" s="9" t="s">
        <v>19</v>
      </c>
      <c r="B177" s="9" t="s">
        <v>144</v>
      </c>
      <c r="C177" s="10" t="s">
        <v>145</v>
      </c>
      <c r="D177" s="11"/>
      <c r="E177" s="12">
        <v>9777.3840316938567</v>
      </c>
      <c r="F177" s="12">
        <v>100</v>
      </c>
      <c r="G177" s="13">
        <f>VLOOKUP(B177,$L$2:$N$121,3,FALSE)</f>
        <v>2252.6195241777541</v>
      </c>
      <c r="T177" s="18"/>
      <c r="U177" s="18" t="s">
        <v>140</v>
      </c>
      <c r="V177" s="19" t="s">
        <v>250</v>
      </c>
      <c r="W177" s="20" t="s">
        <v>251</v>
      </c>
      <c r="X177" s="20"/>
      <c r="Y177" s="21">
        <v>1880.5783708613476</v>
      </c>
      <c r="Z177" s="21">
        <v>96.496984206240384</v>
      </c>
      <c r="AD177" s="77"/>
      <c r="AE177" s="70" t="str">
        <f>W177</f>
        <v>Productos de madera, corcho, paja, materiales trenzables</v>
      </c>
      <c r="AF177" s="29">
        <f>$Z177*AF176/100</f>
        <v>7.4546459603428263E-3</v>
      </c>
    </row>
    <row r="178" spans="1:36">
      <c r="A178" s="49"/>
      <c r="B178" s="49"/>
      <c r="C178" s="50"/>
      <c r="D178" s="51"/>
      <c r="E178" s="52"/>
      <c r="F178" s="52"/>
      <c r="G178" s="48"/>
      <c r="T178" s="30"/>
      <c r="U178" s="30"/>
      <c r="V178" s="31"/>
      <c r="W178" s="32"/>
      <c r="X178" s="32"/>
      <c r="Y178" s="33"/>
      <c r="Z178" s="33"/>
      <c r="AD178" s="75">
        <v>31420</v>
      </c>
      <c r="AE178" t="s">
        <v>505</v>
      </c>
    </row>
    <row r="179" spans="1:36">
      <c r="A179" s="49"/>
      <c r="B179" s="49"/>
      <c r="C179" s="50"/>
      <c r="D179" s="51"/>
      <c r="E179" s="52"/>
      <c r="F179" s="52"/>
      <c r="G179" s="48"/>
      <c r="T179" s="30"/>
      <c r="U179" s="30"/>
      <c r="V179" s="31"/>
      <c r="W179" s="32"/>
      <c r="X179" s="32"/>
      <c r="Y179" s="33"/>
      <c r="Z179" s="33"/>
      <c r="AD179" s="75" t="s">
        <v>502</v>
      </c>
      <c r="AE179" t="s">
        <v>506</v>
      </c>
    </row>
    <row r="180" spans="1:36">
      <c r="A180" s="49"/>
      <c r="B180" s="49"/>
      <c r="C180" s="50"/>
      <c r="D180" s="51"/>
      <c r="E180" s="52"/>
      <c r="F180" s="52"/>
      <c r="G180" s="48"/>
      <c r="T180" s="30"/>
      <c r="U180" s="30"/>
      <c r="V180" s="31"/>
      <c r="W180" s="32"/>
      <c r="X180" s="32"/>
      <c r="Y180" s="33"/>
      <c r="Z180" s="33"/>
      <c r="AD180" s="75" t="s">
        <v>504</v>
      </c>
      <c r="AE180" t="s">
        <v>507</v>
      </c>
    </row>
    <row r="181" spans="1:36">
      <c r="A181" s="49"/>
      <c r="B181" s="49"/>
      <c r="C181" s="50"/>
      <c r="D181" s="51"/>
      <c r="E181" s="52"/>
      <c r="F181" s="52"/>
      <c r="G181" s="48"/>
      <c r="T181" s="30"/>
      <c r="U181" s="30"/>
      <c r="V181" s="31"/>
      <c r="W181" s="32"/>
      <c r="X181" s="32"/>
      <c r="Y181" s="33"/>
      <c r="Z181" s="33"/>
      <c r="AD181" s="75" t="s">
        <v>503</v>
      </c>
      <c r="AE181" t="s">
        <v>508</v>
      </c>
    </row>
    <row r="182" spans="1:36">
      <c r="A182" s="23"/>
      <c r="B182" s="23" t="s">
        <v>144</v>
      </c>
      <c r="C182" s="24" t="s">
        <v>253</v>
      </c>
      <c r="D182" s="25" t="s">
        <v>254</v>
      </c>
      <c r="E182" s="26">
        <v>4796.4185106293144</v>
      </c>
      <c r="F182" s="26">
        <v>49.056255692539999</v>
      </c>
      <c r="T182" s="9" t="s">
        <v>19</v>
      </c>
      <c r="U182" s="9" t="s">
        <v>144</v>
      </c>
      <c r="V182" s="10" t="s">
        <v>145</v>
      </c>
      <c r="W182" s="11"/>
      <c r="X182" s="11">
        <f>VLOOKUP(U182,'[1]% SECCION_ECONOMIA 2022'!$C$81:$I$209,7,FALSE)</f>
        <v>2599.6730538096081</v>
      </c>
      <c r="Y182" s="12">
        <v>8977.2815823287692</v>
      </c>
      <c r="Z182" s="12">
        <v>100</v>
      </c>
      <c r="AA182" s="22">
        <f>X182/$X$2</f>
        <v>2.491309937312031E-2</v>
      </c>
      <c r="AB182" t="s">
        <v>255</v>
      </c>
      <c r="AC182" t="str">
        <f>LEFT(AB182,4)</f>
        <v>1701</v>
      </c>
      <c r="AD182" s="76" t="s">
        <v>255</v>
      </c>
      <c r="AE182" s="22" t="str">
        <f>V182</f>
        <v>Fabricación de papel y productos de papel</v>
      </c>
      <c r="AF182" s="22">
        <f>AA182</f>
        <v>2.491309937312031E-2</v>
      </c>
    </row>
    <row r="183" spans="1:36">
      <c r="A183" s="18"/>
      <c r="B183" s="18" t="s">
        <v>144</v>
      </c>
      <c r="C183" s="19" t="s">
        <v>256</v>
      </c>
      <c r="D183" s="20" t="s">
        <v>257</v>
      </c>
      <c r="E183" s="21">
        <v>4800.0326884576107</v>
      </c>
      <c r="F183" s="21">
        <v>49.093220363423143</v>
      </c>
      <c r="T183" s="23"/>
      <c r="U183" s="23" t="s">
        <v>144</v>
      </c>
      <c r="V183" s="24" t="s">
        <v>253</v>
      </c>
      <c r="W183" s="25" t="s">
        <v>254</v>
      </c>
      <c r="X183" s="25"/>
      <c r="Y183" s="26">
        <v>4945.0143363447924</v>
      </c>
      <c r="Z183" s="26">
        <v>55.083649666049816</v>
      </c>
      <c r="AD183" s="77"/>
      <c r="AE183" s="70" t="str">
        <f>W183</f>
        <v>Envases de papel y cartón</v>
      </c>
      <c r="AF183" s="29">
        <f>$Z183*AF$182/100</f>
        <v>1.3723044379644445E-2</v>
      </c>
    </row>
    <row r="184" spans="1:36">
      <c r="A184" s="30"/>
      <c r="B184" s="30"/>
      <c r="C184" s="31"/>
      <c r="D184" s="32"/>
      <c r="E184" s="33"/>
      <c r="F184" s="33"/>
      <c r="T184" s="18"/>
      <c r="U184" s="18"/>
      <c r="V184" s="19"/>
      <c r="W184" s="20"/>
      <c r="X184" s="20"/>
      <c r="Y184" s="21"/>
      <c r="Z184" s="21"/>
      <c r="AD184" s="75" t="s">
        <v>509</v>
      </c>
      <c r="AE184" t="s">
        <v>512</v>
      </c>
    </row>
    <row r="185" spans="1:36">
      <c r="A185" s="9" t="s">
        <v>19</v>
      </c>
      <c r="B185" s="9" t="s">
        <v>147</v>
      </c>
      <c r="C185" s="10" t="s">
        <v>148</v>
      </c>
      <c r="D185" s="11"/>
      <c r="E185" s="12">
        <v>3129.201449370215</v>
      </c>
      <c r="F185" s="12">
        <v>100</v>
      </c>
      <c r="G185" s="13">
        <f>VLOOKUP(B185,$L$2:$N$121,3,FALSE)</f>
        <v>141617.77102402865</v>
      </c>
      <c r="T185" s="18"/>
      <c r="U185" s="18" t="s">
        <v>144</v>
      </c>
      <c r="V185" s="19" t="s">
        <v>256</v>
      </c>
      <c r="W185" s="20" t="s">
        <v>257</v>
      </c>
      <c r="X185" s="20"/>
      <c r="Y185" s="21">
        <v>3835.5570210545989</v>
      </c>
      <c r="Z185" s="21">
        <v>42.725149989777066</v>
      </c>
      <c r="AD185" s="77"/>
      <c r="AE185" s="70" t="str">
        <f>W185</f>
        <v>Pasta de papel y papel</v>
      </c>
      <c r="AF185" s="29">
        <f>$Z185*AF$182/100</f>
        <v>1.0644159074267863E-2</v>
      </c>
    </row>
    <row r="186" spans="1:36">
      <c r="A186" s="44"/>
      <c r="B186" s="44"/>
      <c r="C186" s="45"/>
      <c r="D186" s="46"/>
      <c r="E186" s="47"/>
      <c r="F186" s="47"/>
      <c r="G186" s="48"/>
      <c r="T186" s="30"/>
      <c r="U186" s="30"/>
      <c r="V186" s="31"/>
      <c r="W186" s="32"/>
      <c r="X186" s="32"/>
      <c r="Y186" s="33"/>
      <c r="Z186" s="33"/>
      <c r="AD186" s="75" t="s">
        <v>513</v>
      </c>
      <c r="AE186" t="s">
        <v>514</v>
      </c>
      <c r="AF186" s="29"/>
    </row>
    <row r="187" spans="1:36">
      <c r="A187" s="44"/>
      <c r="B187" s="44"/>
      <c r="C187" s="45"/>
      <c r="D187" s="46"/>
      <c r="E187" s="47"/>
      <c r="F187" s="47"/>
      <c r="G187" s="48"/>
      <c r="T187" s="30"/>
      <c r="U187" s="30"/>
      <c r="V187" s="31"/>
      <c r="W187" s="32"/>
      <c r="X187" s="32"/>
      <c r="Y187" s="33"/>
      <c r="Z187" s="33"/>
      <c r="AD187" s="75" t="s">
        <v>510</v>
      </c>
      <c r="AE187" t="s">
        <v>511</v>
      </c>
      <c r="AF187" s="29"/>
    </row>
    <row r="188" spans="1:36">
      <c r="A188" s="18"/>
      <c r="B188" s="18" t="s">
        <v>147</v>
      </c>
      <c r="C188" s="19" t="s">
        <v>258</v>
      </c>
      <c r="D188" s="20" t="s">
        <v>259</v>
      </c>
      <c r="E188" s="21">
        <v>2649.0154001394794</v>
      </c>
      <c r="F188" s="21">
        <v>84.654677654985164</v>
      </c>
      <c r="T188" s="9" t="s">
        <v>19</v>
      </c>
      <c r="U188" s="9" t="s">
        <v>147</v>
      </c>
      <c r="V188" s="10" t="s">
        <v>148</v>
      </c>
      <c r="W188" s="11"/>
      <c r="X188" s="11">
        <f>VLOOKUP(U188,'[1]% SECCION_ECONOMIA 2022'!$C$81:$I$209,7,FALSE)</f>
        <v>974.77201474931667</v>
      </c>
      <c r="Y188" s="12">
        <v>2875.8252344252123</v>
      </c>
      <c r="Z188" s="12">
        <v>100</v>
      </c>
      <c r="AA188" s="22">
        <f>X188/$X$2</f>
        <v>9.3414023867344938E-3</v>
      </c>
      <c r="AB188" t="s">
        <v>260</v>
      </c>
      <c r="AC188" t="str">
        <f>LEFT(AB188,4)</f>
        <v>1811</v>
      </c>
      <c r="AD188" s="76" t="s">
        <v>260</v>
      </c>
      <c r="AE188" s="22" t="str">
        <f>V188</f>
        <v>Impresión y actividades de servicios relacionados con la impresión y reproducción de grabaciones.</v>
      </c>
      <c r="AF188" s="22">
        <f>AA188</f>
        <v>9.3414023867344938E-3</v>
      </c>
      <c r="AH188">
        <v>5812</v>
      </c>
      <c r="AI188">
        <v>5813</v>
      </c>
      <c r="AJ188">
        <v>5819</v>
      </c>
    </row>
    <row r="189" spans="1:36">
      <c r="A189" s="9" t="s">
        <v>19</v>
      </c>
      <c r="B189" s="9" t="s">
        <v>151</v>
      </c>
      <c r="C189" s="10" t="s">
        <v>152</v>
      </c>
      <c r="D189" s="11"/>
      <c r="E189" s="12">
        <v>0</v>
      </c>
      <c r="F189" s="12">
        <v>0</v>
      </c>
      <c r="G189" s="13">
        <f>VLOOKUP(B189,$L$2:$N$121,3,FALSE)</f>
        <v>11033.039323876648</v>
      </c>
      <c r="T189" s="18"/>
      <c r="U189" s="18" t="s">
        <v>147</v>
      </c>
      <c r="V189" s="19" t="s">
        <v>258</v>
      </c>
      <c r="W189" s="20" t="s">
        <v>259</v>
      </c>
      <c r="X189" s="20"/>
      <c r="Y189" s="21">
        <v>2419.4202668551993</v>
      </c>
      <c r="Z189" s="21">
        <v>84.129600015098475</v>
      </c>
      <c r="AD189" s="77"/>
      <c r="AE189" s="70" t="str">
        <f>W189</f>
        <v>Productos de la impresión</v>
      </c>
      <c r="AF189" s="29">
        <f>$Z189*AF$188/100</f>
        <v>7.8588844637605907E-3</v>
      </c>
    </row>
    <row r="190" spans="1:36">
      <c r="A190" s="44"/>
      <c r="B190" s="44"/>
      <c r="C190" s="45"/>
      <c r="D190" s="46"/>
      <c r="E190" s="47"/>
      <c r="F190" s="47"/>
      <c r="G190" s="48"/>
      <c r="T190" s="30"/>
      <c r="U190" s="30"/>
      <c r="V190" s="31"/>
      <c r="W190" s="32"/>
      <c r="X190" s="32"/>
      <c r="Y190" s="33"/>
      <c r="Z190" s="33"/>
      <c r="AD190" s="75" t="s">
        <v>515</v>
      </c>
      <c r="AE190" t="s">
        <v>516</v>
      </c>
    </row>
    <row r="191" spans="1:36">
      <c r="A191" s="18"/>
      <c r="B191" s="18" t="s">
        <v>151</v>
      </c>
      <c r="C191" s="19" t="s">
        <v>261</v>
      </c>
      <c r="D191" s="20" t="s">
        <v>262</v>
      </c>
      <c r="E191" s="21">
        <v>0</v>
      </c>
      <c r="F191" s="21">
        <v>0</v>
      </c>
      <c r="T191" s="9" t="s">
        <v>19</v>
      </c>
      <c r="U191" s="9" t="s">
        <v>151</v>
      </c>
      <c r="V191" s="10" t="s">
        <v>152</v>
      </c>
      <c r="W191" s="11"/>
      <c r="X191" s="11">
        <f>VLOOKUP(U191,'[1]% SECCION_ECONOMIA 2022'!$C$81:$I$209,7,FALSE)</f>
        <v>0</v>
      </c>
      <c r="Y191" s="12">
        <v>0</v>
      </c>
      <c r="Z191" s="12">
        <v>0</v>
      </c>
      <c r="AA191" s="22">
        <f>X191/$X$2</f>
        <v>0</v>
      </c>
      <c r="AB191" t="s">
        <v>263</v>
      </c>
      <c r="AC191" t="str">
        <f>LEFT(AB191,4)</f>
        <v>1910</v>
      </c>
      <c r="AD191" s="76" t="s">
        <v>263</v>
      </c>
      <c r="AE191" s="22" t="str">
        <f>V191</f>
        <v>Fabricación de coque y productos de la refinación del petróleo</v>
      </c>
      <c r="AF191" s="22">
        <f>AA191</f>
        <v>0</v>
      </c>
    </row>
    <row r="192" spans="1:36">
      <c r="A192" s="9" t="s">
        <v>19</v>
      </c>
      <c r="B192" s="9" t="s">
        <v>156</v>
      </c>
      <c r="C192" s="10" t="s">
        <v>157</v>
      </c>
      <c r="D192" s="11"/>
      <c r="E192" s="12">
        <v>1863.8746548968272</v>
      </c>
      <c r="F192" s="12">
        <v>100</v>
      </c>
      <c r="G192" s="13">
        <f>VLOOKUP(B192,$L$2:$N$121,3,FALSE)</f>
        <v>16191.747085217619</v>
      </c>
      <c r="T192" s="18"/>
      <c r="U192" s="18" t="s">
        <v>151</v>
      </c>
      <c r="V192" s="40" t="s">
        <v>261</v>
      </c>
      <c r="W192" s="41" t="s">
        <v>262</v>
      </c>
      <c r="X192" s="41"/>
      <c r="Y192" s="21">
        <v>0</v>
      </c>
      <c r="Z192" s="21">
        <v>0</v>
      </c>
      <c r="AD192" s="80"/>
      <c r="AE192" s="71" t="str">
        <f>W192</f>
        <v>Trigo</v>
      </c>
      <c r="AF192" s="29">
        <f>$Z192*AF$188/100</f>
        <v>0</v>
      </c>
    </row>
    <row r="193" spans="1:32">
      <c r="A193" s="23"/>
      <c r="B193" s="23" t="s">
        <v>156</v>
      </c>
      <c r="C193" s="24" t="s">
        <v>264</v>
      </c>
      <c r="D193" s="25" t="s">
        <v>265</v>
      </c>
      <c r="E193" s="26">
        <v>1457.5922324298072</v>
      </c>
      <c r="F193" s="26">
        <v>78.202266906756705</v>
      </c>
      <c r="T193" s="9" t="s">
        <v>19</v>
      </c>
      <c r="U193" s="9" t="s">
        <v>156</v>
      </c>
      <c r="V193" s="10" t="s">
        <v>157</v>
      </c>
      <c r="W193" s="11"/>
      <c r="X193" s="11">
        <f>VLOOKUP(U193,'[1]% SECCION_ECONOMIA 2022'!$C$81:$I$209,7,FALSE)</f>
        <v>682.1159479201026</v>
      </c>
      <c r="Y193" s="12">
        <v>2066.3512157835544</v>
      </c>
      <c r="Z193" s="12">
        <v>100</v>
      </c>
      <c r="AA193" s="22">
        <f>X193/$X$2</f>
        <v>6.5368306101495771E-3</v>
      </c>
      <c r="AB193" t="s">
        <v>266</v>
      </c>
      <c r="AC193" t="str">
        <f>LEFT(AB193,4)</f>
        <v>2011</v>
      </c>
      <c r="AD193" s="76" t="s">
        <v>655</v>
      </c>
      <c r="AE193" s="22" t="str">
        <f>V193</f>
        <v xml:space="preserve">Fabricación de alcoholes </v>
      </c>
      <c r="AF193" s="22">
        <f>AA193</f>
        <v>6.5368306101495771E-3</v>
      </c>
    </row>
    <row r="194" spans="1:32">
      <c r="A194" s="18"/>
      <c r="B194" s="18" t="s">
        <v>156</v>
      </c>
      <c r="C194" s="19" t="s">
        <v>200</v>
      </c>
      <c r="D194" s="20" t="s">
        <v>201</v>
      </c>
      <c r="E194" s="21">
        <v>396.97639618460835</v>
      </c>
      <c r="F194" s="21">
        <v>21.298449181744068</v>
      </c>
      <c r="T194" s="23"/>
      <c r="U194" s="23" t="s">
        <v>156</v>
      </c>
      <c r="V194" s="24" t="s">
        <v>264</v>
      </c>
      <c r="W194" s="25" t="s">
        <v>265</v>
      </c>
      <c r="X194" s="25"/>
      <c r="Y194" s="26">
        <v>1662.3763965464318</v>
      </c>
      <c r="Z194" s="26">
        <v>80.449847240323251</v>
      </c>
      <c r="AD194" s="77"/>
      <c r="AE194" s="70" t="str">
        <f>W194</f>
        <v>Alcoholes</v>
      </c>
      <c r="AF194" s="29">
        <f>$Z194*AF$193/100</f>
        <v>5.2588702402240253E-3</v>
      </c>
    </row>
    <row r="195" spans="1:32">
      <c r="A195" s="30"/>
      <c r="B195" s="30"/>
      <c r="C195" s="31"/>
      <c r="D195" s="32"/>
      <c r="E195" s="33"/>
      <c r="F195" s="33"/>
      <c r="T195" s="18"/>
      <c r="U195" s="18"/>
      <c r="V195" s="19"/>
      <c r="W195" s="20"/>
      <c r="X195" s="20"/>
      <c r="Y195" s="21"/>
      <c r="Z195" s="21"/>
      <c r="AD195" s="79" t="s">
        <v>517</v>
      </c>
      <c r="AE195" s="58" t="s">
        <v>518</v>
      </c>
    </row>
    <row r="196" spans="1:32">
      <c r="A196" s="9" t="s">
        <v>19</v>
      </c>
      <c r="B196" s="9" t="s">
        <v>158</v>
      </c>
      <c r="C196" s="10" t="s">
        <v>159</v>
      </c>
      <c r="D196" s="11"/>
      <c r="E196" s="12">
        <v>7515.6707060071139</v>
      </c>
      <c r="F196" s="12">
        <v>100</v>
      </c>
      <c r="G196" s="13">
        <f>VLOOKUP(B196,$L$2:$N$121,3,FALSE)</f>
        <v>5033.6150368828366</v>
      </c>
      <c r="T196" s="18"/>
      <c r="U196" s="18" t="s">
        <v>156</v>
      </c>
      <c r="V196" s="19" t="s">
        <v>200</v>
      </c>
      <c r="W196" s="20" t="s">
        <v>201</v>
      </c>
      <c r="X196" s="20"/>
      <c r="Y196" s="21">
        <v>395.44741149151218</v>
      </c>
      <c r="Z196" s="21">
        <v>19.137473265480654</v>
      </c>
      <c r="AD196" s="77"/>
      <c r="AE196" s="70" t="str">
        <f>W196</f>
        <v>Aguardientes, licores y demás bebidas espirituosas</v>
      </c>
      <c r="AF196" s="29">
        <f>$Z196*AF$193/100</f>
        <v>1.2509842104271314E-3</v>
      </c>
    </row>
    <row r="197" spans="1:32" ht="15.5" customHeight="1">
      <c r="A197" s="44"/>
      <c r="B197" s="44"/>
      <c r="C197" s="45"/>
      <c r="D197" s="46"/>
      <c r="E197" s="47"/>
      <c r="F197" s="47"/>
      <c r="G197" s="48"/>
      <c r="T197" s="30"/>
      <c r="U197" s="30"/>
      <c r="V197" s="31"/>
      <c r="W197" s="32"/>
      <c r="X197" s="32"/>
      <c r="Y197" s="33"/>
      <c r="Z197" s="33"/>
      <c r="AD197" s="75" t="s">
        <v>439</v>
      </c>
      <c r="AE197" t="s">
        <v>440</v>
      </c>
      <c r="AF197" s="29"/>
    </row>
    <row r="198" spans="1:32">
      <c r="A198" s="18"/>
      <c r="B198" s="18" t="s">
        <v>158</v>
      </c>
      <c r="C198" s="19" t="s">
        <v>267</v>
      </c>
      <c r="D198" s="20" t="s">
        <v>268</v>
      </c>
      <c r="E198" s="21">
        <v>7300.0247237557996</v>
      </c>
      <c r="F198" s="21">
        <v>97.130715398707494</v>
      </c>
      <c r="T198" s="9" t="s">
        <v>19</v>
      </c>
      <c r="U198" s="9" t="s">
        <v>158</v>
      </c>
      <c r="V198" s="10" t="s">
        <v>159</v>
      </c>
      <c r="W198" s="11"/>
      <c r="X198" s="11">
        <f>VLOOKUP(U198,'[1]% SECCION_ECONOMIA 2022'!$C$81:$I$209,7,FALSE)</f>
        <v>3265.1851949527281</v>
      </c>
      <c r="Y198" s="12">
        <v>7866.4176404272966</v>
      </c>
      <c r="Z198" s="12">
        <v>100</v>
      </c>
      <c r="AA198" s="22">
        <f>X198/$X$2</f>
        <v>3.1290812940609126E-2</v>
      </c>
      <c r="AB198" t="s">
        <v>269</v>
      </c>
      <c r="AC198" t="str">
        <f>LEFT(AB198,4)</f>
        <v>2012</v>
      </c>
      <c r="AD198" s="76" t="s">
        <v>269</v>
      </c>
      <c r="AE198" s="22" t="str">
        <f>V198</f>
        <v>Fabricación de abonos , compuestos de nitrógeno, plaguicidas y otros productos químicos de uso agropecuario</v>
      </c>
      <c r="AF198" s="22">
        <f>AA198</f>
        <v>3.1290812940609126E-2</v>
      </c>
    </row>
    <row r="199" spans="1:32">
      <c r="A199" s="9" t="s">
        <v>19</v>
      </c>
      <c r="B199" s="9" t="s">
        <v>162</v>
      </c>
      <c r="C199" s="10" t="s">
        <v>163</v>
      </c>
      <c r="D199" s="11"/>
      <c r="E199" s="12">
        <v>0</v>
      </c>
      <c r="F199" s="12">
        <v>0</v>
      </c>
      <c r="G199" s="13">
        <f>VLOOKUP(B199,$L$2:$N$121,3,FALSE)</f>
        <v>889.81897074497704</v>
      </c>
      <c r="T199" s="18"/>
      <c r="U199" s="18" t="s">
        <v>158</v>
      </c>
      <c r="V199" s="19" t="s">
        <v>267</v>
      </c>
      <c r="W199" s="20" t="s">
        <v>268</v>
      </c>
      <c r="X199" s="20"/>
      <c r="Y199" s="21">
        <v>7641.5353947355561</v>
      </c>
      <c r="Z199" s="21">
        <v>97.141236888618522</v>
      </c>
      <c r="AD199" s="77"/>
      <c r="AE199" s="70" t="str">
        <f>W199</f>
        <v>Abonos, fertilizantes y pesticidas</v>
      </c>
      <c r="AF199" s="29">
        <f>Z199*AF198/100</f>
        <v>3.0396282723011613E-2</v>
      </c>
    </row>
    <row r="200" spans="1:32">
      <c r="A200" s="44"/>
      <c r="B200" s="44"/>
      <c r="C200" s="45"/>
      <c r="D200" s="46"/>
      <c r="E200" s="47"/>
      <c r="F200" s="47"/>
      <c r="G200" s="48"/>
      <c r="T200" s="30"/>
      <c r="U200" s="30"/>
      <c r="V200" s="31"/>
      <c r="W200" s="32"/>
      <c r="X200" s="32"/>
      <c r="Y200" s="33"/>
      <c r="Z200" s="33"/>
      <c r="AD200" s="75" t="s">
        <v>523</v>
      </c>
      <c r="AE200" t="s">
        <v>524</v>
      </c>
    </row>
    <row r="201" spans="1:32">
      <c r="A201" s="44"/>
      <c r="B201" s="44"/>
      <c r="C201" s="45"/>
      <c r="D201" s="46"/>
      <c r="E201" s="47"/>
      <c r="F201" s="47"/>
      <c r="G201" s="48"/>
      <c r="T201" s="30"/>
      <c r="U201" s="30"/>
      <c r="V201" s="31"/>
      <c r="W201" s="32"/>
      <c r="X201" s="32"/>
      <c r="Y201" s="33"/>
      <c r="Z201" s="33"/>
      <c r="AD201" s="75" t="s">
        <v>525</v>
      </c>
      <c r="AE201" t="s">
        <v>530</v>
      </c>
    </row>
    <row r="202" spans="1:32">
      <c r="A202" s="44"/>
      <c r="B202" s="44"/>
      <c r="C202" s="45"/>
      <c r="D202" s="46"/>
      <c r="E202" s="47"/>
      <c r="F202" s="47"/>
      <c r="G202" s="48"/>
      <c r="T202" s="30"/>
      <c r="U202" s="30"/>
      <c r="V202" s="31"/>
      <c r="W202" s="32"/>
      <c r="X202" s="32"/>
      <c r="Y202" s="33"/>
      <c r="Z202" s="33"/>
      <c r="AD202" s="75" t="s">
        <v>520</v>
      </c>
      <c r="AE202" t="s">
        <v>522</v>
      </c>
    </row>
    <row r="203" spans="1:32">
      <c r="A203" s="44"/>
      <c r="B203" s="44"/>
      <c r="C203" s="45"/>
      <c r="D203" s="46"/>
      <c r="E203" s="47"/>
      <c r="F203" s="47"/>
      <c r="G203" s="48"/>
      <c r="T203" s="30"/>
      <c r="U203" s="30"/>
      <c r="V203" s="31"/>
      <c r="W203" s="32"/>
      <c r="X203" s="32"/>
      <c r="Y203" s="33"/>
      <c r="Z203" s="33"/>
      <c r="AD203" s="75" t="s">
        <v>519</v>
      </c>
      <c r="AE203" t="s">
        <v>521</v>
      </c>
    </row>
    <row r="204" spans="1:32">
      <c r="A204" s="44"/>
      <c r="B204" s="44"/>
      <c r="C204" s="45"/>
      <c r="D204" s="46"/>
      <c r="E204" s="47"/>
      <c r="F204" s="47"/>
      <c r="G204" s="48"/>
      <c r="T204" s="30"/>
      <c r="U204" s="30"/>
      <c r="V204" s="31"/>
      <c r="W204" s="32"/>
      <c r="X204" s="32"/>
      <c r="Y204" s="33"/>
      <c r="Z204" s="33"/>
      <c r="AD204" s="75" t="s">
        <v>526</v>
      </c>
      <c r="AE204" t="s">
        <v>529</v>
      </c>
    </row>
    <row r="205" spans="1:32">
      <c r="A205" s="44"/>
      <c r="B205" s="44"/>
      <c r="C205" s="45"/>
      <c r="D205" s="46"/>
      <c r="E205" s="47"/>
      <c r="F205" s="47"/>
      <c r="G205" s="48"/>
      <c r="T205" s="30"/>
      <c r="U205" s="30"/>
      <c r="V205" s="31"/>
      <c r="W205" s="32"/>
      <c r="X205" s="32"/>
      <c r="Y205" s="33"/>
      <c r="Z205" s="33"/>
      <c r="AD205" s="75" t="s">
        <v>527</v>
      </c>
      <c r="AE205" t="s">
        <v>528</v>
      </c>
    </row>
    <row r="206" spans="1:32">
      <c r="A206" s="18"/>
      <c r="B206" s="18" t="s">
        <v>162</v>
      </c>
      <c r="C206" s="19" t="s">
        <v>261</v>
      </c>
      <c r="D206" s="20" t="s">
        <v>262</v>
      </c>
      <c r="E206" s="21">
        <v>0</v>
      </c>
      <c r="F206" s="21">
        <v>0</v>
      </c>
      <c r="T206" s="9" t="s">
        <v>19</v>
      </c>
      <c r="U206" s="9" t="s">
        <v>162</v>
      </c>
      <c r="V206" s="10" t="s">
        <v>163</v>
      </c>
      <c r="W206" s="11"/>
      <c r="X206" s="11">
        <f>VLOOKUP(U206,'[1]% SECCION_ECONOMIA 2022'!$C$81:$I$209,7,FALSE)</f>
        <v>0</v>
      </c>
      <c r="Y206" s="12">
        <v>0</v>
      </c>
      <c r="Z206" s="12">
        <v>0</v>
      </c>
      <c r="AA206" s="22">
        <f>X206/$X$2</f>
        <v>0</v>
      </c>
      <c r="AB206" t="s">
        <v>270</v>
      </c>
      <c r="AC206" t="str">
        <f>LEFT(AB206,4)</f>
        <v>2013</v>
      </c>
      <c r="AD206" s="76" t="s">
        <v>270</v>
      </c>
      <c r="AE206" s="22" t="str">
        <f>V206</f>
        <v>Fabricación de plásticos y caucho sintético en formas primarias</v>
      </c>
      <c r="AF206" s="22">
        <f>AA206</f>
        <v>0</v>
      </c>
    </row>
    <row r="207" spans="1:32">
      <c r="A207" s="9" t="s">
        <v>19</v>
      </c>
      <c r="B207" s="9" t="s">
        <v>165</v>
      </c>
      <c r="C207" s="10" t="s">
        <v>166</v>
      </c>
      <c r="D207" s="11"/>
      <c r="E207" s="12">
        <v>1616.7357246883507</v>
      </c>
      <c r="F207" s="12">
        <v>100</v>
      </c>
      <c r="G207" s="13">
        <f>VLOOKUP(B207,$L$2:$N$121,3,FALSE)</f>
        <v>1888.7155080501054</v>
      </c>
      <c r="T207" s="18"/>
      <c r="U207" s="18" t="s">
        <v>162</v>
      </c>
      <c r="V207" s="40" t="s">
        <v>261</v>
      </c>
      <c r="W207" s="41" t="s">
        <v>262</v>
      </c>
      <c r="X207" s="41"/>
      <c r="Y207" s="21">
        <v>0</v>
      </c>
      <c r="Z207" s="21">
        <v>0</v>
      </c>
      <c r="AD207" s="80"/>
      <c r="AE207" s="71" t="str">
        <f>W207</f>
        <v>Trigo</v>
      </c>
      <c r="AF207" s="29">
        <f>$Z207*AF$188/100</f>
        <v>0</v>
      </c>
    </row>
    <row r="208" spans="1:32">
      <c r="A208" s="18"/>
      <c r="B208" s="18" t="s">
        <v>165</v>
      </c>
      <c r="C208" s="19" t="s">
        <v>271</v>
      </c>
      <c r="D208" s="20" t="s">
        <v>272</v>
      </c>
      <c r="E208" s="21">
        <v>1570.7859621835146</v>
      </c>
      <c r="F208" s="21">
        <v>97.157868054552111</v>
      </c>
      <c r="T208" s="9" t="s">
        <v>19</v>
      </c>
      <c r="U208" s="9" t="s">
        <v>165</v>
      </c>
      <c r="V208" s="10" t="s">
        <v>166</v>
      </c>
      <c r="W208" s="11"/>
      <c r="X208" s="11">
        <f>VLOOKUP(U208,'[1]% SECCION_ECONOMIA 2022'!$C$81:$I$209,7,FALSE)</f>
        <v>642.92717669458852</v>
      </c>
      <c r="Y208" s="12">
        <v>1628.8204080522182</v>
      </c>
      <c r="Z208" s="12">
        <v>100</v>
      </c>
      <c r="AA208" s="22">
        <f>X208/$X$2</f>
        <v>6.1612780957974343E-3</v>
      </c>
      <c r="AB208" t="s">
        <v>273</v>
      </c>
      <c r="AC208" t="str">
        <f>LEFT(AB208,4)</f>
        <v>2022</v>
      </c>
      <c r="AD208" s="76" t="s">
        <v>273</v>
      </c>
      <c r="AE208" s="22" t="str">
        <f>V208</f>
        <v>Fabricación de pinturas, barnices y productos de revestimiento similares, tintas de imprenta y masillas</v>
      </c>
      <c r="AF208" s="22">
        <f>AA208</f>
        <v>6.1612780957974343E-3</v>
      </c>
    </row>
    <row r="209" spans="1:32">
      <c r="A209" s="9" t="s">
        <v>19</v>
      </c>
      <c r="B209" s="9" t="s">
        <v>169</v>
      </c>
      <c r="C209" s="10" t="s">
        <v>170</v>
      </c>
      <c r="D209" s="11"/>
      <c r="E209" s="12">
        <v>8000.6331300555512</v>
      </c>
      <c r="F209" s="12">
        <v>100</v>
      </c>
      <c r="G209" s="13">
        <f>VLOOKUP(B209,$L$2:$N$121,3,FALSE)</f>
        <v>18950.262635072308</v>
      </c>
      <c r="T209" s="18"/>
      <c r="U209" s="18" t="s">
        <v>165</v>
      </c>
      <c r="V209" s="19" t="s">
        <v>271</v>
      </c>
      <c r="W209" s="20" t="s">
        <v>272</v>
      </c>
      <c r="X209" s="20"/>
      <c r="Y209" s="21">
        <v>1585.5088713735486</v>
      </c>
      <c r="Z209" s="21">
        <v>97.340926202511014</v>
      </c>
      <c r="AD209" s="77"/>
      <c r="AE209" s="70" t="str">
        <f>W209</f>
        <v>Pinturas y barnices y productos relacionados, colores artisticos, tinta</v>
      </c>
      <c r="AF209" s="29">
        <f>Z209*AF208/100</f>
        <v>5.9974451643616568E-3</v>
      </c>
    </row>
    <row r="210" spans="1:32">
      <c r="A210" s="44"/>
      <c r="B210" s="44"/>
      <c r="C210" s="45"/>
      <c r="D210" s="46"/>
      <c r="E210" s="47"/>
      <c r="F210" s="47"/>
      <c r="G210" s="48"/>
      <c r="T210" s="30"/>
      <c r="U210" s="30"/>
      <c r="V210" s="31"/>
      <c r="W210" s="32"/>
      <c r="X210" s="32"/>
      <c r="Y210" s="33"/>
      <c r="Z210" s="33"/>
      <c r="AD210" s="75" t="s">
        <v>531</v>
      </c>
      <c r="AE210" t="s">
        <v>532</v>
      </c>
    </row>
    <row r="211" spans="1:32">
      <c r="A211" s="18"/>
      <c r="B211" s="18" t="s">
        <v>169</v>
      </c>
      <c r="C211" s="19" t="s">
        <v>274</v>
      </c>
      <c r="D211" s="20" t="s">
        <v>275</v>
      </c>
      <c r="E211" s="21">
        <v>7802.3490007712408</v>
      </c>
      <c r="F211" s="21">
        <v>97.52164452411364</v>
      </c>
      <c r="T211" s="9" t="s">
        <v>19</v>
      </c>
      <c r="U211" s="9" t="s">
        <v>169</v>
      </c>
      <c r="V211" s="10" t="s">
        <v>170</v>
      </c>
      <c r="W211" s="11"/>
      <c r="X211" s="11">
        <f>VLOOKUP(U211,'[1]% SECCION_ECONOMIA 2022'!$C$81:$I$209,7,FALSE)</f>
        <v>2797.538719193627</v>
      </c>
      <c r="Y211" s="12">
        <v>7377.2438715911121</v>
      </c>
      <c r="Z211" s="12">
        <v>100</v>
      </c>
      <c r="AA211" s="22">
        <f>X211/$X$2</f>
        <v>2.6809278962710213E-2</v>
      </c>
      <c r="AB211" t="s">
        <v>276</v>
      </c>
      <c r="AC211" t="str">
        <f>LEFT(AB211,4)</f>
        <v>2023</v>
      </c>
      <c r="AD211" s="76" t="s">
        <v>276</v>
      </c>
      <c r="AE211" s="22" t="str">
        <f>V211</f>
        <v>Fabricación de jabones y detergentes, preparados para limpiar y pulir, perfumes y preparados de tocador</v>
      </c>
      <c r="AF211" s="22">
        <f>AA211</f>
        <v>2.6809278962710213E-2</v>
      </c>
    </row>
    <row r="212" spans="1:32">
      <c r="A212" s="9" t="s">
        <v>19</v>
      </c>
      <c r="B212" s="9" t="s">
        <v>172</v>
      </c>
      <c r="C212" s="10" t="s">
        <v>173</v>
      </c>
      <c r="D212" s="11"/>
      <c r="E212" s="12">
        <v>2600.1522092643813</v>
      </c>
      <c r="F212" s="12">
        <v>100</v>
      </c>
      <c r="G212" s="13">
        <f>VLOOKUP(B212,$L$2:$N$121,3,FALSE)</f>
        <v>2299.9047219672834</v>
      </c>
      <c r="T212" s="18"/>
      <c r="U212" s="18" t="s">
        <v>169</v>
      </c>
      <c r="V212" s="19" t="s">
        <v>274</v>
      </c>
      <c r="W212" s="20" t="s">
        <v>275</v>
      </c>
      <c r="X212" s="20"/>
      <c r="Y212" s="21">
        <v>7204.2104712162554</v>
      </c>
      <c r="Z212" s="21">
        <v>97.654498029525811</v>
      </c>
      <c r="AD212" s="77"/>
      <c r="AE212" s="70" t="str">
        <f>W212</f>
        <v>Jabón, preparados de limpieza, perfumes y preparados de toilet</v>
      </c>
      <c r="AF212" s="29">
        <f>Z212*AF211/100</f>
        <v>2.6180466796369921E-2</v>
      </c>
    </row>
    <row r="213" spans="1:32">
      <c r="A213" s="49"/>
      <c r="B213" s="49"/>
      <c r="C213" s="50"/>
      <c r="D213" s="51"/>
      <c r="E213" s="52"/>
      <c r="F213" s="52"/>
      <c r="G213" s="48"/>
      <c r="T213" s="30"/>
      <c r="U213" s="30"/>
      <c r="V213" s="31"/>
      <c r="W213" s="32"/>
      <c r="X213" s="32"/>
      <c r="Y213" s="33"/>
      <c r="Z213" s="33"/>
      <c r="AD213" s="75" t="s">
        <v>533</v>
      </c>
      <c r="AE213" t="s">
        <v>534</v>
      </c>
    </row>
    <row r="214" spans="1:32">
      <c r="A214" s="49"/>
      <c r="B214" s="49"/>
      <c r="C214" s="50"/>
      <c r="D214" s="51"/>
      <c r="E214" s="52"/>
      <c r="F214" s="52"/>
      <c r="G214" s="48"/>
      <c r="T214" s="30"/>
      <c r="U214" s="30"/>
      <c r="V214" s="31"/>
      <c r="W214" s="32"/>
      <c r="X214" s="32"/>
      <c r="Y214" s="33"/>
      <c r="Z214" s="33"/>
      <c r="AD214" s="75" t="s">
        <v>535</v>
      </c>
      <c r="AE214" t="s">
        <v>536</v>
      </c>
    </row>
    <row r="215" spans="1:32">
      <c r="A215" s="49"/>
      <c r="B215" s="49"/>
      <c r="C215" s="50"/>
      <c r="D215" s="51"/>
      <c r="E215" s="52"/>
      <c r="F215" s="52"/>
      <c r="G215" s="48"/>
      <c r="T215" s="30"/>
      <c r="U215" s="30"/>
      <c r="V215" s="31"/>
      <c r="W215" s="32"/>
      <c r="X215" s="32"/>
      <c r="Y215" s="33"/>
      <c r="Z215" s="33"/>
      <c r="AD215" s="75" t="s">
        <v>537</v>
      </c>
      <c r="AE215" t="s">
        <v>538</v>
      </c>
    </row>
    <row r="216" spans="1:32">
      <c r="A216" s="23"/>
      <c r="B216" s="23" t="s">
        <v>172</v>
      </c>
      <c r="C216" s="24" t="s">
        <v>277</v>
      </c>
      <c r="D216" s="25" t="s">
        <v>278</v>
      </c>
      <c r="E216" s="26">
        <v>1320.5993523998222</v>
      </c>
      <c r="F216" s="26">
        <v>50.78930947559558</v>
      </c>
      <c r="T216" s="9" t="s">
        <v>19</v>
      </c>
      <c r="U216" s="9" t="s">
        <v>172</v>
      </c>
      <c r="V216" s="10" t="s">
        <v>173</v>
      </c>
      <c r="W216" s="11"/>
      <c r="X216" s="11">
        <f>VLOOKUP(U216,'[1]% SECCION_ECONOMIA 2022'!$C$81:$I$209,7,FALSE)</f>
        <v>1268.0804276893725</v>
      </c>
      <c r="Y216" s="12">
        <v>2889.9206611490831</v>
      </c>
      <c r="Z216" s="12">
        <v>100</v>
      </c>
      <c r="AA216" s="22">
        <f>X216/$X$2</f>
        <v>1.2152225704628136E-2</v>
      </c>
      <c r="AB216" t="s">
        <v>279</v>
      </c>
      <c r="AC216" t="str">
        <f>LEFT(AB216,4)</f>
        <v>2011</v>
      </c>
      <c r="AD216" s="76" t="s">
        <v>655</v>
      </c>
      <c r="AE216" s="22" t="str">
        <f>V216</f>
        <v>Fabricación de otras sustancias químicas básicas, otros productos químicos y fibras artificiales</v>
      </c>
      <c r="AF216" s="22">
        <f>AA216</f>
        <v>1.2152225704628136E-2</v>
      </c>
    </row>
    <row r="217" spans="1:32">
      <c r="A217" s="18"/>
      <c r="B217" s="18" t="s">
        <v>172</v>
      </c>
      <c r="C217" s="19" t="s">
        <v>280</v>
      </c>
      <c r="D217" s="20" t="s">
        <v>281</v>
      </c>
      <c r="E217" s="21">
        <v>786.47432360981566</v>
      </c>
      <c r="F217" s="21">
        <v>30.2472417117581</v>
      </c>
      <c r="T217" s="23"/>
      <c r="U217" s="23" t="s">
        <v>172</v>
      </c>
      <c r="V217" s="24" t="s">
        <v>277</v>
      </c>
      <c r="W217" s="25" t="s">
        <v>278</v>
      </c>
      <c r="X217" s="25"/>
      <c r="Y217" s="26">
        <v>1625.4978667797056</v>
      </c>
      <c r="Z217" s="26">
        <v>56.247145073296899</v>
      </c>
      <c r="AD217" s="77"/>
      <c r="AE217" s="70" t="str">
        <f>W217</f>
        <v>Productos Químicos Básicos excepto alcoholes</v>
      </c>
      <c r="AF217" s="29">
        <f>Z217*AF$216/100</f>
        <v>6.8352800217166641E-3</v>
      </c>
    </row>
    <row r="218" spans="1:32">
      <c r="A218" s="30"/>
      <c r="B218" s="30"/>
      <c r="C218" s="31"/>
      <c r="D218" s="32"/>
      <c r="E218" s="33"/>
      <c r="F218" s="33"/>
      <c r="T218" s="18"/>
      <c r="U218" s="18"/>
      <c r="V218" s="19"/>
      <c r="W218" s="20"/>
      <c r="X218" s="20"/>
      <c r="Y218" s="21"/>
      <c r="Z218" s="21"/>
      <c r="AD218" s="75" t="s">
        <v>539</v>
      </c>
      <c r="AE218" t="s">
        <v>546</v>
      </c>
    </row>
    <row r="219" spans="1:32">
      <c r="A219" s="30"/>
      <c r="B219" s="30"/>
      <c r="C219" s="31"/>
      <c r="D219" s="32"/>
      <c r="E219" s="33"/>
      <c r="F219" s="33"/>
      <c r="T219" s="18"/>
      <c r="U219" s="18"/>
      <c r="V219" s="19"/>
      <c r="W219" s="20"/>
      <c r="X219" s="20"/>
      <c r="Y219" s="21"/>
      <c r="Z219" s="21"/>
      <c r="AD219" s="75" t="s">
        <v>540</v>
      </c>
      <c r="AE219" t="s">
        <v>547</v>
      </c>
    </row>
    <row r="220" spans="1:32">
      <c r="A220" s="30"/>
      <c r="B220" s="30"/>
      <c r="C220" s="31"/>
      <c r="D220" s="32"/>
      <c r="E220" s="33"/>
      <c r="F220" s="33"/>
      <c r="T220" s="18"/>
      <c r="U220" s="18"/>
      <c r="V220" s="19"/>
      <c r="W220" s="20"/>
      <c r="X220" s="20"/>
      <c r="Y220" s="21"/>
      <c r="Z220" s="21"/>
      <c r="AD220" s="75" t="s">
        <v>541</v>
      </c>
      <c r="AE220" t="s">
        <v>548</v>
      </c>
    </row>
    <row r="221" spans="1:32">
      <c r="A221" s="30"/>
      <c r="B221" s="30"/>
      <c r="C221" s="31"/>
      <c r="D221" s="32"/>
      <c r="E221" s="33"/>
      <c r="F221" s="33"/>
      <c r="T221" s="18"/>
      <c r="U221" s="18"/>
      <c r="V221" s="19"/>
      <c r="W221" s="20"/>
      <c r="X221" s="20"/>
      <c r="Y221" s="21"/>
      <c r="Z221" s="21"/>
      <c r="AD221" s="75" t="s">
        <v>542</v>
      </c>
      <c r="AE221" t="s">
        <v>544</v>
      </c>
    </row>
    <row r="222" spans="1:32">
      <c r="A222" s="30"/>
      <c r="B222" s="30"/>
      <c r="C222" s="31"/>
      <c r="D222" s="32"/>
      <c r="E222" s="33"/>
      <c r="F222" s="33"/>
      <c r="T222" s="18"/>
      <c r="U222" s="18"/>
      <c r="V222" s="19"/>
      <c r="W222" s="20"/>
      <c r="X222" s="20"/>
      <c r="Y222" s="21"/>
      <c r="Z222" s="21"/>
      <c r="AD222" s="75" t="s">
        <v>543</v>
      </c>
      <c r="AE222" t="s">
        <v>545</v>
      </c>
    </row>
    <row r="223" spans="1:32">
      <c r="A223" s="9" t="s">
        <v>19</v>
      </c>
      <c r="B223" s="9" t="s">
        <v>176</v>
      </c>
      <c r="C223" s="10" t="s">
        <v>177</v>
      </c>
      <c r="D223" s="11"/>
      <c r="E223" s="12">
        <v>6900.1330537218564</v>
      </c>
      <c r="F223" s="12">
        <v>100</v>
      </c>
      <c r="G223" s="13">
        <f>VLOOKUP(B223,$L$2:$N$121,3,FALSE)</f>
        <v>20130.487782213553</v>
      </c>
      <c r="T223" s="18"/>
      <c r="U223" s="18" t="s">
        <v>172</v>
      </c>
      <c r="V223" s="19" t="s">
        <v>280</v>
      </c>
      <c r="W223" s="20" t="s">
        <v>281</v>
      </c>
      <c r="X223" s="20"/>
      <c r="Y223" s="21">
        <v>799.51279563260505</v>
      </c>
      <c r="Z223" s="21">
        <v>27.665562116667409</v>
      </c>
      <c r="AD223" s="77"/>
      <c r="AE223" s="70" t="str">
        <f>W223</f>
        <v>Productos químicos n.c.p. y fibras sintéticas o artificiales</v>
      </c>
      <c r="AF223" s="29">
        <f>Z223*AF$216/100</f>
        <v>3.3619815508715207E-3</v>
      </c>
    </row>
    <row r="224" spans="1:32">
      <c r="A224" s="49"/>
      <c r="B224" s="49"/>
      <c r="C224" s="50"/>
      <c r="D224" s="51"/>
      <c r="E224" s="52"/>
      <c r="F224" s="52"/>
      <c r="G224" s="48"/>
      <c r="T224" s="30"/>
      <c r="U224" s="30"/>
      <c r="V224" s="31"/>
      <c r="W224" s="32"/>
      <c r="X224" s="32"/>
      <c r="Y224" s="33"/>
      <c r="Z224" s="33"/>
      <c r="AD224" s="75" t="s">
        <v>549</v>
      </c>
      <c r="AE224" t="s">
        <v>553</v>
      </c>
    </row>
    <row r="225" spans="1:32">
      <c r="A225" s="49"/>
      <c r="B225" s="49"/>
      <c r="C225" s="50"/>
      <c r="D225" s="51"/>
      <c r="E225" s="52"/>
      <c r="F225" s="52"/>
      <c r="G225" s="48"/>
      <c r="T225" s="30"/>
      <c r="U225" s="30"/>
      <c r="V225" s="31"/>
      <c r="W225" s="32"/>
      <c r="X225" s="32"/>
      <c r="Y225" s="33"/>
      <c r="Z225" s="33"/>
      <c r="AD225" s="75" t="s">
        <v>550</v>
      </c>
      <c r="AE225" t="s">
        <v>554</v>
      </c>
    </row>
    <row r="226" spans="1:32">
      <c r="A226" s="49"/>
      <c r="B226" s="49"/>
      <c r="C226" s="50"/>
      <c r="D226" s="51"/>
      <c r="E226" s="52"/>
      <c r="F226" s="52"/>
      <c r="G226" s="48"/>
      <c r="T226" s="30"/>
      <c r="U226" s="30"/>
      <c r="V226" s="31"/>
      <c r="W226" s="32"/>
      <c r="X226" s="32"/>
      <c r="Y226" s="33"/>
      <c r="Z226" s="33"/>
      <c r="AD226" s="75" t="s">
        <v>551</v>
      </c>
      <c r="AE226" t="s">
        <v>555</v>
      </c>
    </row>
    <row r="227" spans="1:32">
      <c r="A227" s="49"/>
      <c r="B227" s="49"/>
      <c r="C227" s="50"/>
      <c r="D227" s="51"/>
      <c r="E227" s="52"/>
      <c r="F227" s="52"/>
      <c r="G227" s="48"/>
      <c r="T227" s="30"/>
      <c r="U227" s="30"/>
      <c r="V227" s="31"/>
      <c r="W227" s="32"/>
      <c r="X227" s="32"/>
      <c r="Y227" s="33"/>
      <c r="Z227" s="33"/>
      <c r="AD227" s="75" t="s">
        <v>552</v>
      </c>
      <c r="AE227" t="s">
        <v>556</v>
      </c>
    </row>
    <row r="228" spans="1:32">
      <c r="A228" s="23"/>
      <c r="B228" s="23" t="s">
        <v>176</v>
      </c>
      <c r="C228" s="24" t="s">
        <v>282</v>
      </c>
      <c r="D228" s="25" t="s">
        <v>283</v>
      </c>
      <c r="E228" s="26">
        <v>5594.5280663153999</v>
      </c>
      <c r="F228" s="26">
        <v>81.078553453368158</v>
      </c>
      <c r="T228" s="9" t="s">
        <v>19</v>
      </c>
      <c r="U228" s="9" t="s">
        <v>176</v>
      </c>
      <c r="V228" s="10" t="s">
        <v>177</v>
      </c>
      <c r="W228" s="11"/>
      <c r="X228" s="11">
        <f>VLOOKUP(U228,'[1]% SECCION_ECONOMIA 2022'!$C$81:$I$209,7,FALSE)</f>
        <v>2201.879717185122</v>
      </c>
      <c r="Y228" s="12">
        <v>6160.5907210755067</v>
      </c>
      <c r="Z228" s="12">
        <v>100</v>
      </c>
      <c r="AA228" s="22">
        <f>X228/$X$2</f>
        <v>2.1100979648769495E-2</v>
      </c>
      <c r="AB228" t="s">
        <v>284</v>
      </c>
      <c r="AC228" t="str">
        <f>LEFT(AB228,4)</f>
        <v>2100</v>
      </c>
      <c r="AD228" s="76" t="s">
        <v>284</v>
      </c>
      <c r="AE228" s="22" t="str">
        <f>V228</f>
        <v>Fabricación de productos farmacéuticos, sustancias químicas medicinales y productos botánicos de uso farmacéutico</v>
      </c>
      <c r="AF228" s="22">
        <f>AA228</f>
        <v>2.1100979648769495E-2</v>
      </c>
    </row>
    <row r="229" spans="1:32">
      <c r="A229" s="18"/>
      <c r="B229" s="18" t="s">
        <v>176</v>
      </c>
      <c r="C229" s="19" t="s">
        <v>267</v>
      </c>
      <c r="D229" s="20" t="s">
        <v>268</v>
      </c>
      <c r="E229" s="21">
        <v>706.9224323895038</v>
      </c>
      <c r="F229" s="21">
        <v>10.245055086411668</v>
      </c>
      <c r="T229" s="23"/>
      <c r="U229" s="23" t="s">
        <v>176</v>
      </c>
      <c r="V229" s="24" t="s">
        <v>282</v>
      </c>
      <c r="W229" s="25" t="s">
        <v>283</v>
      </c>
      <c r="X229" s="25"/>
      <c r="Y229" s="26">
        <v>4950.6422810597414</v>
      </c>
      <c r="Z229" s="26">
        <v>80.35986328589388</v>
      </c>
      <c r="AD229" s="77"/>
      <c r="AE229" s="70" t="str">
        <f>W229</f>
        <v>Productos Farmaceúticos</v>
      </c>
      <c r="AF229" s="29">
        <f>Z229*AF$228/100</f>
        <v>1.6956718397735458E-2</v>
      </c>
    </row>
    <row r="230" spans="1:32">
      <c r="A230" s="30"/>
      <c r="B230" s="30"/>
      <c r="C230" s="31"/>
      <c r="D230" s="32"/>
      <c r="E230" s="33"/>
      <c r="F230" s="33"/>
      <c r="T230" s="18"/>
      <c r="U230" s="18"/>
      <c r="V230" s="19"/>
      <c r="W230" s="20"/>
      <c r="X230" s="20"/>
      <c r="Y230" s="21"/>
      <c r="Z230" s="21"/>
      <c r="AD230" s="75" t="s">
        <v>557</v>
      </c>
      <c r="AE230" t="s">
        <v>559</v>
      </c>
      <c r="AF230" s="29"/>
    </row>
    <row r="231" spans="1:32">
      <c r="A231" s="30"/>
      <c r="B231" s="30"/>
      <c r="C231" s="31"/>
      <c r="D231" s="32"/>
      <c r="E231" s="33"/>
      <c r="F231" s="33"/>
      <c r="T231" s="18"/>
      <c r="U231" s="18"/>
      <c r="V231" s="19"/>
      <c r="W231" s="20"/>
      <c r="X231" s="20"/>
      <c r="Y231" s="21"/>
      <c r="Z231" s="21"/>
      <c r="AD231" s="75" t="s">
        <v>558</v>
      </c>
      <c r="AE231" t="s">
        <v>560</v>
      </c>
      <c r="AF231" s="29"/>
    </row>
    <row r="232" spans="1:32">
      <c r="A232" s="9" t="s">
        <v>19</v>
      </c>
      <c r="B232" s="9" t="s">
        <v>179</v>
      </c>
      <c r="C232" s="10" t="s">
        <v>180</v>
      </c>
      <c r="D232" s="11"/>
      <c r="E232" s="12">
        <v>1388.3679146927395</v>
      </c>
      <c r="F232" s="12">
        <v>100</v>
      </c>
      <c r="G232" s="13">
        <f>VLOOKUP(B232,$L$2:$N$121,3,FALSE)</f>
        <v>2650.7789482238049</v>
      </c>
      <c r="T232" s="18"/>
      <c r="U232" s="60" t="s">
        <v>176</v>
      </c>
      <c r="V232" s="61" t="s">
        <v>267</v>
      </c>
      <c r="W232" s="41" t="s">
        <v>268</v>
      </c>
      <c r="X232" s="41"/>
      <c r="Y232" s="59">
        <v>687.15225030026295</v>
      </c>
      <c r="Z232" s="59">
        <v>11.153999371350883</v>
      </c>
      <c r="AD232" s="77"/>
      <c r="AE232" s="70" t="str">
        <f>W232</f>
        <v>Abonos, fertilizantes y pesticidas</v>
      </c>
      <c r="AF232" s="29">
        <f>Z232*AF$228/100</f>
        <v>2.3536031373726273E-3</v>
      </c>
    </row>
    <row r="233" spans="1:32">
      <c r="A233" s="18"/>
      <c r="B233" s="18" t="s">
        <v>179</v>
      </c>
      <c r="C233" s="19" t="s">
        <v>285</v>
      </c>
      <c r="D233" s="20" t="s">
        <v>286</v>
      </c>
      <c r="E233" s="21">
        <v>1190.1347948719049</v>
      </c>
      <c r="F233" s="21">
        <v>85.721859622151683</v>
      </c>
      <c r="T233" s="9" t="s">
        <v>19</v>
      </c>
      <c r="U233" s="9" t="s">
        <v>179</v>
      </c>
      <c r="V233" s="10" t="s">
        <v>180</v>
      </c>
      <c r="W233" s="11"/>
      <c r="X233" s="11">
        <f>VLOOKUP(U233,'[1]% SECCION_ECONOMIA 2022'!$C$81:$I$209,7,FALSE)</f>
        <v>412.53986055599853</v>
      </c>
      <c r="Y233" s="12">
        <v>1392.4107228206426</v>
      </c>
      <c r="Z233" s="12">
        <v>100</v>
      </c>
      <c r="AA233" s="22">
        <f>X233/$X$2</f>
        <v>3.9534381165138195E-3</v>
      </c>
      <c r="AB233" t="s">
        <v>287</v>
      </c>
      <c r="AC233" t="str">
        <f>LEFT(AB233,4)</f>
        <v>2211</v>
      </c>
      <c r="AD233" s="76" t="s">
        <v>287</v>
      </c>
      <c r="AE233" s="22" t="str">
        <f>V233</f>
        <v>Fabricación de productos de caucho</v>
      </c>
      <c r="AF233" s="22">
        <f>AA233</f>
        <v>3.9534381165138195E-3</v>
      </c>
    </row>
    <row r="234" spans="1:32">
      <c r="A234" s="9" t="s">
        <v>19</v>
      </c>
      <c r="B234" s="9" t="s">
        <v>183</v>
      </c>
      <c r="C234" s="10" t="s">
        <v>184</v>
      </c>
      <c r="D234" s="11"/>
      <c r="E234" s="12">
        <v>13793.609049238932</v>
      </c>
      <c r="F234" s="12">
        <v>100</v>
      </c>
      <c r="G234" s="13">
        <f>VLOOKUP(B234,$L$2:$N$121,3,FALSE)</f>
        <v>23307.258304379135</v>
      </c>
      <c r="T234" s="18"/>
      <c r="U234" s="18" t="s">
        <v>179</v>
      </c>
      <c r="V234" s="19" t="s">
        <v>285</v>
      </c>
      <c r="W234" s="20" t="s">
        <v>286</v>
      </c>
      <c r="X234" s="20"/>
      <c r="Y234" s="21">
        <v>1189.9988982588056</v>
      </c>
      <c r="Z234" s="21">
        <v>85.463209867286423</v>
      </c>
      <c r="AD234" s="77"/>
      <c r="AE234" s="70" t="str">
        <f>W234</f>
        <v>Productos de caucho</v>
      </c>
      <c r="AF234" s="29">
        <f>Z234*AF$233/100</f>
        <v>3.3787351144895011E-3</v>
      </c>
    </row>
    <row r="235" spans="1:32">
      <c r="A235" s="44"/>
      <c r="B235" s="44"/>
      <c r="C235" s="45"/>
      <c r="D235" s="46"/>
      <c r="E235" s="47"/>
      <c r="F235" s="47"/>
      <c r="G235" s="48"/>
      <c r="T235" s="30"/>
      <c r="U235" s="30"/>
      <c r="V235" s="31"/>
      <c r="W235" s="32"/>
      <c r="X235" s="32"/>
      <c r="Y235" s="33"/>
      <c r="Z235" s="33"/>
      <c r="AD235" s="75" t="s">
        <v>561</v>
      </c>
      <c r="AE235" t="s">
        <v>564</v>
      </c>
    </row>
    <row r="236" spans="1:32">
      <c r="A236" s="44"/>
      <c r="B236" s="44"/>
      <c r="C236" s="45"/>
      <c r="D236" s="46"/>
      <c r="E236" s="47"/>
      <c r="F236" s="47"/>
      <c r="G236" s="48"/>
      <c r="T236" s="30"/>
      <c r="U236" s="30"/>
      <c r="V236" s="31"/>
      <c r="W236" s="32"/>
      <c r="X236" s="32"/>
      <c r="Y236" s="33"/>
      <c r="Z236" s="33"/>
      <c r="AD236" s="75" t="s">
        <v>562</v>
      </c>
      <c r="AE236" t="s">
        <v>565</v>
      </c>
    </row>
    <row r="237" spans="1:32">
      <c r="A237" s="44"/>
      <c r="B237" s="44"/>
      <c r="C237" s="45"/>
      <c r="D237" s="46"/>
      <c r="E237" s="47"/>
      <c r="F237" s="47"/>
      <c r="G237" s="48"/>
      <c r="T237" s="30"/>
      <c r="U237" s="30"/>
      <c r="V237" s="31"/>
      <c r="W237" s="32"/>
      <c r="X237" s="32"/>
      <c r="Y237" s="33"/>
      <c r="Z237" s="33"/>
      <c r="AD237" s="75" t="s">
        <v>563</v>
      </c>
      <c r="AE237" t="s">
        <v>566</v>
      </c>
    </row>
    <row r="238" spans="1:32">
      <c r="A238" s="18"/>
      <c r="B238" s="18" t="s">
        <v>183</v>
      </c>
      <c r="C238" s="19" t="s">
        <v>288</v>
      </c>
      <c r="D238" s="20" t="s">
        <v>289</v>
      </c>
      <c r="E238" s="21">
        <v>12982.426838528199</v>
      </c>
      <c r="F238" s="21">
        <v>94.119144541395499</v>
      </c>
      <c r="T238" s="9" t="s">
        <v>19</v>
      </c>
      <c r="U238" s="9" t="s">
        <v>183</v>
      </c>
      <c r="V238" s="10" t="s">
        <v>184</v>
      </c>
      <c r="W238" s="11"/>
      <c r="X238" s="11">
        <f>VLOOKUP(U238,'[1]% SECCION_ECONOMIA 2022'!$C$81:$I$209,7,FALSE)</f>
        <v>5894.757392317244</v>
      </c>
      <c r="Y238" s="12">
        <v>15371.64777371978</v>
      </c>
      <c r="Z238" s="12">
        <v>100</v>
      </c>
      <c r="AA238" s="22">
        <f>X238/$X$2</f>
        <v>5.6490440780631472E-2</v>
      </c>
      <c r="AB238" t="s">
        <v>290</v>
      </c>
      <c r="AC238" t="str">
        <f>LEFT(AB238,4)</f>
        <v>2220</v>
      </c>
      <c r="AD238" s="76" t="s">
        <v>290</v>
      </c>
      <c r="AE238" s="22" t="str">
        <f>V238</f>
        <v>Fabricación de productos de plástico</v>
      </c>
      <c r="AF238" s="22">
        <f>AA238</f>
        <v>5.6490440780631472E-2</v>
      </c>
    </row>
    <row r="239" spans="1:32">
      <c r="A239" s="9" t="s">
        <v>19</v>
      </c>
      <c r="B239" s="9" t="s">
        <v>186</v>
      </c>
      <c r="C239" s="10" t="s">
        <v>187</v>
      </c>
      <c r="D239" s="11"/>
      <c r="E239" s="12">
        <v>1233.0486210314655</v>
      </c>
      <c r="F239" s="12">
        <v>100</v>
      </c>
      <c r="G239" s="13">
        <f>VLOOKUP(B239,$L$2:$N$121,3,FALSE)</f>
        <v>1752.023738088069</v>
      </c>
      <c r="T239" s="18"/>
      <c r="U239" s="18" t="s">
        <v>183</v>
      </c>
      <c r="V239" s="19" t="s">
        <v>288</v>
      </c>
      <c r="W239" s="20" t="s">
        <v>289</v>
      </c>
      <c r="X239" s="20"/>
      <c r="Y239" s="21">
        <v>14544.411711554671</v>
      </c>
      <c r="Z239" s="21">
        <v>94.618429498629297</v>
      </c>
      <c r="AD239" s="77"/>
      <c r="AE239" s="70" t="str">
        <f>W239</f>
        <v>Productos de plástico</v>
      </c>
      <c r="AF239" s="29">
        <f>Z239*AF$238/100</f>
        <v>5.345036788348672E-2</v>
      </c>
    </row>
    <row r="240" spans="1:32">
      <c r="A240" s="44"/>
      <c r="B240" s="44"/>
      <c r="C240" s="45"/>
      <c r="D240" s="46"/>
      <c r="E240" s="47"/>
      <c r="F240" s="47"/>
      <c r="G240" s="48"/>
      <c r="T240" s="30"/>
      <c r="U240" s="30"/>
      <c r="V240" s="31"/>
      <c r="W240" s="32"/>
      <c r="X240" s="32"/>
      <c r="Y240" s="33"/>
      <c r="Z240" s="33"/>
      <c r="AD240" s="75" t="s">
        <v>567</v>
      </c>
      <c r="AE240" t="s">
        <v>574</v>
      </c>
    </row>
    <row r="241" spans="1:32">
      <c r="A241" s="44"/>
      <c r="B241" s="44"/>
      <c r="C241" s="45"/>
      <c r="D241" s="46"/>
      <c r="E241" s="47"/>
      <c r="F241" s="47"/>
      <c r="G241" s="48"/>
      <c r="T241" s="30"/>
      <c r="U241" s="30"/>
      <c r="V241" s="31"/>
      <c r="W241" s="32"/>
      <c r="X241" s="32"/>
      <c r="Y241" s="33"/>
      <c r="Z241" s="33"/>
      <c r="AD241" s="75" t="s">
        <v>568</v>
      </c>
      <c r="AE241" t="s">
        <v>575</v>
      </c>
    </row>
    <row r="242" spans="1:32">
      <c r="A242" s="44"/>
      <c r="B242" s="44"/>
      <c r="C242" s="45"/>
      <c r="D242" s="46"/>
      <c r="E242" s="47"/>
      <c r="F242" s="47"/>
      <c r="G242" s="48"/>
      <c r="T242" s="30"/>
      <c r="U242" s="30"/>
      <c r="V242" s="31"/>
      <c r="W242" s="32"/>
      <c r="X242" s="32"/>
      <c r="Y242" s="33"/>
      <c r="Z242" s="33"/>
      <c r="AD242" s="75" t="s">
        <v>569</v>
      </c>
      <c r="AE242" t="s">
        <v>576</v>
      </c>
    </row>
    <row r="243" spans="1:32">
      <c r="A243" s="44"/>
      <c r="B243" s="44"/>
      <c r="C243" s="45"/>
      <c r="D243" s="46"/>
      <c r="E243" s="47"/>
      <c r="F243" s="47"/>
      <c r="G243" s="48"/>
      <c r="T243" s="30"/>
      <c r="U243" s="30"/>
      <c r="V243" s="31"/>
      <c r="W243" s="32"/>
      <c r="X243" s="32"/>
      <c r="Y243" s="33"/>
      <c r="Z243" s="33"/>
      <c r="AD243" s="75" t="s">
        <v>570</v>
      </c>
      <c r="AE243" t="s">
        <v>577</v>
      </c>
    </row>
    <row r="244" spans="1:32">
      <c r="A244" s="44"/>
      <c r="B244" s="44"/>
      <c r="C244" s="45"/>
      <c r="D244" s="46"/>
      <c r="E244" s="47"/>
      <c r="F244" s="47"/>
      <c r="G244" s="48"/>
      <c r="T244" s="30"/>
      <c r="U244" s="30"/>
      <c r="V244" s="31"/>
      <c r="W244" s="32"/>
      <c r="X244" s="32"/>
      <c r="Y244" s="33"/>
      <c r="Z244" s="33"/>
      <c r="AD244" s="75" t="s">
        <v>571</v>
      </c>
      <c r="AE244" t="s">
        <v>578</v>
      </c>
    </row>
    <row r="245" spans="1:32">
      <c r="A245" s="44"/>
      <c r="B245" s="44"/>
      <c r="C245" s="45"/>
      <c r="D245" s="46"/>
      <c r="E245" s="47"/>
      <c r="F245" s="47"/>
      <c r="G245" s="48"/>
      <c r="T245" s="30"/>
      <c r="U245" s="30"/>
      <c r="V245" s="31"/>
      <c r="W245" s="32"/>
      <c r="X245" s="32"/>
      <c r="Y245" s="33"/>
      <c r="Z245" s="33"/>
      <c r="AD245" s="75" t="s">
        <v>572</v>
      </c>
      <c r="AE245" t="s">
        <v>579</v>
      </c>
    </row>
    <row r="246" spans="1:32">
      <c r="A246" s="44"/>
      <c r="B246" s="44"/>
      <c r="C246" s="45"/>
      <c r="D246" s="46"/>
      <c r="E246" s="47"/>
      <c r="F246" s="47"/>
      <c r="G246" s="48"/>
      <c r="T246" s="30"/>
      <c r="U246" s="30"/>
      <c r="V246" s="31"/>
      <c r="W246" s="32"/>
      <c r="X246" s="32"/>
      <c r="Y246" s="33"/>
      <c r="Z246" s="33"/>
      <c r="AD246" s="75" t="s">
        <v>573</v>
      </c>
      <c r="AE246" t="s">
        <v>580</v>
      </c>
    </row>
    <row r="247" spans="1:32">
      <c r="A247" s="18"/>
      <c r="B247" s="18" t="s">
        <v>186</v>
      </c>
      <c r="C247" s="19" t="s">
        <v>291</v>
      </c>
      <c r="D247" s="20" t="s">
        <v>292</v>
      </c>
      <c r="E247" s="21">
        <v>1214.2008856953751</v>
      </c>
      <c r="F247" s="21">
        <v>98.471452381145852</v>
      </c>
      <c r="T247" s="9" t="s">
        <v>19</v>
      </c>
      <c r="U247" s="9" t="s">
        <v>186</v>
      </c>
      <c r="V247" s="10" t="s">
        <v>187</v>
      </c>
      <c r="W247" s="11"/>
      <c r="X247" s="11">
        <f>VLOOKUP(U247,'[1]% SECCION_ECONOMIA 2022'!$C$81:$I$209,7,FALSE)</f>
        <v>498.44563923866042</v>
      </c>
      <c r="Y247" s="12">
        <v>1306.7459380271307</v>
      </c>
      <c r="Z247" s="12">
        <v>100</v>
      </c>
      <c r="AA247" s="22">
        <f>X247/$X$2</f>
        <v>4.7766874854720349E-3</v>
      </c>
      <c r="AB247" t="s">
        <v>293</v>
      </c>
      <c r="AC247" t="str">
        <f>LEFT(AB247,4)</f>
        <v>2310</v>
      </c>
      <c r="AD247" s="76" t="s">
        <v>293</v>
      </c>
      <c r="AE247" s="22" t="str">
        <f>V247</f>
        <v>Fabricación de vidrio y productos de vidrio</v>
      </c>
      <c r="AF247" s="22">
        <f>AA247</f>
        <v>4.7766874854720349E-3</v>
      </c>
    </row>
    <row r="248" spans="1:32">
      <c r="A248" s="9" t="s">
        <v>19</v>
      </c>
      <c r="B248" s="9" t="s">
        <v>188</v>
      </c>
      <c r="C248" s="10" t="s">
        <v>189</v>
      </c>
      <c r="D248" s="11"/>
      <c r="E248" s="12">
        <v>2390.4624454542368</v>
      </c>
      <c r="F248" s="12">
        <v>100</v>
      </c>
      <c r="G248" s="13">
        <f>VLOOKUP(B248,$L$2:$N$121,3,FALSE)</f>
        <v>3619.8774272212363</v>
      </c>
      <c r="T248" s="18"/>
      <c r="U248" s="18" t="s">
        <v>186</v>
      </c>
      <c r="V248" s="19" t="s">
        <v>291</v>
      </c>
      <c r="W248" s="20" t="s">
        <v>292</v>
      </c>
      <c r="X248" s="20"/>
      <c r="Y248" s="21">
        <v>1285.7628380776298</v>
      </c>
      <c r="Z248" s="21">
        <v>98.394247930000816</v>
      </c>
      <c r="AD248" s="77"/>
      <c r="AE248" s="70" t="str">
        <f>W248</f>
        <v>Vidrio y productos de vidrio</v>
      </c>
      <c r="AF248" s="29">
        <f>Z248*AF$247/100</f>
        <v>4.6999857272966754E-3</v>
      </c>
    </row>
    <row r="249" spans="1:32">
      <c r="A249" s="49"/>
      <c r="B249" s="49"/>
      <c r="C249" s="50"/>
      <c r="D249" s="51"/>
      <c r="E249" s="52"/>
      <c r="F249" s="52"/>
      <c r="G249" s="48"/>
      <c r="T249" s="30"/>
      <c r="U249" s="30"/>
      <c r="V249" s="31"/>
      <c r="W249" s="32"/>
      <c r="X249" s="32"/>
      <c r="Y249" s="33"/>
      <c r="Z249" s="33"/>
      <c r="AD249" s="75" t="s">
        <v>581</v>
      </c>
      <c r="AE249" t="s">
        <v>583</v>
      </c>
    </row>
    <row r="250" spans="1:32">
      <c r="A250" s="49"/>
      <c r="B250" s="49"/>
      <c r="C250" s="50"/>
      <c r="D250" s="51"/>
      <c r="E250" s="52"/>
      <c r="F250" s="52"/>
      <c r="G250" s="48"/>
      <c r="T250" s="30"/>
      <c r="U250" s="30"/>
      <c r="V250" s="31"/>
      <c r="W250" s="32"/>
      <c r="X250" s="32"/>
      <c r="Y250" s="33"/>
      <c r="Z250" s="33"/>
      <c r="AD250" s="75" t="s">
        <v>582</v>
      </c>
      <c r="AE250" t="s">
        <v>584</v>
      </c>
    </row>
    <row r="251" spans="1:32">
      <c r="A251" s="23"/>
      <c r="B251" s="23" t="s">
        <v>188</v>
      </c>
      <c r="C251" s="24" t="s">
        <v>294</v>
      </c>
      <c r="D251" s="25" t="s">
        <v>295</v>
      </c>
      <c r="E251" s="26">
        <v>1832.2457081561492</v>
      </c>
      <c r="F251" s="26">
        <v>76.648169547293804</v>
      </c>
      <c r="T251" s="9" t="s">
        <v>19</v>
      </c>
      <c r="U251" s="9" t="s">
        <v>188</v>
      </c>
      <c r="V251" s="10" t="s">
        <v>189</v>
      </c>
      <c r="W251" s="11"/>
      <c r="X251" s="11">
        <f>VLOOKUP(U251,'[1]% SECCION_ECONOMIA 2022'!$C$81:$I$209,7,FALSE)</f>
        <v>1101.6198419111633</v>
      </c>
      <c r="Y251" s="12">
        <v>2402.5001688866214</v>
      </c>
      <c r="Z251" s="12">
        <v>100</v>
      </c>
      <c r="AA251" s="22">
        <f>X251/$X$2</f>
        <v>1.0557006217653347E-2</v>
      </c>
      <c r="AB251" t="s">
        <v>296</v>
      </c>
      <c r="AC251" t="str">
        <f>LEFT(AB251,4)</f>
        <v>2391</v>
      </c>
      <c r="AD251" s="76" t="s">
        <v>296</v>
      </c>
      <c r="AE251" s="22" t="str">
        <f>V251</f>
        <v>Fabricación de productos refractarios y no refractarios de arcilla, cerámica, porcelana y otros minerales no metálicos</v>
      </c>
      <c r="AF251" s="22">
        <f>AA251</f>
        <v>1.0557006217653347E-2</v>
      </c>
    </row>
    <row r="252" spans="1:32">
      <c r="A252" s="18"/>
      <c r="B252" s="18" t="s">
        <v>188</v>
      </c>
      <c r="C252" s="19" t="s">
        <v>297</v>
      </c>
      <c r="D252" s="20" t="s">
        <v>298</v>
      </c>
      <c r="E252" s="21">
        <v>534.04616467715027</v>
      </c>
      <c r="F252" s="21">
        <v>22.340705067034449</v>
      </c>
      <c r="T252" s="23"/>
      <c r="U252" s="23" t="s">
        <v>188</v>
      </c>
      <c r="V252" s="24" t="s">
        <v>294</v>
      </c>
      <c r="W252" s="25" t="s">
        <v>295</v>
      </c>
      <c r="X252" s="25"/>
      <c r="Y252" s="26">
        <v>1850.7718620965443</v>
      </c>
      <c r="Z252" s="26">
        <v>77.035243787484859</v>
      </c>
      <c r="AD252" s="77"/>
      <c r="AE252" s="70" t="str">
        <f>W252</f>
        <v>Productos refractarios y productos estructurales de arcilla no refractarios</v>
      </c>
      <c r="AF252" s="29">
        <f>Z252*AF$251/100</f>
        <v>8.1326154764291905E-3</v>
      </c>
    </row>
    <row r="253" spans="1:32">
      <c r="A253" s="30"/>
      <c r="B253" s="30"/>
      <c r="C253" s="31"/>
      <c r="D253" s="32"/>
      <c r="E253" s="33"/>
      <c r="F253" s="33"/>
      <c r="T253" s="18"/>
      <c r="U253" s="18"/>
      <c r="V253" s="19"/>
      <c r="W253" s="20"/>
      <c r="X253" s="20"/>
      <c r="Y253" s="21"/>
      <c r="Z253" s="21"/>
      <c r="AD253" s="75" t="s">
        <v>585</v>
      </c>
      <c r="AE253" t="s">
        <v>587</v>
      </c>
    </row>
    <row r="254" spans="1:32">
      <c r="A254" s="30"/>
      <c r="B254" s="30"/>
      <c r="C254" s="31"/>
      <c r="D254" s="32"/>
      <c r="E254" s="33"/>
      <c r="F254" s="33"/>
      <c r="T254" s="18"/>
      <c r="U254" s="18"/>
      <c r="V254" s="19"/>
      <c r="W254" s="20"/>
      <c r="X254" s="20"/>
      <c r="Y254" s="21"/>
      <c r="Z254" s="21"/>
      <c r="AD254" s="75" t="s">
        <v>586</v>
      </c>
      <c r="AE254" t="s">
        <v>588</v>
      </c>
    </row>
    <row r="255" spans="1:32">
      <c r="A255" s="9" t="s">
        <v>19</v>
      </c>
      <c r="B255" s="9" t="s">
        <v>191</v>
      </c>
      <c r="C255" s="10" t="s">
        <v>192</v>
      </c>
      <c r="D255" s="11"/>
      <c r="E255" s="12">
        <v>9359.8658764522315</v>
      </c>
      <c r="F255" s="12">
        <v>100</v>
      </c>
      <c r="G255" s="13">
        <f>VLOOKUP(B255,$L$2:$N$121,3,FALSE)</f>
        <v>7478.1464205460206</v>
      </c>
      <c r="T255" s="18"/>
      <c r="U255" s="18" t="s">
        <v>188</v>
      </c>
      <c r="V255" s="19" t="s">
        <v>297</v>
      </c>
      <c r="W255" s="20" t="s">
        <v>298</v>
      </c>
      <c r="X255" s="20"/>
      <c r="Y255" s="21">
        <v>526.92432485883</v>
      </c>
      <c r="Z255" s="21">
        <v>21.93233247941955</v>
      </c>
      <c r="AD255" s="77"/>
      <c r="AE255" s="70" t="str">
        <f>W255</f>
        <v>Productos no estructurales de cerámica</v>
      </c>
      <c r="AF255" s="29">
        <f>Z255*AF$251/100</f>
        <v>2.3153977035287264E-3</v>
      </c>
    </row>
    <row r="256" spans="1:32">
      <c r="A256" s="44"/>
      <c r="B256" s="44"/>
      <c r="C256" s="45"/>
      <c r="D256" s="46"/>
      <c r="E256" s="47"/>
      <c r="F256" s="47"/>
      <c r="G256" s="48"/>
      <c r="T256" s="30"/>
      <c r="U256" s="30"/>
      <c r="V256" s="31"/>
      <c r="W256" s="32"/>
      <c r="X256" s="32"/>
      <c r="Y256" s="33"/>
      <c r="Z256" s="33"/>
      <c r="AD256" s="75" t="s">
        <v>589</v>
      </c>
      <c r="AE256" t="s">
        <v>590</v>
      </c>
      <c r="AF256" s="29"/>
    </row>
    <row r="257" spans="1:32">
      <c r="A257" s="18"/>
      <c r="B257" s="18" t="s">
        <v>191</v>
      </c>
      <c r="C257" s="19" t="s">
        <v>299</v>
      </c>
      <c r="D257" s="20" t="s">
        <v>300</v>
      </c>
      <c r="E257" s="21">
        <v>9134.2325635509114</v>
      </c>
      <c r="F257" s="21">
        <v>97.589353139461394</v>
      </c>
      <c r="T257" s="9" t="s">
        <v>19</v>
      </c>
      <c r="U257" s="9" t="s">
        <v>191</v>
      </c>
      <c r="V257" s="10" t="s">
        <v>192</v>
      </c>
      <c r="W257" s="11"/>
      <c r="X257" s="11">
        <f>VLOOKUP(U257,'[1]% SECCION_ECONOMIA 2022'!$C$81:$I$209,7,FALSE)</f>
        <v>4490.8048446499633</v>
      </c>
      <c r="Y257" s="12">
        <v>8721.4612251677354</v>
      </c>
      <c r="Z257" s="12">
        <v>100</v>
      </c>
      <c r="AA257" s="22">
        <f>X257/$X$2</f>
        <v>4.3036129945688312E-2</v>
      </c>
      <c r="AB257" t="s">
        <v>301</v>
      </c>
      <c r="AC257" t="str">
        <f>LEFT(AB257,4)</f>
        <v>2394</v>
      </c>
      <c r="AD257" s="76" t="s">
        <v>301</v>
      </c>
      <c r="AE257" s="22" t="str">
        <f>V257</f>
        <v>Fabricación de cemento, cal y yeso</v>
      </c>
      <c r="AF257" s="22">
        <f>AA257</f>
        <v>4.3036129945688312E-2</v>
      </c>
    </row>
    <row r="258" spans="1:32">
      <c r="A258" s="9" t="s">
        <v>19</v>
      </c>
      <c r="B258" s="9" t="s">
        <v>195</v>
      </c>
      <c r="C258" s="10" t="s">
        <v>196</v>
      </c>
      <c r="D258" s="11"/>
      <c r="E258" s="12">
        <v>4282.4628485799858</v>
      </c>
      <c r="F258" s="12">
        <v>100</v>
      </c>
      <c r="G258" s="13">
        <f>VLOOKUP(B258,$L$2:$N$121,3,FALSE)</f>
        <v>13617.794134058777</v>
      </c>
      <c r="T258" s="18"/>
      <c r="U258" s="18" t="s">
        <v>191</v>
      </c>
      <c r="V258" s="19" t="s">
        <v>299</v>
      </c>
      <c r="W258" s="20" t="s">
        <v>300</v>
      </c>
      <c r="X258" s="20"/>
      <c r="Y258" s="21">
        <v>8508.5892526832195</v>
      </c>
      <c r="Z258" s="21">
        <v>97.559216661191755</v>
      </c>
      <c r="AD258" s="77"/>
      <c r="AE258" s="70" t="str">
        <f>W258</f>
        <v>Cemento, cal y yeso</v>
      </c>
      <c r="AF258" s="29">
        <f>Z258*AF$257/100</f>
        <v>4.1985711256306082E-2</v>
      </c>
    </row>
    <row r="259" spans="1:32">
      <c r="A259" s="44"/>
      <c r="B259" s="44"/>
      <c r="C259" s="45"/>
      <c r="D259" s="46"/>
      <c r="E259" s="47"/>
      <c r="F259" s="47"/>
      <c r="G259" s="48"/>
      <c r="T259" s="30"/>
      <c r="U259" s="30"/>
      <c r="V259" s="31"/>
      <c r="W259" s="32"/>
      <c r="X259" s="32"/>
      <c r="Y259" s="33"/>
      <c r="Z259" s="33"/>
      <c r="AD259" s="75" t="s">
        <v>591</v>
      </c>
      <c r="AE259" t="s">
        <v>592</v>
      </c>
    </row>
    <row r="260" spans="1:32">
      <c r="A260" s="18"/>
      <c r="B260" s="18" t="s">
        <v>195</v>
      </c>
      <c r="C260" s="19" t="s">
        <v>302</v>
      </c>
      <c r="D260" s="20" t="s">
        <v>303</v>
      </c>
      <c r="E260" s="21">
        <v>4218.6239551722847</v>
      </c>
      <c r="F260" s="21">
        <v>98.509294869215992</v>
      </c>
      <c r="T260" s="9" t="s">
        <v>19</v>
      </c>
      <c r="U260" s="9" t="s">
        <v>195</v>
      </c>
      <c r="V260" s="10" t="s">
        <v>196</v>
      </c>
      <c r="W260" s="11"/>
      <c r="X260" s="11">
        <f>VLOOKUP(U260,'[1]% SECCION_ECONOMIA 2022'!$C$81:$I$209,7,FALSE)</f>
        <v>954.18889804385481</v>
      </c>
      <c r="Y260" s="12">
        <v>3852.4829076107053</v>
      </c>
      <c r="Z260" s="12">
        <v>100</v>
      </c>
      <c r="AA260" s="22">
        <f>X260/$X$2</f>
        <v>9.1441509550053181E-3</v>
      </c>
      <c r="AB260" t="s">
        <v>304</v>
      </c>
      <c r="AC260" t="str">
        <f>LEFT(AB260,4)</f>
        <v>2395</v>
      </c>
      <c r="AD260" s="76" t="s">
        <v>296</v>
      </c>
      <c r="AE260" s="22" t="str">
        <f>V260</f>
        <v>Fabricación de artículos de hormigón, cemento y yeso</v>
      </c>
      <c r="AF260" s="22">
        <f>AA260</f>
        <v>9.1441509550053181E-3</v>
      </c>
    </row>
    <row r="261" spans="1:32">
      <c r="A261" s="9" t="s">
        <v>19</v>
      </c>
      <c r="B261" s="9" t="s">
        <v>198</v>
      </c>
      <c r="C261" s="10" t="s">
        <v>199</v>
      </c>
      <c r="D261" s="11"/>
      <c r="E261" s="12">
        <v>125.23701883358741</v>
      </c>
      <c r="F261" s="12">
        <v>100</v>
      </c>
      <c r="G261" s="13">
        <f>VLOOKUP(B261,$L$2:$N$121,3,FALSE)</f>
        <v>5187.6165928981327</v>
      </c>
      <c r="T261" s="18"/>
      <c r="U261" s="18" t="s">
        <v>195</v>
      </c>
      <c r="V261" s="19" t="s">
        <v>302</v>
      </c>
      <c r="W261" s="20" t="s">
        <v>303</v>
      </c>
      <c r="X261" s="20"/>
      <c r="Y261" s="21">
        <v>3794.1783592998731</v>
      </c>
      <c r="Z261" s="21">
        <v>98.486572174125683</v>
      </c>
      <c r="AD261" s="77"/>
      <c r="AE261" s="70" t="str">
        <f>W261</f>
        <v>Artículos de hormigón, cemento y yeso</v>
      </c>
      <c r="AF261" s="29">
        <f>Z261*AF$260/100</f>
        <v>9.0057608300123156E-3</v>
      </c>
    </row>
    <row r="262" spans="1:32">
      <c r="A262" s="44"/>
      <c r="B262" s="44"/>
      <c r="C262" s="45"/>
      <c r="D262" s="46"/>
      <c r="E262" s="47"/>
      <c r="F262" s="47"/>
      <c r="G262" s="48"/>
      <c r="T262" s="30"/>
      <c r="U262" s="30"/>
      <c r="V262" s="31"/>
      <c r="W262" s="32"/>
      <c r="X262" s="32"/>
      <c r="Y262" s="33"/>
      <c r="Z262" s="33"/>
      <c r="AD262" s="75" t="s">
        <v>593</v>
      </c>
      <c r="AE262" t="s">
        <v>595</v>
      </c>
    </row>
    <row r="263" spans="1:32">
      <c r="A263" s="44"/>
      <c r="B263" s="44"/>
      <c r="C263" s="45"/>
      <c r="D263" s="46"/>
      <c r="E263" s="47"/>
      <c r="F263" s="47"/>
      <c r="G263" s="48"/>
      <c r="T263" s="30"/>
      <c r="U263" s="30"/>
      <c r="V263" s="31"/>
      <c r="W263" s="32"/>
      <c r="X263" s="32"/>
      <c r="Y263" s="33"/>
      <c r="Z263" s="33"/>
      <c r="AD263" s="75" t="s">
        <v>594</v>
      </c>
      <c r="AE263" t="s">
        <v>596</v>
      </c>
    </row>
    <row r="264" spans="1:32">
      <c r="A264" s="18"/>
      <c r="B264" s="18" t="s">
        <v>198</v>
      </c>
      <c r="C264" s="19" t="s">
        <v>305</v>
      </c>
      <c r="D264" s="20" t="s">
        <v>306</v>
      </c>
      <c r="E264" s="21">
        <v>97.136240132733661</v>
      </c>
      <c r="F264" s="21">
        <v>77.561923013998339</v>
      </c>
      <c r="T264" s="9" t="s">
        <v>19</v>
      </c>
      <c r="U264" s="9" t="s">
        <v>198</v>
      </c>
      <c r="V264" s="10" t="s">
        <v>199</v>
      </c>
      <c r="W264" s="11"/>
      <c r="X264" s="11">
        <f>VLOOKUP(U264,'[1]% SECCION_ECONOMIA 2022'!$C$81:$I$209,7,FALSE)</f>
        <v>42.833634985445812</v>
      </c>
      <c r="Y264" s="12">
        <v>106.96510811492782</v>
      </c>
      <c r="Z264" s="12">
        <v>100</v>
      </c>
      <c r="AA264" s="22">
        <f>X264/$X$2</f>
        <v>4.1048185014673261E-4</v>
      </c>
      <c r="AB264" t="s">
        <v>307</v>
      </c>
      <c r="AC264" t="str">
        <f>LEFT(AB264,4)</f>
        <v>2396</v>
      </c>
      <c r="AD264" s="76" t="s">
        <v>307</v>
      </c>
      <c r="AE264" s="22" t="str">
        <f>V264</f>
        <v>Fabricación de otros productos minerales no metálicos</v>
      </c>
      <c r="AF264" s="22">
        <f>AA264</f>
        <v>4.1048185014673261E-4</v>
      </c>
    </row>
    <row r="265" spans="1:32">
      <c r="A265" s="9" t="s">
        <v>19</v>
      </c>
      <c r="B265" s="9" t="s">
        <v>202</v>
      </c>
      <c r="C265" s="10" t="s">
        <v>203</v>
      </c>
      <c r="D265" s="11"/>
      <c r="E265" s="12">
        <v>12661.685736648515</v>
      </c>
      <c r="F265" s="12">
        <v>100</v>
      </c>
      <c r="G265" s="13">
        <f>VLOOKUP(B265,$L$2:$N$121,3,FALSE)</f>
        <v>6039.7360558036289</v>
      </c>
      <c r="T265" s="18"/>
      <c r="U265" s="18" t="s">
        <v>198</v>
      </c>
      <c r="V265" s="19" t="s">
        <v>305</v>
      </c>
      <c r="W265" s="20" t="s">
        <v>306</v>
      </c>
      <c r="X265" s="20"/>
      <c r="Y265" s="21">
        <v>84.072049702739776</v>
      </c>
      <c r="Z265" s="21">
        <v>78.597639159499778</v>
      </c>
      <c r="AD265" s="77"/>
      <c r="AE265" s="70" t="str">
        <f>W265</f>
        <v xml:space="preserve">Piedras talladas para construcción </v>
      </c>
      <c r="AF265" s="29">
        <f>Z265*AF$264/100</f>
        <v>3.2262904339356755E-4</v>
      </c>
    </row>
    <row r="266" spans="1:32">
      <c r="A266" s="44"/>
      <c r="B266" s="44"/>
      <c r="C266" s="45"/>
      <c r="D266" s="46"/>
      <c r="E266" s="47"/>
      <c r="F266" s="47"/>
      <c r="G266" s="48"/>
      <c r="T266" s="30"/>
      <c r="U266" s="30"/>
      <c r="V266" s="31"/>
      <c r="W266" s="32"/>
      <c r="X266" s="32"/>
      <c r="Y266" s="33"/>
      <c r="Z266" s="33"/>
      <c r="AD266" s="81" t="s">
        <v>597</v>
      </c>
      <c r="AE266" s="62" t="s">
        <v>599</v>
      </c>
    </row>
    <row r="267" spans="1:32">
      <c r="A267" s="44"/>
      <c r="B267" s="44"/>
      <c r="C267" s="45"/>
      <c r="D267" s="46"/>
      <c r="E267" s="47"/>
      <c r="F267" s="47"/>
      <c r="G267" s="48"/>
      <c r="T267" s="30"/>
      <c r="U267" s="30"/>
      <c r="V267" s="31"/>
      <c r="W267" s="32"/>
      <c r="X267" s="32"/>
      <c r="Y267" s="33"/>
      <c r="Z267" s="33"/>
      <c r="AD267" s="81" t="s">
        <v>598</v>
      </c>
      <c r="AE267" s="62" t="s">
        <v>600</v>
      </c>
    </row>
    <row r="268" spans="1:32">
      <c r="A268" s="18"/>
      <c r="B268" s="18" t="s">
        <v>202</v>
      </c>
      <c r="C268" s="19" t="s">
        <v>308</v>
      </c>
      <c r="D268" s="20" t="s">
        <v>309</v>
      </c>
      <c r="E268" s="21">
        <v>11775.490933945452</v>
      </c>
      <c r="F268" s="21">
        <v>93.000973005213481</v>
      </c>
      <c r="T268" s="9" t="s">
        <v>19</v>
      </c>
      <c r="U268" s="9" t="s">
        <v>202</v>
      </c>
      <c r="V268" s="10" t="s">
        <v>203</v>
      </c>
      <c r="W268" s="11"/>
      <c r="X268" s="11">
        <f>VLOOKUP(U268,'[1]% SECCION_ECONOMIA 2022'!$C$81:$I$209,7,FALSE)</f>
        <v>5364.9640139019011</v>
      </c>
      <c r="Y268" s="12">
        <v>16180.225770206425</v>
      </c>
      <c r="Z268" s="12">
        <v>100</v>
      </c>
      <c r="AA268" s="22">
        <f>X268/$X$2</f>
        <v>5.1413342695416177E-2</v>
      </c>
      <c r="AB268" t="s">
        <v>310</v>
      </c>
      <c r="AC268" t="str">
        <f>LEFT(AB268,4)</f>
        <v>2410</v>
      </c>
      <c r="AD268" s="76" t="s">
        <v>310</v>
      </c>
      <c r="AE268" s="22" t="str">
        <f>V268</f>
        <v>Fabricación de metales comunes</v>
      </c>
      <c r="AF268" s="22">
        <f>AA268</f>
        <v>5.1413342695416177E-2</v>
      </c>
    </row>
    <row r="269" spans="1:32">
      <c r="A269" s="9" t="s">
        <v>19</v>
      </c>
      <c r="B269" s="9" t="s">
        <v>205</v>
      </c>
      <c r="C269" s="10" t="s">
        <v>206</v>
      </c>
      <c r="D269" s="11"/>
      <c r="E269" s="12">
        <v>6494.4252550182246</v>
      </c>
      <c r="F269" s="12">
        <v>100</v>
      </c>
      <c r="G269" s="13">
        <f>VLOOKUP(B269,$L$2:$N$121,3,FALSE)</f>
        <v>1971.0781078954508</v>
      </c>
      <c r="T269" s="18"/>
      <c r="U269" s="18" t="s">
        <v>202</v>
      </c>
      <c r="V269" s="19" t="s">
        <v>308</v>
      </c>
      <c r="W269" s="20" t="s">
        <v>309</v>
      </c>
      <c r="X269" s="25"/>
      <c r="Y269" s="21">
        <v>15336.787155729302</v>
      </c>
      <c r="Z269" s="21">
        <v>94.787225923446655</v>
      </c>
      <c r="AD269" s="77"/>
      <c r="AE269" s="70" t="str">
        <f>W269</f>
        <v>Métales básicos de hierro y acero</v>
      </c>
      <c r="AF269" s="29">
        <f>Z269*AF$268/100</f>
        <v>4.8733281295499989E-2</v>
      </c>
    </row>
    <row r="270" spans="1:32">
      <c r="A270" s="49"/>
      <c r="B270" s="49"/>
      <c r="C270" s="50"/>
      <c r="D270" s="51"/>
      <c r="E270" s="52"/>
      <c r="F270" s="52"/>
      <c r="G270" s="48"/>
      <c r="T270" s="30"/>
      <c r="U270" s="30"/>
      <c r="V270" s="31"/>
      <c r="W270" s="32"/>
      <c r="X270" s="63"/>
      <c r="Y270" s="33"/>
      <c r="Z270" s="33"/>
      <c r="AD270" s="75" t="s">
        <v>601</v>
      </c>
      <c r="AE270" t="s">
        <v>608</v>
      </c>
    </row>
    <row r="271" spans="1:32">
      <c r="A271" s="49"/>
      <c r="B271" s="49"/>
      <c r="C271" s="50"/>
      <c r="D271" s="51"/>
      <c r="E271" s="52"/>
      <c r="F271" s="52"/>
      <c r="G271" s="48"/>
      <c r="T271" s="30"/>
      <c r="U271" s="30"/>
      <c r="V271" s="31"/>
      <c r="W271" s="32"/>
      <c r="X271" s="63"/>
      <c r="Y271" s="33"/>
      <c r="Z271" s="33"/>
      <c r="AD271" s="75" t="s">
        <v>602</v>
      </c>
      <c r="AE271" t="s">
        <v>609</v>
      </c>
    </row>
    <row r="272" spans="1:32">
      <c r="A272" s="49"/>
      <c r="B272" s="49"/>
      <c r="C272" s="50"/>
      <c r="D272" s="51"/>
      <c r="E272" s="52"/>
      <c r="F272" s="52"/>
      <c r="G272" s="48"/>
      <c r="T272" s="30"/>
      <c r="U272" s="30"/>
      <c r="V272" s="31"/>
      <c r="W272" s="32"/>
      <c r="X272" s="63"/>
      <c r="Y272" s="33"/>
      <c r="Z272" s="33"/>
      <c r="AD272" s="75" t="s">
        <v>603</v>
      </c>
      <c r="AE272" t="s">
        <v>610</v>
      </c>
    </row>
    <row r="273" spans="1:37">
      <c r="A273" s="49"/>
      <c r="B273" s="49"/>
      <c r="C273" s="50"/>
      <c r="D273" s="51"/>
      <c r="E273" s="52"/>
      <c r="F273" s="52"/>
      <c r="G273" s="48"/>
      <c r="T273" s="30"/>
      <c r="U273" s="30"/>
      <c r="V273" s="31"/>
      <c r="W273" s="32"/>
      <c r="X273" s="63"/>
      <c r="Y273" s="33"/>
      <c r="Z273" s="33"/>
      <c r="AD273" s="75" t="s">
        <v>604</v>
      </c>
      <c r="AE273" t="s">
        <v>611</v>
      </c>
    </row>
    <row r="274" spans="1:37">
      <c r="A274" s="49"/>
      <c r="B274" s="49"/>
      <c r="C274" s="50"/>
      <c r="D274" s="51"/>
      <c r="E274" s="52"/>
      <c r="F274" s="52"/>
      <c r="G274" s="48"/>
      <c r="T274" s="30"/>
      <c r="U274" s="30"/>
      <c r="V274" s="31"/>
      <c r="W274" s="32"/>
      <c r="X274" s="63"/>
      <c r="Y274" s="33"/>
      <c r="Z274" s="33"/>
      <c r="AD274" s="75" t="s">
        <v>605</v>
      </c>
      <c r="AE274" t="s">
        <v>612</v>
      </c>
    </row>
    <row r="275" spans="1:37">
      <c r="A275" s="49"/>
      <c r="B275" s="49"/>
      <c r="C275" s="50"/>
      <c r="D275" s="51"/>
      <c r="E275" s="52"/>
      <c r="F275" s="52"/>
      <c r="G275" s="48"/>
      <c r="T275" s="30"/>
      <c r="U275" s="30"/>
      <c r="V275" s="31"/>
      <c r="W275" s="32"/>
      <c r="X275" s="63"/>
      <c r="Y275" s="33"/>
      <c r="Z275" s="33"/>
      <c r="AD275" s="75" t="s">
        <v>606</v>
      </c>
      <c r="AE275" t="s">
        <v>613</v>
      </c>
    </row>
    <row r="276" spans="1:37">
      <c r="A276" s="49"/>
      <c r="B276" s="49"/>
      <c r="C276" s="50"/>
      <c r="D276" s="51"/>
      <c r="E276" s="52"/>
      <c r="F276" s="52"/>
      <c r="G276" s="48"/>
      <c r="T276" s="30"/>
      <c r="U276" s="30"/>
      <c r="V276" s="31"/>
      <c r="W276" s="32"/>
      <c r="X276" s="63"/>
      <c r="Y276" s="33"/>
      <c r="Z276" s="33"/>
      <c r="AD276" s="75" t="s">
        <v>607</v>
      </c>
      <c r="AE276" t="s">
        <v>614</v>
      </c>
    </row>
    <row r="277" spans="1:37">
      <c r="A277" s="23"/>
      <c r="B277" s="23" t="s">
        <v>205</v>
      </c>
      <c r="C277" s="24" t="s">
        <v>311</v>
      </c>
      <c r="D277" s="25" t="s">
        <v>312</v>
      </c>
      <c r="E277" s="26">
        <v>3840.7953631148966</v>
      </c>
      <c r="F277" s="26">
        <v>59.139880933222301</v>
      </c>
      <c r="T277" s="9" t="s">
        <v>19</v>
      </c>
      <c r="U277" s="9" t="s">
        <v>205</v>
      </c>
      <c r="V277" s="10" t="s">
        <v>206</v>
      </c>
      <c r="W277" s="11"/>
      <c r="X277" s="11">
        <f>VLOOKUP(U277,'[1]% SECCION_ECONOMIA 2022'!$C$81:$I$209,7,FALSE)</f>
        <v>1477.7477806931174</v>
      </c>
      <c r="Y277" s="12">
        <v>6438.1343358258109</v>
      </c>
      <c r="Z277" s="12">
        <v>100</v>
      </c>
      <c r="AA277" s="22">
        <f>X277/$X$2</f>
        <v>1.4161502830083135E-2</v>
      </c>
      <c r="AB277" t="s">
        <v>313</v>
      </c>
      <c r="AC277" t="str">
        <f>LEFT(AB277,4)</f>
        <v>2511</v>
      </c>
      <c r="AD277" s="76" t="s">
        <v>313</v>
      </c>
      <c r="AE277" s="22" t="str">
        <f>V277</f>
        <v>Fabricación de productos elaborados de metal, excepto maquinaria y equipo</v>
      </c>
      <c r="AF277" s="22">
        <f>AA277</f>
        <v>1.4161502830083135E-2</v>
      </c>
      <c r="AH277">
        <v>2591</v>
      </c>
      <c r="AI277">
        <v>2592</v>
      </c>
      <c r="AJ277">
        <v>2593</v>
      </c>
      <c r="AK277">
        <v>2599</v>
      </c>
    </row>
    <row r="278" spans="1:37">
      <c r="A278" s="18"/>
      <c r="B278" s="18" t="s">
        <v>205</v>
      </c>
      <c r="C278" s="19" t="s">
        <v>314</v>
      </c>
      <c r="D278" s="20" t="s">
        <v>315</v>
      </c>
      <c r="E278" s="21">
        <v>2390.1379427311622</v>
      </c>
      <c r="F278" s="21">
        <v>36.802917100082247</v>
      </c>
      <c r="T278" s="23"/>
      <c r="U278" s="23" t="s">
        <v>205</v>
      </c>
      <c r="V278" s="24" t="s">
        <v>311</v>
      </c>
      <c r="W278" s="25" t="s">
        <v>312</v>
      </c>
      <c r="X278" s="25"/>
      <c r="Y278" s="26">
        <v>4008.4519942159791</v>
      </c>
      <c r="Z278" s="26">
        <v>62.261080386447397</v>
      </c>
      <c r="AD278" s="77"/>
      <c r="AE278" s="70" t="str">
        <f>W278</f>
        <v>Otros productos elaborados de metal</v>
      </c>
      <c r="AF278" s="29">
        <f>Z278*AF$277/100</f>
        <v>8.8171046609670841E-3</v>
      </c>
    </row>
    <row r="279" spans="1:37">
      <c r="A279" s="30"/>
      <c r="B279" s="30"/>
      <c r="C279" s="31"/>
      <c r="D279" s="32"/>
      <c r="E279" s="33"/>
      <c r="F279" s="33"/>
      <c r="T279" s="18"/>
      <c r="U279" s="18"/>
      <c r="V279" s="19"/>
      <c r="W279" s="20"/>
      <c r="X279" s="20"/>
      <c r="Y279" s="21"/>
      <c r="Z279" s="21"/>
      <c r="AD279" s="75" t="s">
        <v>615</v>
      </c>
      <c r="AE279" t="s">
        <v>620</v>
      </c>
      <c r="AF279" s="29"/>
    </row>
    <row r="280" spans="1:37">
      <c r="A280" s="30"/>
      <c r="B280" s="30"/>
      <c r="C280" s="31"/>
      <c r="D280" s="32"/>
      <c r="E280" s="33"/>
      <c r="F280" s="33"/>
      <c r="T280" s="18"/>
      <c r="U280" s="18"/>
      <c r="V280" s="19"/>
      <c r="W280" s="20"/>
      <c r="X280" s="20"/>
      <c r="Y280" s="21"/>
      <c r="Z280" s="21"/>
      <c r="AD280" s="75" t="s">
        <v>616</v>
      </c>
      <c r="AE280" t="s">
        <v>621</v>
      </c>
      <c r="AF280" s="29"/>
    </row>
    <row r="281" spans="1:37">
      <c r="A281" s="30"/>
      <c r="B281" s="30"/>
      <c r="C281" s="31"/>
      <c r="D281" s="32"/>
      <c r="E281" s="33"/>
      <c r="F281" s="33"/>
      <c r="T281" s="18"/>
      <c r="U281" s="18"/>
      <c r="V281" s="19"/>
      <c r="W281" s="20"/>
      <c r="X281" s="20"/>
      <c r="Y281" s="21"/>
      <c r="Z281" s="21"/>
      <c r="AD281" s="75" t="s">
        <v>617</v>
      </c>
      <c r="AE281" t="s">
        <v>622</v>
      </c>
      <c r="AF281" s="29"/>
    </row>
    <row r="282" spans="1:37">
      <c r="A282" s="30"/>
      <c r="B282" s="30"/>
      <c r="C282" s="31"/>
      <c r="D282" s="32"/>
      <c r="E282" s="33"/>
      <c r="F282" s="33"/>
      <c r="T282" s="18"/>
      <c r="U282" s="18"/>
      <c r="V282" s="19"/>
      <c r="W282" s="20"/>
      <c r="X282" s="20"/>
      <c r="Y282" s="21"/>
      <c r="Z282" s="21"/>
      <c r="AD282" s="75" t="s">
        <v>618</v>
      </c>
      <c r="AE282" t="s">
        <v>623</v>
      </c>
      <c r="AF282" s="29"/>
    </row>
    <row r="283" spans="1:37">
      <c r="A283" s="30"/>
      <c r="B283" s="30"/>
      <c r="C283" s="31"/>
      <c r="D283" s="32"/>
      <c r="E283" s="33"/>
      <c r="F283" s="33"/>
      <c r="T283" s="18"/>
      <c r="U283" s="18"/>
      <c r="V283" s="19"/>
      <c r="W283" s="20"/>
      <c r="X283" s="20"/>
      <c r="Y283" s="21"/>
      <c r="Z283" s="21"/>
      <c r="AD283" s="75" t="s">
        <v>619</v>
      </c>
      <c r="AE283" t="s">
        <v>624</v>
      </c>
      <c r="AF283" s="29"/>
    </row>
    <row r="284" spans="1:37">
      <c r="A284" s="9" t="s">
        <v>19</v>
      </c>
      <c r="B284" s="9" t="s">
        <v>209</v>
      </c>
      <c r="C284" s="10" t="s">
        <v>210</v>
      </c>
      <c r="D284" s="11"/>
      <c r="E284" s="12">
        <v>10050.518095335394</v>
      </c>
      <c r="F284" s="12">
        <v>100</v>
      </c>
      <c r="G284" s="13">
        <f>VLOOKUP(B284,$L$2:$N$121,3,FALSE)</f>
        <v>3171.0527222929395</v>
      </c>
      <c r="T284" s="18"/>
      <c r="U284" s="18" t="s">
        <v>205</v>
      </c>
      <c r="V284" s="19" t="s">
        <v>314</v>
      </c>
      <c r="W284" s="20" t="s">
        <v>315</v>
      </c>
      <c r="X284" s="20"/>
      <c r="Y284" s="21">
        <v>2162.1095957702273</v>
      </c>
      <c r="Z284" s="21">
        <v>33.582859303492562</v>
      </c>
      <c r="AD284" s="77"/>
      <c r="AE284" s="70" t="str">
        <f>W284</f>
        <v>Productos metálicos estructurales y sus partes de hierro o de acero</v>
      </c>
      <c r="AF284" s="29">
        <f>Z284*AF$277/100</f>
        <v>4.7558375706869367E-3</v>
      </c>
    </row>
    <row r="285" spans="1:37">
      <c r="A285" s="49"/>
      <c r="B285" s="49"/>
      <c r="C285" s="50"/>
      <c r="D285" s="51"/>
      <c r="E285" s="52"/>
      <c r="F285" s="52"/>
      <c r="G285" s="48"/>
      <c r="T285" s="30"/>
      <c r="U285" s="30"/>
      <c r="V285" s="31"/>
      <c r="W285" s="32"/>
      <c r="X285" s="32"/>
      <c r="Y285" s="33"/>
      <c r="Z285" s="33"/>
      <c r="AD285" s="75" t="s">
        <v>625</v>
      </c>
      <c r="AE285" t="s">
        <v>626</v>
      </c>
      <c r="AF285" s="29"/>
    </row>
    <row r="286" spans="1:37">
      <c r="A286" s="23"/>
      <c r="B286" s="23" t="s">
        <v>209</v>
      </c>
      <c r="C286" s="24" t="s">
        <v>316</v>
      </c>
      <c r="D286" s="25" t="s">
        <v>317</v>
      </c>
      <c r="E286" s="26">
        <v>5514.8346518397257</v>
      </c>
      <c r="F286" s="26">
        <v>54.871147930167382</v>
      </c>
      <c r="T286" s="9" t="s">
        <v>19</v>
      </c>
      <c r="U286" s="9" t="s">
        <v>209</v>
      </c>
      <c r="V286" s="10" t="s">
        <v>210</v>
      </c>
      <c r="W286" s="11"/>
      <c r="X286" s="11">
        <f>VLOOKUP(U286,'[1]% SECCION_ECONOMIA 2022'!$C$81:$I$209,7,FALSE)</f>
        <v>2897.0784764291157</v>
      </c>
      <c r="Y286" s="12">
        <v>9182.8126362122694</v>
      </c>
      <c r="Z286" s="12">
        <v>100</v>
      </c>
      <c r="AA286" s="22">
        <f>X286/$X$2</f>
        <v>2.7763185016377229E-2</v>
      </c>
      <c r="AB286" t="s">
        <v>318</v>
      </c>
      <c r="AC286" t="str">
        <f>LEFT(AB286,7)</f>
        <v>261-309</v>
      </c>
      <c r="AD286" s="76" t="s">
        <v>318</v>
      </c>
      <c r="AE286" s="22" t="str">
        <f>V286</f>
        <v>Fabricación, reparación e instalación de maquinaria y equipo industrial, n.c.p.</v>
      </c>
      <c r="AF286" s="22">
        <f>AA286</f>
        <v>2.7763185016377229E-2</v>
      </c>
    </row>
    <row r="287" spans="1:37">
      <c r="A287" s="23"/>
      <c r="B287" s="23" t="s">
        <v>209</v>
      </c>
      <c r="C287" s="24" t="s">
        <v>319</v>
      </c>
      <c r="D287" s="25" t="s">
        <v>320</v>
      </c>
      <c r="E287" s="26">
        <v>1844.6195215133537</v>
      </c>
      <c r="F287" s="26">
        <v>18.353476945327536</v>
      </c>
      <c r="T287" s="23"/>
      <c r="U287" s="23" t="s">
        <v>209</v>
      </c>
      <c r="V287" s="24" t="s">
        <v>316</v>
      </c>
      <c r="W287" s="25" t="s">
        <v>317</v>
      </c>
      <c r="X287" s="25"/>
      <c r="Y287" s="26">
        <v>5165.8367065969996</v>
      </c>
      <c r="Z287" s="26">
        <v>56.255495034556283</v>
      </c>
      <c r="AD287" s="77"/>
      <c r="AE287" s="70" t="str">
        <f>W287</f>
        <v>Servicio de mantenimiento, reparación e instalación de productos metálicos elaborados, maquinaria y equipo</v>
      </c>
      <c r="AF287" s="29">
        <f>$Z287*AF$286/100</f>
        <v>1.5618317168322767E-2</v>
      </c>
    </row>
    <row r="288" spans="1:37">
      <c r="A288" s="23"/>
      <c r="B288" s="23"/>
      <c r="C288" s="24"/>
      <c r="D288" s="25"/>
      <c r="E288" s="26"/>
      <c r="F288" s="26"/>
      <c r="T288" s="23"/>
      <c r="U288" s="23"/>
      <c r="V288" s="24"/>
      <c r="W288" s="25"/>
      <c r="X288" s="25"/>
      <c r="Y288" s="26"/>
      <c r="Z288" s="26"/>
      <c r="AD288" s="79" t="s">
        <v>627</v>
      </c>
      <c r="AE288" s="58" t="s">
        <v>628</v>
      </c>
    </row>
    <row r="289" spans="1:36">
      <c r="A289" s="23"/>
      <c r="B289" s="23" t="s">
        <v>209</v>
      </c>
      <c r="C289" s="24" t="s">
        <v>321</v>
      </c>
      <c r="D289" s="25" t="s">
        <v>322</v>
      </c>
      <c r="E289" s="26">
        <v>1163.4353362423929</v>
      </c>
      <c r="F289" s="26">
        <v>11.575874250526068</v>
      </c>
      <c r="T289" s="23"/>
      <c r="U289" s="23" t="s">
        <v>209</v>
      </c>
      <c r="V289" s="24" t="s">
        <v>319</v>
      </c>
      <c r="W289" s="25" t="s">
        <v>320</v>
      </c>
      <c r="X289" s="25"/>
      <c r="Y289" s="26">
        <v>1729.0049478832491</v>
      </c>
      <c r="Z289" s="26">
        <v>18.828707677917187</v>
      </c>
      <c r="AD289" s="77"/>
      <c r="AE289" s="70" t="str">
        <f>W289</f>
        <v>Maquinaria para usos generales, sus partes y piezas</v>
      </c>
      <c r="AF289" s="29">
        <f>$Z289*AF$286/100</f>
        <v>5.2274489488129726E-3</v>
      </c>
    </row>
    <row r="290" spans="1:36">
      <c r="A290" s="23"/>
      <c r="B290" s="23"/>
      <c r="C290" s="24"/>
      <c r="D290" s="25"/>
      <c r="E290" s="26"/>
      <c r="F290" s="26"/>
      <c r="T290" s="23"/>
      <c r="U290" s="23"/>
      <c r="V290" s="24"/>
      <c r="W290" s="25"/>
      <c r="X290" s="25"/>
      <c r="Y290" s="26"/>
      <c r="Z290" s="26"/>
      <c r="AD290" s="75" t="s">
        <v>629</v>
      </c>
      <c r="AE290" t="s">
        <v>630</v>
      </c>
      <c r="AF290" s="29"/>
    </row>
    <row r="291" spans="1:36">
      <c r="A291" s="23"/>
      <c r="B291" s="23" t="s">
        <v>209</v>
      </c>
      <c r="C291" s="24" t="s">
        <v>323</v>
      </c>
      <c r="D291" s="25" t="s">
        <v>324</v>
      </c>
      <c r="E291" s="26">
        <v>879.36118529677117</v>
      </c>
      <c r="F291" s="26">
        <v>8.7494114925766553</v>
      </c>
      <c r="T291" s="23"/>
      <c r="U291" s="23" t="s">
        <v>209</v>
      </c>
      <c r="V291" s="24" t="s">
        <v>321</v>
      </c>
      <c r="W291" s="25" t="s">
        <v>322</v>
      </c>
      <c r="X291" s="25"/>
      <c r="Y291" s="26">
        <v>1009.6467405574847</v>
      </c>
      <c r="Z291" s="26">
        <v>10.994961789549745</v>
      </c>
      <c r="AD291" s="77"/>
      <c r="AE291" s="70" t="str">
        <f>W291</f>
        <v>Equipo de transporte</v>
      </c>
      <c r="AF291" s="29">
        <f>$Z291*AF$286/100</f>
        <v>3.0525515841126768E-3</v>
      </c>
    </row>
    <row r="292" spans="1:36">
      <c r="A292" s="64"/>
      <c r="B292" s="64"/>
      <c r="C292" s="65"/>
      <c r="D292" s="63"/>
      <c r="E292" s="66"/>
      <c r="F292" s="66"/>
      <c r="T292" s="23"/>
      <c r="U292" s="23"/>
      <c r="V292" s="24"/>
      <c r="W292" s="25"/>
      <c r="X292" s="25"/>
      <c r="Y292" s="26"/>
      <c r="Z292" s="26"/>
      <c r="AD292" s="75" t="s">
        <v>631</v>
      </c>
      <c r="AE292" t="s">
        <v>633</v>
      </c>
      <c r="AF292" s="29"/>
    </row>
    <row r="293" spans="1:36">
      <c r="A293" s="64"/>
      <c r="B293" s="64"/>
      <c r="C293" s="65"/>
      <c r="D293" s="63"/>
      <c r="E293" s="66"/>
      <c r="F293" s="66"/>
      <c r="T293" s="23"/>
      <c r="U293" s="23"/>
      <c r="V293" s="24"/>
      <c r="W293" s="25"/>
      <c r="X293" s="25"/>
      <c r="Y293" s="26"/>
      <c r="Z293" s="26"/>
      <c r="AD293" s="75" t="s">
        <v>632</v>
      </c>
      <c r="AE293" t="s">
        <v>634</v>
      </c>
      <c r="AF293" s="29"/>
    </row>
    <row r="294" spans="1:36">
      <c r="A294" s="9" t="s">
        <v>19</v>
      </c>
      <c r="B294" s="9" t="s">
        <v>212</v>
      </c>
      <c r="C294" s="10" t="s">
        <v>213</v>
      </c>
      <c r="D294" s="11"/>
      <c r="E294" s="12">
        <v>9740.804284584161</v>
      </c>
      <c r="F294" s="12">
        <v>100</v>
      </c>
      <c r="G294" s="13">
        <f>VLOOKUP(B294,$L$2:$N$121,3,FALSE)</f>
        <v>814.73954029918548</v>
      </c>
      <c r="T294" s="23"/>
      <c r="U294" s="23" t="s">
        <v>209</v>
      </c>
      <c r="V294" s="24" t="s">
        <v>323</v>
      </c>
      <c r="W294" s="25" t="s">
        <v>324</v>
      </c>
      <c r="X294" s="25"/>
      <c r="Y294" s="26">
        <v>841.89557412000022</v>
      </c>
      <c r="Z294" s="26">
        <v>9.1681667422898183</v>
      </c>
      <c r="AD294" s="77"/>
      <c r="AE294" s="70" t="str">
        <f>W294</f>
        <v>Maquinaria para usos especiales, partes y piezas; excepto electrodomesticos</v>
      </c>
      <c r="AF294" s="29">
        <f>$Z294*AF$286/100</f>
        <v>2.5453750952718875E-3</v>
      </c>
    </row>
    <row r="295" spans="1:36">
      <c r="A295" s="44"/>
      <c r="B295" s="44"/>
      <c r="C295" s="45"/>
      <c r="D295" s="46"/>
      <c r="E295" s="47"/>
      <c r="F295" s="47"/>
      <c r="G295" s="48"/>
      <c r="T295" s="64"/>
      <c r="U295" s="64"/>
      <c r="V295" s="65"/>
      <c r="W295" s="63"/>
      <c r="X295" s="63"/>
      <c r="Y295" s="66"/>
      <c r="Z295" s="66"/>
      <c r="AD295" s="75" t="s">
        <v>635</v>
      </c>
      <c r="AE295" t="s">
        <v>636</v>
      </c>
      <c r="AF295" s="29"/>
    </row>
    <row r="296" spans="1:36">
      <c r="A296" s="18"/>
      <c r="B296" s="18" t="s">
        <v>212</v>
      </c>
      <c r="C296" s="19" t="s">
        <v>325</v>
      </c>
      <c r="D296" s="20" t="s">
        <v>326</v>
      </c>
      <c r="E296" s="21">
        <v>8821.6564941450106</v>
      </c>
      <c r="F296" s="21">
        <v>90.563943555525512</v>
      </c>
      <c r="T296" s="9" t="s">
        <v>19</v>
      </c>
      <c r="U296" s="9" t="s">
        <v>212</v>
      </c>
      <c r="V296" s="10" t="s">
        <v>213</v>
      </c>
      <c r="W296" s="11"/>
      <c r="X296" s="11">
        <f>VLOOKUP(U296,'[1]% SECCION_ECONOMIA 2022'!$C$81:$I$209,7,FALSE)</f>
        <v>3485.72406075855</v>
      </c>
      <c r="Y296" s="12">
        <v>9233.8962785053245</v>
      </c>
      <c r="Z296" s="12">
        <v>100</v>
      </c>
      <c r="AA296" s="22">
        <f>X296/$X$2</f>
        <v>3.3404273581901782E-2</v>
      </c>
      <c r="AB296" t="s">
        <v>327</v>
      </c>
      <c r="AC296" t="str">
        <f>LEFT(AB296,4)</f>
        <v>3100</v>
      </c>
      <c r="AD296" s="76" t="s">
        <v>327</v>
      </c>
      <c r="AE296" s="22" t="str">
        <f>V296</f>
        <v>Fabricación de muebles</v>
      </c>
      <c r="AF296" s="22">
        <f>AA296</f>
        <v>3.3404273581901782E-2</v>
      </c>
    </row>
    <row r="297" spans="1:36">
      <c r="A297" s="9" t="s">
        <v>19</v>
      </c>
      <c r="B297" s="9" t="s">
        <v>216</v>
      </c>
      <c r="C297" s="10" t="s">
        <v>217</v>
      </c>
      <c r="D297" s="11"/>
      <c r="E297" s="12">
        <v>2086.1349157794857</v>
      </c>
      <c r="F297" s="12">
        <v>100</v>
      </c>
      <c r="G297" s="13">
        <f>VLOOKUP(B297,$L$2:$N$121,3,FALSE)</f>
        <v>3451.9687156580494</v>
      </c>
      <c r="T297" s="18"/>
      <c r="U297" s="18" t="s">
        <v>212</v>
      </c>
      <c r="V297" s="19" t="s">
        <v>325</v>
      </c>
      <c r="W297" s="20" t="s">
        <v>326</v>
      </c>
      <c r="X297" s="20"/>
      <c r="Y297" s="21">
        <v>8381.0069490246187</v>
      </c>
      <c r="Z297" s="21">
        <v>90.763494588237222</v>
      </c>
      <c r="AD297" s="77"/>
      <c r="AE297" s="70" t="str">
        <f>W297</f>
        <v>Muebles</v>
      </c>
      <c r="AF297" s="29">
        <f>$Z297*AF$296/100</f>
        <v>3.0318886044749381E-2</v>
      </c>
    </row>
    <row r="298" spans="1:36">
      <c r="A298" s="49"/>
      <c r="B298" s="49"/>
      <c r="C298" s="50"/>
      <c r="D298" s="51"/>
      <c r="E298" s="52"/>
      <c r="F298" s="52"/>
      <c r="G298" s="48"/>
      <c r="T298" s="30"/>
      <c r="U298" s="30"/>
      <c r="V298" s="31"/>
      <c r="W298" s="32"/>
      <c r="X298" s="32"/>
      <c r="Y298" s="33"/>
      <c r="Z298" s="33"/>
      <c r="AD298" s="75" t="s">
        <v>637</v>
      </c>
      <c r="AE298" t="s">
        <v>640</v>
      </c>
    </row>
    <row r="299" spans="1:36">
      <c r="A299" s="49"/>
      <c r="B299" s="49"/>
      <c r="C299" s="50"/>
      <c r="D299" s="51"/>
      <c r="E299" s="52"/>
      <c r="F299" s="52"/>
      <c r="G299" s="48"/>
      <c r="T299" s="30"/>
      <c r="U299" s="30"/>
      <c r="V299" s="31"/>
      <c r="W299" s="32"/>
      <c r="X299" s="32"/>
      <c r="Y299" s="33"/>
      <c r="Z299" s="33"/>
      <c r="AD299" s="75" t="s">
        <v>638</v>
      </c>
      <c r="AE299" t="s">
        <v>641</v>
      </c>
    </row>
    <row r="300" spans="1:36">
      <c r="A300" s="49"/>
      <c r="B300" s="49"/>
      <c r="C300" s="50"/>
      <c r="D300" s="51"/>
      <c r="E300" s="52"/>
      <c r="F300" s="52"/>
      <c r="G300" s="48"/>
      <c r="T300" s="30"/>
      <c r="U300" s="30"/>
      <c r="V300" s="31"/>
      <c r="W300" s="32"/>
      <c r="X300" s="32"/>
      <c r="Y300" s="33"/>
      <c r="Z300" s="33"/>
      <c r="AD300" s="75" t="s">
        <v>639</v>
      </c>
      <c r="AE300" t="s">
        <v>642</v>
      </c>
    </row>
    <row r="301" spans="1:36">
      <c r="A301" s="23"/>
      <c r="B301" s="23" t="s">
        <v>216</v>
      </c>
      <c r="C301" s="24" t="s">
        <v>328</v>
      </c>
      <c r="D301" s="25" t="s">
        <v>329</v>
      </c>
      <c r="E301" s="26">
        <v>1455.3830816112434</v>
      </c>
      <c r="F301" s="26">
        <v>69.764571342090719</v>
      </c>
      <c r="T301" s="9" t="s">
        <v>19</v>
      </c>
      <c r="U301" s="9" t="s">
        <v>216</v>
      </c>
      <c r="V301" s="10" t="s">
        <v>217</v>
      </c>
      <c r="W301" s="11"/>
      <c r="X301" s="11">
        <f>VLOOKUP(U301,'[1]% SECCION_ECONOMIA 2022'!$C$81:$I$209,7,FALSE)</f>
        <v>824.95014759750165</v>
      </c>
      <c r="Y301" s="12">
        <v>2015.2722334135103</v>
      </c>
      <c r="Z301" s="12">
        <v>100</v>
      </c>
      <c r="AA301" s="22">
        <f>X301/$X$2</f>
        <v>7.9056345084815398E-3</v>
      </c>
      <c r="AB301" t="s">
        <v>330</v>
      </c>
      <c r="AC301" t="str">
        <f>LEFT(AB301,4)</f>
        <v>3211</v>
      </c>
      <c r="AD301" s="76" t="s">
        <v>330</v>
      </c>
      <c r="AE301" s="22" t="str">
        <f>V301</f>
        <v>Otras industrias manufactureras</v>
      </c>
      <c r="AF301" s="22">
        <f>AA301</f>
        <v>7.9056345084815398E-3</v>
      </c>
      <c r="AH301">
        <v>3240</v>
      </c>
      <c r="AI301">
        <v>3250</v>
      </c>
      <c r="AJ301">
        <v>3290</v>
      </c>
    </row>
    <row r="302" spans="1:36">
      <c r="A302" s="18"/>
      <c r="B302" s="18" t="s">
        <v>216</v>
      </c>
      <c r="C302" s="19" t="s">
        <v>331</v>
      </c>
      <c r="D302" s="20" t="s">
        <v>332</v>
      </c>
      <c r="E302" s="21">
        <v>290.08916588150191</v>
      </c>
      <c r="F302" s="21">
        <v>13.905580300069417</v>
      </c>
      <c r="T302" s="23"/>
      <c r="U302" s="23" t="s">
        <v>216</v>
      </c>
      <c r="V302" s="24" t="s">
        <v>328</v>
      </c>
      <c r="W302" s="25" t="s">
        <v>329</v>
      </c>
      <c r="X302" s="25"/>
      <c r="Y302" s="26">
        <v>1407.8449223281104</v>
      </c>
      <c r="Z302" s="26">
        <v>69.858796195662023</v>
      </c>
      <c r="AD302" s="77"/>
      <c r="AE302" s="70" t="str">
        <f>W302</f>
        <v>Otros artículos n.c.p.</v>
      </c>
      <c r="AF302" s="29">
        <f>$Z302*AF$301/100</f>
        <v>5.522781099254046E-3</v>
      </c>
    </row>
    <row r="303" spans="1:36">
      <c r="A303" s="67"/>
      <c r="B303" s="67"/>
      <c r="C303" s="67"/>
      <c r="D303" s="67"/>
      <c r="E303" s="68"/>
      <c r="F303" s="68"/>
      <c r="T303" s="18"/>
      <c r="U303" s="18"/>
      <c r="V303" s="19"/>
      <c r="W303" s="20"/>
      <c r="X303" s="20"/>
      <c r="Y303" s="21"/>
      <c r="Z303" s="21"/>
      <c r="AD303" s="75" t="s">
        <v>643</v>
      </c>
      <c r="AE303" t="s">
        <v>645</v>
      </c>
    </row>
    <row r="304" spans="1:36">
      <c r="A304" s="67"/>
      <c r="B304" s="67"/>
      <c r="C304" s="67"/>
      <c r="D304" s="67"/>
      <c r="E304" s="68"/>
      <c r="F304" s="68"/>
      <c r="T304" s="18"/>
      <c r="U304" s="18"/>
      <c r="V304" s="19"/>
      <c r="W304" s="20"/>
      <c r="X304" s="20"/>
      <c r="Y304" s="21"/>
      <c r="Z304" s="21"/>
      <c r="AD304" s="75" t="s">
        <v>644</v>
      </c>
      <c r="AE304" t="s">
        <v>646</v>
      </c>
    </row>
    <row r="305" spans="5:32">
      <c r="T305" s="18"/>
      <c r="U305" s="18" t="s">
        <v>216</v>
      </c>
      <c r="V305" s="19" t="s">
        <v>331</v>
      </c>
      <c r="W305" s="20" t="s">
        <v>332</v>
      </c>
      <c r="X305" s="20"/>
      <c r="Y305" s="21">
        <v>269.28323503164512</v>
      </c>
      <c r="Z305" s="21">
        <v>13.362126990432827</v>
      </c>
      <c r="AD305" s="77"/>
      <c r="AE305" s="70" t="str">
        <f>W305</f>
        <v>Joyas y artículos conexos</v>
      </c>
      <c r="AF305" s="29">
        <f>$Z305*AF$301/100</f>
        <v>1.0563609224227834E-3</v>
      </c>
    </row>
    <row r="306" spans="5:32">
      <c r="E306" s="42">
        <v>300555.92823312257</v>
      </c>
      <c r="G306" s="42">
        <f>SUM(G2:G297)</f>
        <v>425482.97135527123</v>
      </c>
      <c r="AD306" s="75" t="s">
        <v>647</v>
      </c>
      <c r="AE306" t="s">
        <v>648</v>
      </c>
    </row>
    <row r="307" spans="5:32">
      <c r="Y307" s="16">
        <f>SUBTOTAL(9,Y2:Y305)</f>
        <v>852552.89184268471</v>
      </c>
      <c r="AA307" s="43">
        <f>SUBTOTAL(9,AA2:AA305)</f>
        <v>0.99999999999999978</v>
      </c>
      <c r="AD307" s="82"/>
      <c r="AE307" s="43"/>
      <c r="AF307" s="43">
        <f>SUBTOTAL(9,AF2:AF305)</f>
        <v>1.9353867281184476</v>
      </c>
    </row>
    <row r="309" spans="5:32">
      <c r="Y309" s="16">
        <v>290729.34705098363</v>
      </c>
    </row>
    <row r="310" spans="5:32">
      <c r="V310" t="s">
        <v>333</v>
      </c>
      <c r="Y310" s="16">
        <v>428602.29489358678</v>
      </c>
    </row>
  </sheetData>
  <autoFilter ref="T2:AA306" xr:uid="{55025F8D-6C1A-49CC-84BA-C188F42AEF3C}"/>
  <conditionalFormatting sqref="F1 E306">
    <cfRule type="cellIs" dxfId="7" priority="10" operator="equal">
      <formula>0</formula>
    </cfRule>
  </conditionalFormatting>
  <conditionalFormatting sqref="G306">
    <cfRule type="cellIs" dxfId="6" priority="9" operator="equal">
      <formula>0</formula>
    </cfRule>
  </conditionalFormatting>
  <conditionalFormatting sqref="Y307">
    <cfRule type="cellIs" dxfId="5" priority="7" operator="equal">
      <formula>0</formula>
    </cfRule>
  </conditionalFormatting>
  <conditionalFormatting sqref="Y309:Y310">
    <cfRule type="cellIs" dxfId="4" priority="5" operator="equal">
      <formula>0</formula>
    </cfRule>
  </conditionalFormatting>
  <conditionalFormatting sqref="Y2:Z2">
    <cfRule type="cellIs" dxfId="3" priority="8" operator="equal">
      <formula>0</formula>
    </cfRule>
  </conditionalFormatting>
  <conditionalFormatting sqref="AA307">
    <cfRule type="cellIs" dxfId="2" priority="4" operator="equal">
      <formula>0</formula>
    </cfRule>
  </conditionalFormatting>
  <conditionalFormatting sqref="AD307:AF307">
    <cfRule type="cellIs" dxfId="1" priority="1" operator="equal">
      <formula>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BB51-9E60-4286-B49C-4A892C3180D4}">
  <dimension ref="A1:D4"/>
  <sheetViews>
    <sheetView workbookViewId="0">
      <selection activeCell="C18" sqref="C18"/>
    </sheetView>
  </sheetViews>
  <sheetFormatPr defaultRowHeight="14.5"/>
  <cols>
    <col min="2" max="2" width="36.453125" customWidth="1"/>
  </cols>
  <sheetData>
    <row r="1" spans="1:4">
      <c r="A1" s="55" t="s">
        <v>409</v>
      </c>
      <c r="B1" s="55" t="s">
        <v>410</v>
      </c>
      <c r="C1" s="55" t="s">
        <v>219</v>
      </c>
      <c r="D1" s="55" t="s">
        <v>220</v>
      </c>
    </row>
    <row r="2" spans="1:4">
      <c r="A2" s="56" t="s">
        <v>411</v>
      </c>
      <c r="B2" s="56" t="s">
        <v>412</v>
      </c>
      <c r="C2" s="56" t="s">
        <v>417</v>
      </c>
      <c r="D2" s="56" t="s">
        <v>418</v>
      </c>
    </row>
    <row r="3" spans="1:4">
      <c r="A3" s="55" t="s">
        <v>413</v>
      </c>
      <c r="B3" s="55" t="s">
        <v>414</v>
      </c>
      <c r="C3" s="55" t="s">
        <v>419</v>
      </c>
      <c r="D3" s="55" t="s">
        <v>414</v>
      </c>
    </row>
    <row r="4" spans="1:4">
      <c r="A4" s="56" t="s">
        <v>415</v>
      </c>
      <c r="B4" s="56" t="s">
        <v>416</v>
      </c>
      <c r="C4" s="56" t="s">
        <v>420</v>
      </c>
      <c r="D4" s="56" t="s">
        <v>416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9e35db-544f-4f60-bdcc-5ea416e6dc70}" enabled="0" method="" siteId="{0f9e35db-544f-4f60-bdcc-5ea416e6dc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Estructura 2022</vt:lpstr>
      <vt:lpstr>Sheet1</vt:lpstr>
      <vt:lpstr>Base_revision</vt:lpstr>
      <vt:lpstr>consultas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Ernestina Brigida Perez Ardiles</dc:creator>
  <cp:lastModifiedBy>Ernestina Brigida Perez Ardiles</cp:lastModifiedBy>
  <dcterms:created xsi:type="dcterms:W3CDTF">2025-05-21T20:54:53Z</dcterms:created>
  <dcterms:modified xsi:type="dcterms:W3CDTF">2025-05-26T17:23:30Z</dcterms:modified>
</cp:coreProperties>
</file>