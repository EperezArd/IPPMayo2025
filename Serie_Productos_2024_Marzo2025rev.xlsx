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6" documentId="8_{2506D9C7-2D6B-4426-80CE-1EADC652D303}" xr6:coauthVersionLast="47" xr6:coauthVersionMax="47" xr10:uidLastSave="{7F22EB6E-0C50-45DC-9690-CACE1582AD9E}"/>
  <bookViews>
    <workbookView xWindow="28680" yWindow="-90" windowWidth="29040" windowHeight="15720" xr2:uid="{0FAD474E-FEAE-4735-8AC6-B1BF8F3F56A9}"/>
  </bookViews>
  <sheets>
    <sheet name="Sheet1" sheetId="1" r:id="rId1"/>
    <sheet name="C1104.24490" sheetId="2" r:id="rId2"/>
  </sheets>
  <definedNames>
    <definedName name="_xlnm._FilterDatabase" localSheetId="0" hidden="1">Sheet1!$A$1:$BC$151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8" i="1" l="1"/>
  <c r="AX58" i="1" s="1"/>
  <c r="AH57" i="1"/>
  <c r="AX57" i="1" s="1"/>
  <c r="S58" i="1"/>
  <c r="T58" i="1" s="1"/>
  <c r="U58" i="1" s="1"/>
  <c r="S57" i="1"/>
  <c r="T57" i="1" s="1"/>
  <c r="S56" i="1"/>
  <c r="V58" i="1" l="1"/>
  <c r="W58" i="1" s="1"/>
  <c r="X58" i="1" s="1"/>
  <c r="Y58" i="1" s="1"/>
  <c r="Z58" i="1" s="1"/>
  <c r="AA58" i="1" s="1"/>
  <c r="AB58" i="1" s="1"/>
  <c r="AC58" i="1" s="1"/>
  <c r="AD58" i="1" s="1"/>
  <c r="U57" i="1"/>
  <c r="V57" i="1" s="1"/>
  <c r="W57" i="1" s="1"/>
  <c r="X57" i="1" s="1"/>
  <c r="Y57" i="1" s="1"/>
  <c r="Z57" i="1" s="1"/>
  <c r="AA57" i="1" s="1"/>
  <c r="AB57" i="1" s="1"/>
  <c r="AC57" i="1" s="1"/>
  <c r="AD57" i="1" s="1"/>
  <c r="AE57" i="1" l="1"/>
  <c r="AF57" i="1" s="1"/>
  <c r="AE58" i="1"/>
  <c r="AF58" i="1" s="1"/>
  <c r="AH3" i="1"/>
  <c r="AX3" i="1" s="1"/>
  <c r="AH4" i="1"/>
  <c r="AX4" i="1" s="1"/>
  <c r="AH5" i="1"/>
  <c r="AX5" i="1" s="1"/>
  <c r="AH6" i="1"/>
  <c r="AX6" i="1" s="1"/>
  <c r="AH7" i="1"/>
  <c r="AX7" i="1" s="1"/>
  <c r="AH8" i="1"/>
  <c r="AX8" i="1" s="1"/>
  <c r="AH9" i="1"/>
  <c r="AX9" i="1" s="1"/>
  <c r="AH10" i="1"/>
  <c r="AX10" i="1" s="1"/>
  <c r="AH11" i="1"/>
  <c r="AX11" i="1" s="1"/>
  <c r="AH12" i="1"/>
  <c r="AX12" i="1" s="1"/>
  <c r="AH13" i="1"/>
  <c r="AX13" i="1" s="1"/>
  <c r="AH14" i="1"/>
  <c r="AX14" i="1" s="1"/>
  <c r="AH15" i="1"/>
  <c r="AX15" i="1" s="1"/>
  <c r="AH16" i="1"/>
  <c r="AX16" i="1" s="1"/>
  <c r="AH17" i="1"/>
  <c r="AX17" i="1" s="1"/>
  <c r="AH18" i="1"/>
  <c r="AX18" i="1" s="1"/>
  <c r="AH19" i="1"/>
  <c r="AX19" i="1" s="1"/>
  <c r="AH20" i="1"/>
  <c r="AX20" i="1" s="1"/>
  <c r="AH21" i="1"/>
  <c r="AX21" i="1" s="1"/>
  <c r="AH22" i="1"/>
  <c r="AX22" i="1" s="1"/>
  <c r="AH23" i="1"/>
  <c r="AX23" i="1" s="1"/>
  <c r="AH24" i="1"/>
  <c r="AX24" i="1" s="1"/>
  <c r="AH25" i="1"/>
  <c r="AX25" i="1" s="1"/>
  <c r="AH26" i="1"/>
  <c r="AX26" i="1" s="1"/>
  <c r="AH27" i="1"/>
  <c r="AX27" i="1" s="1"/>
  <c r="AH28" i="1"/>
  <c r="AX28" i="1" s="1"/>
  <c r="AH29" i="1"/>
  <c r="AX29" i="1" s="1"/>
  <c r="AH30" i="1"/>
  <c r="AX30" i="1" s="1"/>
  <c r="AH31" i="1"/>
  <c r="AX31" i="1" s="1"/>
  <c r="AH32" i="1"/>
  <c r="AX32" i="1" s="1"/>
  <c r="AH33" i="1"/>
  <c r="AX33" i="1" s="1"/>
  <c r="AH34" i="1"/>
  <c r="AX34" i="1" s="1"/>
  <c r="AH35" i="1"/>
  <c r="AX35" i="1" s="1"/>
  <c r="AH36" i="1"/>
  <c r="AX36" i="1" s="1"/>
  <c r="AH37" i="1"/>
  <c r="AX37" i="1" s="1"/>
  <c r="AH38" i="1"/>
  <c r="AX38" i="1" s="1"/>
  <c r="AH39" i="1"/>
  <c r="AX39" i="1" s="1"/>
  <c r="AH40" i="1"/>
  <c r="AX40" i="1" s="1"/>
  <c r="AH41" i="1"/>
  <c r="AX41" i="1" s="1"/>
  <c r="AH42" i="1"/>
  <c r="AX42" i="1" s="1"/>
  <c r="AH43" i="1"/>
  <c r="AX43" i="1" s="1"/>
  <c r="AH44" i="1"/>
  <c r="AX44" i="1" s="1"/>
  <c r="AH45" i="1"/>
  <c r="AX45" i="1" s="1"/>
  <c r="AH46" i="1"/>
  <c r="AX46" i="1" s="1"/>
  <c r="AH47" i="1"/>
  <c r="AX47" i="1" s="1"/>
  <c r="AH48" i="1"/>
  <c r="AX48" i="1" s="1"/>
  <c r="AH49" i="1"/>
  <c r="AX49" i="1" s="1"/>
  <c r="AH50" i="1"/>
  <c r="AX50" i="1" s="1"/>
  <c r="AH51" i="1"/>
  <c r="AX51" i="1" s="1"/>
  <c r="AH52" i="1"/>
  <c r="AX52" i="1" s="1"/>
  <c r="AH53" i="1"/>
  <c r="AX53" i="1" s="1"/>
  <c r="AH54" i="1"/>
  <c r="AX54" i="1" s="1"/>
  <c r="AH55" i="1"/>
  <c r="AX55" i="1" s="1"/>
  <c r="AH56" i="1"/>
  <c r="AX56" i="1" s="1"/>
  <c r="AH59" i="1"/>
  <c r="AX59" i="1" s="1"/>
  <c r="AH60" i="1"/>
  <c r="AX60" i="1" s="1"/>
  <c r="AH61" i="1"/>
  <c r="AX61" i="1" s="1"/>
  <c r="AH62" i="1"/>
  <c r="AX62" i="1" s="1"/>
  <c r="AH63" i="1"/>
  <c r="AX63" i="1" s="1"/>
  <c r="AH64" i="1"/>
  <c r="AX64" i="1" s="1"/>
  <c r="AH65" i="1"/>
  <c r="AX65" i="1" s="1"/>
  <c r="AH66" i="1"/>
  <c r="AX66" i="1" s="1"/>
  <c r="AH67" i="1"/>
  <c r="AX67" i="1" s="1"/>
  <c r="AH68" i="1"/>
  <c r="AX68" i="1" s="1"/>
  <c r="AH69" i="1"/>
  <c r="AX69" i="1" s="1"/>
  <c r="AH70" i="1"/>
  <c r="AX70" i="1" s="1"/>
  <c r="AH71" i="1"/>
  <c r="AX71" i="1" s="1"/>
  <c r="AH72" i="1"/>
  <c r="AX72" i="1" s="1"/>
  <c r="AH73" i="1"/>
  <c r="AX73" i="1" s="1"/>
  <c r="AH74" i="1"/>
  <c r="AX74" i="1" s="1"/>
  <c r="AH75" i="1"/>
  <c r="AX75" i="1" s="1"/>
  <c r="AH76" i="1"/>
  <c r="AX76" i="1" s="1"/>
  <c r="AH77" i="1"/>
  <c r="AX77" i="1" s="1"/>
  <c r="AH78" i="1"/>
  <c r="AX78" i="1" s="1"/>
  <c r="AH79" i="1"/>
  <c r="AX79" i="1" s="1"/>
  <c r="AH80" i="1"/>
  <c r="AX80" i="1" s="1"/>
  <c r="AH81" i="1"/>
  <c r="AX81" i="1" s="1"/>
  <c r="AH82" i="1"/>
  <c r="AX82" i="1" s="1"/>
  <c r="AH83" i="1"/>
  <c r="AX83" i="1" s="1"/>
  <c r="AH84" i="1"/>
  <c r="AX84" i="1" s="1"/>
  <c r="AH85" i="1"/>
  <c r="AX85" i="1" s="1"/>
  <c r="AH86" i="1"/>
  <c r="AX86" i="1" s="1"/>
  <c r="AH87" i="1"/>
  <c r="AX87" i="1" s="1"/>
  <c r="AH88" i="1"/>
  <c r="AX88" i="1" s="1"/>
  <c r="AH89" i="1"/>
  <c r="AX89" i="1" s="1"/>
  <c r="AH90" i="1"/>
  <c r="AX90" i="1" s="1"/>
  <c r="AH91" i="1"/>
  <c r="AX91" i="1" s="1"/>
  <c r="AH92" i="1"/>
  <c r="AX92" i="1" s="1"/>
  <c r="AH93" i="1"/>
  <c r="AX93" i="1" s="1"/>
  <c r="AH94" i="1"/>
  <c r="AX94" i="1" s="1"/>
  <c r="AH95" i="1"/>
  <c r="AX95" i="1" s="1"/>
  <c r="AH96" i="1"/>
  <c r="AX96" i="1" s="1"/>
  <c r="AH97" i="1"/>
  <c r="AX97" i="1" s="1"/>
  <c r="AH98" i="1"/>
  <c r="AX98" i="1" s="1"/>
  <c r="AH99" i="1"/>
  <c r="AX99" i="1" s="1"/>
  <c r="AH100" i="1"/>
  <c r="AX100" i="1" s="1"/>
  <c r="AH101" i="1"/>
  <c r="AX101" i="1" s="1"/>
  <c r="AH102" i="1"/>
  <c r="AX102" i="1" s="1"/>
  <c r="AH103" i="1"/>
  <c r="AX103" i="1" s="1"/>
  <c r="AH104" i="1"/>
  <c r="AX104" i="1" s="1"/>
  <c r="AH105" i="1"/>
  <c r="AX105" i="1" s="1"/>
  <c r="AH106" i="1"/>
  <c r="AX106" i="1" s="1"/>
  <c r="AH107" i="1"/>
  <c r="AX107" i="1" s="1"/>
  <c r="AH108" i="1"/>
  <c r="AX108" i="1" s="1"/>
  <c r="AH109" i="1"/>
  <c r="AX109" i="1" s="1"/>
  <c r="AH110" i="1"/>
  <c r="AX110" i="1" s="1"/>
  <c r="AH111" i="1"/>
  <c r="AX111" i="1" s="1"/>
  <c r="AH112" i="1"/>
  <c r="AX112" i="1" s="1"/>
  <c r="AH113" i="1"/>
  <c r="AX113" i="1" s="1"/>
  <c r="AH114" i="1"/>
  <c r="AX114" i="1" s="1"/>
  <c r="AH115" i="1"/>
  <c r="AX115" i="1" s="1"/>
  <c r="AH116" i="1"/>
  <c r="AX116" i="1" s="1"/>
  <c r="AH117" i="1"/>
  <c r="AX117" i="1" s="1"/>
  <c r="AH118" i="1"/>
  <c r="AX118" i="1" s="1"/>
  <c r="AH119" i="1"/>
  <c r="AX119" i="1" s="1"/>
  <c r="AH120" i="1"/>
  <c r="AX120" i="1" s="1"/>
  <c r="AH121" i="1"/>
  <c r="AX121" i="1" s="1"/>
  <c r="AH122" i="1"/>
  <c r="AX122" i="1" s="1"/>
  <c r="AH123" i="1"/>
  <c r="AX123" i="1" s="1"/>
  <c r="AH124" i="1"/>
  <c r="AX124" i="1" s="1"/>
  <c r="AH125" i="1"/>
  <c r="AX125" i="1" s="1"/>
  <c r="AH126" i="1"/>
  <c r="AX126" i="1" s="1"/>
  <c r="AH127" i="1"/>
  <c r="AX127" i="1" s="1"/>
  <c r="AH128" i="1"/>
  <c r="AX128" i="1" s="1"/>
  <c r="AH129" i="1"/>
  <c r="AX129" i="1" s="1"/>
  <c r="AH130" i="1"/>
  <c r="AX130" i="1" s="1"/>
  <c r="AH131" i="1"/>
  <c r="AX131" i="1" s="1"/>
  <c r="AH132" i="1"/>
  <c r="AX132" i="1" s="1"/>
  <c r="AH133" i="1"/>
  <c r="AX133" i="1" s="1"/>
  <c r="AH134" i="1"/>
  <c r="AX134" i="1" s="1"/>
  <c r="AH135" i="1"/>
  <c r="AX135" i="1" s="1"/>
  <c r="AH136" i="1"/>
  <c r="AX136" i="1" s="1"/>
  <c r="AH137" i="1"/>
  <c r="AX137" i="1" s="1"/>
  <c r="AH138" i="1"/>
  <c r="AX138" i="1" s="1"/>
  <c r="AH139" i="1"/>
  <c r="AX139" i="1" s="1"/>
  <c r="AH140" i="1"/>
  <c r="AX140" i="1" s="1"/>
  <c r="AH141" i="1"/>
  <c r="AX141" i="1" s="1"/>
  <c r="AH142" i="1"/>
  <c r="AX142" i="1" s="1"/>
  <c r="AH143" i="1"/>
  <c r="AX143" i="1" s="1"/>
  <c r="AH144" i="1"/>
  <c r="AX144" i="1" s="1"/>
  <c r="AH145" i="1"/>
  <c r="AX145" i="1" s="1"/>
  <c r="AH146" i="1"/>
  <c r="AX146" i="1" s="1"/>
  <c r="AH147" i="1"/>
  <c r="AX147" i="1" s="1"/>
  <c r="AH148" i="1"/>
  <c r="AX148" i="1" s="1"/>
  <c r="AH149" i="1"/>
  <c r="AX149" i="1" s="1"/>
  <c r="AH150" i="1"/>
  <c r="AX150" i="1" s="1"/>
  <c r="AH151" i="1"/>
  <c r="AX151" i="1" s="1"/>
  <c r="AH2" i="1"/>
  <c r="AX2" i="1" s="1"/>
  <c r="T138" i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S150" i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S149" i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S148" i="1"/>
  <c r="T148" i="1" s="1"/>
  <c r="S147" i="1"/>
  <c r="T147" i="1" s="1"/>
  <c r="S146" i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S145" i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S144" i="1"/>
  <c r="S143" i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S142" i="1"/>
  <c r="S141" i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S140" i="1"/>
  <c r="T140" i="1" s="1"/>
  <c r="U140" i="1" s="1"/>
  <c r="S139" i="1"/>
  <c r="S138" i="1"/>
  <c r="S137" i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S136" i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S135" i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S134" i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S133" i="1"/>
  <c r="S132" i="1"/>
  <c r="S131" i="1"/>
  <c r="S130" i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S129" i="1"/>
  <c r="T129" i="1" s="1"/>
  <c r="S128" i="1"/>
  <c r="S127" i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S126" i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S125" i="1"/>
  <c r="S124" i="1"/>
  <c r="S123" i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S122" i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S121" i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S120" i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S119" i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S118" i="1"/>
  <c r="S117" i="1"/>
  <c r="S116" i="1"/>
  <c r="S115" i="1"/>
  <c r="S114" i="1"/>
  <c r="T114" i="1" s="1"/>
  <c r="S113" i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S112" i="1"/>
  <c r="S111" i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S110" i="1"/>
  <c r="S109" i="1"/>
  <c r="S108" i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S107" i="1"/>
  <c r="S106" i="1"/>
  <c r="S105" i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S104" i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S103" i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S102" i="1"/>
  <c r="S101" i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S100" i="1"/>
  <c r="S99" i="1"/>
  <c r="S98" i="1"/>
  <c r="S97" i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S96" i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S95" i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S94" i="1"/>
  <c r="S93" i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S92" i="1"/>
  <c r="S91" i="1"/>
  <c r="S90" i="1"/>
  <c r="S89" i="1"/>
  <c r="S88" i="1"/>
  <c r="S87" i="1"/>
  <c r="T87" i="1" s="1"/>
  <c r="S86" i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S85" i="1"/>
  <c r="S84" i="1"/>
  <c r="S83" i="1"/>
  <c r="S82" i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S81" i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S80" i="1"/>
  <c r="T80" i="1" s="1"/>
  <c r="U80" i="1" s="1"/>
  <c r="S79" i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S78" i="1"/>
  <c r="S77" i="1"/>
  <c r="S76" i="1"/>
  <c r="S75" i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S74" i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S73" i="1"/>
  <c r="S72" i="1"/>
  <c r="T72" i="1" s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S71" i="1"/>
  <c r="S70" i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S69" i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S68" i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S67" i="1"/>
  <c r="S66" i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S65" i="1"/>
  <c r="S64" i="1"/>
  <c r="S63" i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S62" i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S61" i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S60" i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S59" i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T56" i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S55" i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S54" i="1"/>
  <c r="S53" i="1"/>
  <c r="S52" i="1"/>
  <c r="S51" i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S50" i="1"/>
  <c r="S49" i="1"/>
  <c r="S48" i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S47" i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S46" i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S45" i="1"/>
  <c r="S44" i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S43" i="1"/>
  <c r="S42" i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S41" i="1"/>
  <c r="S40" i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S39" i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S38" i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S37" i="1"/>
  <c r="T37" i="1" s="1"/>
  <c r="U37" i="1" s="1"/>
  <c r="V37" i="1" s="1"/>
  <c r="W37" i="1" s="1"/>
  <c r="S36" i="1"/>
  <c r="S35" i="1"/>
  <c r="S34" i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S33" i="1"/>
  <c r="S32" i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S31" i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S30" i="1"/>
  <c r="S29" i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S28" i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S27" i="1"/>
  <c r="S26" i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S25" i="1"/>
  <c r="S24" i="1"/>
  <c r="T24" i="1" s="1"/>
  <c r="S23" i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S22" i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S21" i="1"/>
  <c r="S20" i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S19" i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S18" i="1"/>
  <c r="S17" i="1"/>
  <c r="S16" i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S15" i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S14" i="1"/>
  <c r="S13" i="1"/>
  <c r="S12" i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S11" i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S10" i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S9" i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S8" i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S7" i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S6" i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S5" i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S4" i="1"/>
  <c r="S3" i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S2" i="1"/>
  <c r="S151" i="1"/>
  <c r="AE123" i="1" l="1"/>
  <c r="AF123" i="1" s="1"/>
  <c r="AJ58" i="1"/>
  <c r="AI58" i="1"/>
  <c r="AT58" i="1"/>
  <c r="AU58" i="1" s="1"/>
  <c r="AV58" i="1" s="1"/>
  <c r="AW58" i="1" s="1"/>
  <c r="AS58" i="1"/>
  <c r="AR58" i="1"/>
  <c r="AO58" i="1"/>
  <c r="AQ58" i="1"/>
  <c r="AP58" i="1"/>
  <c r="AN58" i="1"/>
  <c r="AM58" i="1"/>
  <c r="AL58" i="1"/>
  <c r="AK58" i="1"/>
  <c r="AJ57" i="1"/>
  <c r="AI57" i="1"/>
  <c r="AT57" i="1"/>
  <c r="AU57" i="1" s="1"/>
  <c r="AV57" i="1" s="1"/>
  <c r="AW57" i="1" s="1"/>
  <c r="AO57" i="1"/>
  <c r="AS57" i="1"/>
  <c r="AN57" i="1"/>
  <c r="AK57" i="1"/>
  <c r="AR57" i="1"/>
  <c r="AQ57" i="1"/>
  <c r="AP57" i="1"/>
  <c r="AM57" i="1"/>
  <c r="AL57" i="1"/>
  <c r="AE5" i="1"/>
  <c r="AF5" i="1" s="1"/>
  <c r="AL5" i="1" s="1"/>
  <c r="AE110" i="1"/>
  <c r="AF110" i="1" s="1"/>
  <c r="AS110" i="1" s="1"/>
  <c r="T21" i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136" i="1"/>
  <c r="AF136" i="1" s="1"/>
  <c r="AQ136" i="1" s="1"/>
  <c r="T110" i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T91" i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T71" i="1"/>
  <c r="U71" i="1" s="1"/>
  <c r="V71" i="1" s="1"/>
  <c r="W71" i="1" s="1"/>
  <c r="X71" i="1" s="1"/>
  <c r="Y71" i="1" s="1"/>
  <c r="Z71" i="1" s="1"/>
  <c r="AA71" i="1" s="1"/>
  <c r="AB71" i="1" s="1"/>
  <c r="AC71" i="1" s="1"/>
  <c r="AD71" i="1" s="1"/>
  <c r="T132" i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40" i="1"/>
  <c r="AF40" i="1" s="1"/>
  <c r="AO40" i="1" s="1"/>
  <c r="AE56" i="1"/>
  <c r="AF56" i="1" s="1"/>
  <c r="AI56" i="1" s="1"/>
  <c r="AE146" i="1"/>
  <c r="AF146" i="1" s="1"/>
  <c r="AM146" i="1" s="1"/>
  <c r="T142" i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59" i="1"/>
  <c r="AF59" i="1" s="1"/>
  <c r="AS123" i="1"/>
  <c r="AK123" i="1"/>
  <c r="AO123" i="1"/>
  <c r="AN123" i="1"/>
  <c r="AM123" i="1"/>
  <c r="AL123" i="1"/>
  <c r="AJ123" i="1"/>
  <c r="AI123" i="1"/>
  <c r="AR123" i="1"/>
  <c r="AQ123" i="1"/>
  <c r="AP123" i="1"/>
  <c r="AT123" i="1"/>
  <c r="AU123" i="1" s="1"/>
  <c r="AV123" i="1" s="1"/>
  <c r="AW123" i="1" s="1"/>
  <c r="U147" i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/>
  <c r="AF147" i="1" s="1"/>
  <c r="V140" i="1"/>
  <c r="W140" i="1" s="1"/>
  <c r="X140" i="1" s="1"/>
  <c r="Y140" i="1" s="1"/>
  <c r="Z140" i="1" s="1"/>
  <c r="AA140" i="1" s="1"/>
  <c r="AB140" i="1" s="1"/>
  <c r="AC140" i="1" s="1"/>
  <c r="AD140" i="1" s="1"/>
  <c r="U148" i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/>
  <c r="AF148" i="1" s="1"/>
  <c r="X37" i="1"/>
  <c r="Y37" i="1" s="1"/>
  <c r="Z37" i="1" s="1"/>
  <c r="AA37" i="1" s="1"/>
  <c r="AB37" i="1" s="1"/>
  <c r="AC37" i="1" s="1"/>
  <c r="AD37" i="1" s="1"/>
  <c r="U87" i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V80" i="1"/>
  <c r="W80" i="1" s="1"/>
  <c r="X80" i="1" s="1"/>
  <c r="Y80" i="1" s="1"/>
  <c r="Z80" i="1" s="1"/>
  <c r="AA80" i="1" s="1"/>
  <c r="AB80" i="1" s="1"/>
  <c r="AC80" i="1" s="1"/>
  <c r="AD80" i="1" s="1"/>
  <c r="AE104" i="1"/>
  <c r="AF104" i="1" s="1"/>
  <c r="AN136" i="1"/>
  <c r="AM136" i="1"/>
  <c r="AL136" i="1"/>
  <c r="AR136" i="1"/>
  <c r="AS136" i="1"/>
  <c r="AK136" i="1"/>
  <c r="AJ136" i="1"/>
  <c r="AI136" i="1"/>
  <c r="U129" i="1"/>
  <c r="V129" i="1" s="1"/>
  <c r="W129" i="1" s="1"/>
  <c r="X129" i="1" s="1"/>
  <c r="Y129" i="1" s="1"/>
  <c r="Z129" i="1" s="1"/>
  <c r="AA129" i="1" s="1"/>
  <c r="AB129" i="1" s="1"/>
  <c r="AC129" i="1" s="1"/>
  <c r="AD129" i="1" s="1"/>
  <c r="U24" i="1"/>
  <c r="V24" i="1" s="1"/>
  <c r="W24" i="1" s="1"/>
  <c r="X24" i="1" s="1"/>
  <c r="Y24" i="1" s="1"/>
  <c r="Z24" i="1" s="1"/>
  <c r="AA24" i="1" s="1"/>
  <c r="AB24" i="1" s="1"/>
  <c r="AC24" i="1" s="1"/>
  <c r="AD24" i="1" s="1"/>
  <c r="AE24" i="1"/>
  <c r="AF24" i="1" s="1"/>
  <c r="U114" i="1"/>
  <c r="V114" i="1" s="1"/>
  <c r="W114" i="1" s="1"/>
  <c r="X114" i="1" s="1"/>
  <c r="Y114" i="1" s="1"/>
  <c r="Z114" i="1" s="1"/>
  <c r="AA114" i="1" s="1"/>
  <c r="AB114" i="1" s="1"/>
  <c r="AC114" i="1" s="1"/>
  <c r="AD114" i="1" s="1"/>
  <c r="T133" i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T99" i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T49" i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T17" i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49" i="1"/>
  <c r="AF149" i="1" s="1"/>
  <c r="AE141" i="1"/>
  <c r="AF141" i="1" s="1"/>
  <c r="AE97" i="1"/>
  <c r="AF97" i="1" s="1"/>
  <c r="AE69" i="1"/>
  <c r="AF69" i="1" s="1"/>
  <c r="AE9" i="1"/>
  <c r="AF9" i="1" s="1"/>
  <c r="AE10" i="1"/>
  <c r="AF10" i="1" s="1"/>
  <c r="AE26" i="1"/>
  <c r="AF26" i="1" s="1"/>
  <c r="AE34" i="1"/>
  <c r="AF34" i="1" s="1"/>
  <c r="AE42" i="1"/>
  <c r="AF42" i="1" s="1"/>
  <c r="AE60" i="1"/>
  <c r="AF60" i="1" s="1"/>
  <c r="AE68" i="1"/>
  <c r="AF68" i="1" s="1"/>
  <c r="T151" i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T128" i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T124" i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T116" i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T98" i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T92" i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T83" i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T76" i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T64" i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T53" i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T35" i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51" i="1"/>
  <c r="AF51" i="1" s="1"/>
  <c r="AE8" i="1"/>
  <c r="AF8" i="1" s="1"/>
  <c r="AE138" i="1"/>
  <c r="AF138" i="1" s="1"/>
  <c r="AE108" i="1"/>
  <c r="AF108" i="1" s="1"/>
  <c r="AE19" i="1"/>
  <c r="AF19" i="1" s="1"/>
  <c r="T43" i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28" i="1"/>
  <c r="AF28" i="1" s="1"/>
  <c r="T4" i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29" i="1"/>
  <c r="AF29" i="1" s="1"/>
  <c r="AE63" i="1"/>
  <c r="AF63" i="1" s="1"/>
  <c r="AE79" i="1"/>
  <c r="AF79" i="1" s="1"/>
  <c r="AE95" i="1"/>
  <c r="AF95" i="1" s="1"/>
  <c r="AE103" i="1"/>
  <c r="AF103" i="1" s="1"/>
  <c r="AE111" i="1"/>
  <c r="AF111" i="1" s="1"/>
  <c r="AE119" i="1"/>
  <c r="AF119" i="1" s="1"/>
  <c r="AE135" i="1"/>
  <c r="AF135" i="1" s="1"/>
  <c r="T2" i="1"/>
  <c r="U2" i="1" s="1"/>
  <c r="V2" i="1" s="1"/>
  <c r="W2" i="1" s="1"/>
  <c r="X2" i="1" s="1"/>
  <c r="Y2" i="1" s="1"/>
  <c r="Z2" i="1" s="1"/>
  <c r="AA2" i="1" s="1"/>
  <c r="AB2" i="1" s="1"/>
  <c r="AC2" i="1" s="1"/>
  <c r="AD2" i="1" s="1"/>
  <c r="T131" i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T118" i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T102" i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T90" i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T85" i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T52" i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T30" i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T25" i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121" i="1"/>
  <c r="AF121" i="1" s="1"/>
  <c r="AE75" i="1"/>
  <c r="AF75" i="1" s="1"/>
  <c r="AE46" i="1"/>
  <c r="AF46" i="1" s="1"/>
  <c r="AE3" i="1"/>
  <c r="AF3" i="1" s="1"/>
  <c r="AE93" i="1"/>
  <c r="AF93" i="1" s="1"/>
  <c r="T27" i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12" i="1"/>
  <c r="AF12" i="1" s="1"/>
  <c r="AE62" i="1"/>
  <c r="AF62" i="1" s="1"/>
  <c r="T115" i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6" i="1"/>
  <c r="AF6" i="1" s="1"/>
  <c r="AE22" i="1"/>
  <c r="AF22" i="1" s="1"/>
  <c r="AE38" i="1"/>
  <c r="AF38" i="1" s="1"/>
  <c r="AE72" i="1"/>
  <c r="AF72" i="1" s="1"/>
  <c r="AE96" i="1"/>
  <c r="AF96" i="1" s="1"/>
  <c r="AE120" i="1"/>
  <c r="AF120" i="1" s="1"/>
  <c r="T144" i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T77" i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T41" i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T33" i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T14" i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34" i="1"/>
  <c r="AF134" i="1" s="1"/>
  <c r="AE74" i="1"/>
  <c r="AF74" i="1" s="1"/>
  <c r="AE101" i="1"/>
  <c r="AF101" i="1" s="1"/>
  <c r="AE20" i="1"/>
  <c r="AF20" i="1" s="1"/>
  <c r="AE70" i="1"/>
  <c r="AF70" i="1" s="1"/>
  <c r="AE150" i="1"/>
  <c r="AF150" i="1" s="1"/>
  <c r="AE7" i="1"/>
  <c r="AF7" i="1" s="1"/>
  <c r="AE15" i="1"/>
  <c r="AF15" i="1" s="1"/>
  <c r="AE23" i="1"/>
  <c r="AF23" i="1" s="1"/>
  <c r="AE31" i="1"/>
  <c r="AF31" i="1" s="1"/>
  <c r="AE39" i="1"/>
  <c r="AF39" i="1" s="1"/>
  <c r="AE47" i="1"/>
  <c r="AF47" i="1" s="1"/>
  <c r="AE55" i="1"/>
  <c r="AF55" i="1" s="1"/>
  <c r="AE81" i="1"/>
  <c r="AF81" i="1" s="1"/>
  <c r="AE105" i="1"/>
  <c r="AF105" i="1" s="1"/>
  <c r="AE113" i="1"/>
  <c r="AF113" i="1" s="1"/>
  <c r="AE137" i="1"/>
  <c r="AF137" i="1" s="1"/>
  <c r="AE145" i="1"/>
  <c r="AF145" i="1" s="1"/>
  <c r="T139" i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T125" i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T117" i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T107" i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T94" i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T89" i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T73" i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T65" i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T50" i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T45" i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T18" i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T13" i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43" i="1"/>
  <c r="AF143" i="1" s="1"/>
  <c r="AE11" i="1"/>
  <c r="AF11" i="1" s="1"/>
  <c r="AE61" i="1"/>
  <c r="AF61" i="1" s="1"/>
  <c r="AE127" i="1"/>
  <c r="AF127" i="1" s="1"/>
  <c r="AE44" i="1"/>
  <c r="AF44" i="1" s="1"/>
  <c r="AE86" i="1"/>
  <c r="AF86" i="1" s="1"/>
  <c r="AE126" i="1"/>
  <c r="AF126" i="1" s="1"/>
  <c r="T109" i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T78" i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T67" i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16" i="1"/>
  <c r="AF16" i="1" s="1"/>
  <c r="AE32" i="1"/>
  <c r="AF32" i="1" s="1"/>
  <c r="AE48" i="1"/>
  <c r="AF48" i="1" s="1"/>
  <c r="AE66" i="1"/>
  <c r="AF66" i="1" s="1"/>
  <c r="AE82" i="1"/>
  <c r="AF82" i="1" s="1"/>
  <c r="AE122" i="1"/>
  <c r="AF122" i="1" s="1"/>
  <c r="AE130" i="1"/>
  <c r="AF130" i="1" s="1"/>
  <c r="T112" i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T106" i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T100" i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T88" i="1"/>
  <c r="U88" i="1" s="1"/>
  <c r="V88" i="1" s="1"/>
  <c r="W88" i="1" s="1"/>
  <c r="X88" i="1" s="1"/>
  <c r="Y88" i="1" s="1"/>
  <c r="Z88" i="1" s="1"/>
  <c r="AA88" i="1" s="1"/>
  <c r="AB88" i="1" s="1"/>
  <c r="AC88" i="1" s="1"/>
  <c r="AD88" i="1" s="1"/>
  <c r="T84" i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T54" i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T36" i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M56" i="1" l="1"/>
  <c r="AN56" i="1"/>
  <c r="AI146" i="1"/>
  <c r="AJ56" i="1"/>
  <c r="AL56" i="1"/>
  <c r="AO56" i="1"/>
  <c r="AP56" i="1"/>
  <c r="AM5" i="1"/>
  <c r="AT40" i="1"/>
  <c r="AU40" i="1" s="1"/>
  <c r="AV40" i="1" s="1"/>
  <c r="AW40" i="1" s="1"/>
  <c r="AQ56" i="1"/>
  <c r="AN5" i="1"/>
  <c r="AR40" i="1"/>
  <c r="AP40" i="1"/>
  <c r="AJ146" i="1"/>
  <c r="AK146" i="1"/>
  <c r="AL146" i="1"/>
  <c r="AJ40" i="1"/>
  <c r="AP146" i="1"/>
  <c r="AL40" i="1"/>
  <c r="AQ5" i="1"/>
  <c r="AR56" i="1"/>
  <c r="AI40" i="1"/>
  <c r="AT56" i="1"/>
  <c r="AU56" i="1" s="1"/>
  <c r="AV56" i="1" s="1"/>
  <c r="AW56" i="1" s="1"/>
  <c r="AQ40" i="1"/>
  <c r="AI110" i="1"/>
  <c r="AT110" i="1"/>
  <c r="AU110" i="1" s="1"/>
  <c r="AV110" i="1" s="1"/>
  <c r="AW110" i="1" s="1"/>
  <c r="AK110" i="1"/>
  <c r="AO5" i="1"/>
  <c r="AP5" i="1"/>
  <c r="AT146" i="1"/>
  <c r="AU146" i="1" s="1"/>
  <c r="AV146" i="1" s="1"/>
  <c r="AW146" i="1" s="1"/>
  <c r="AO136" i="1"/>
  <c r="AO110" i="1"/>
  <c r="AO146" i="1"/>
  <c r="AE129" i="1"/>
  <c r="AF129" i="1" s="1"/>
  <c r="AS129" i="1" s="1"/>
  <c r="AP110" i="1"/>
  <c r="AQ110" i="1"/>
  <c r="AI5" i="1"/>
  <c r="AS5" i="1"/>
  <c r="AK40" i="1"/>
  <c r="AE4" i="1"/>
  <c r="AF4" i="1" s="1"/>
  <c r="AL4" i="1" s="1"/>
  <c r="AK5" i="1"/>
  <c r="AR146" i="1"/>
  <c r="AT136" i="1"/>
  <c r="AU136" i="1" s="1"/>
  <c r="AV136" i="1" s="1"/>
  <c r="AW136" i="1" s="1"/>
  <c r="AR110" i="1"/>
  <c r="AJ5" i="1"/>
  <c r="AS146" i="1"/>
  <c r="AK56" i="1"/>
  <c r="AN40" i="1"/>
  <c r="AP136" i="1"/>
  <c r="AE71" i="1"/>
  <c r="AF71" i="1" s="1"/>
  <c r="AJ71" i="1" s="1"/>
  <c r="AE2" i="1"/>
  <c r="AT5" i="1"/>
  <c r="AU5" i="1" s="1"/>
  <c r="AV5" i="1" s="1"/>
  <c r="AW5" i="1" s="1"/>
  <c r="AL110" i="1"/>
  <c r="AM110" i="1"/>
  <c r="AN146" i="1"/>
  <c r="AN110" i="1"/>
  <c r="AQ146" i="1"/>
  <c r="AS40" i="1"/>
  <c r="AJ110" i="1"/>
  <c r="AM40" i="1"/>
  <c r="AR5" i="1"/>
  <c r="AS56" i="1"/>
  <c r="AE142" i="1"/>
  <c r="AF142" i="1" s="1"/>
  <c r="AM142" i="1" s="1"/>
  <c r="AE78" i="1"/>
  <c r="AF78" i="1" s="1"/>
  <c r="AR78" i="1" s="1"/>
  <c r="AE100" i="1"/>
  <c r="AF100" i="1" s="1"/>
  <c r="AT100" i="1" s="1"/>
  <c r="AU100" i="1" s="1"/>
  <c r="AV100" i="1" s="1"/>
  <c r="AW100" i="1" s="1"/>
  <c r="AE18" i="1"/>
  <c r="AF18" i="1" s="1"/>
  <c r="AT18" i="1" s="1"/>
  <c r="AU18" i="1" s="1"/>
  <c r="AV18" i="1" s="1"/>
  <c r="AW18" i="1" s="1"/>
  <c r="AE80" i="1"/>
  <c r="AF80" i="1" s="1"/>
  <c r="AP80" i="1" s="1"/>
  <c r="AE52" i="1"/>
  <c r="AF52" i="1" s="1"/>
  <c r="AT52" i="1" s="1"/>
  <c r="AU52" i="1" s="1"/>
  <c r="AV52" i="1" s="1"/>
  <c r="AW52" i="1" s="1"/>
  <c r="AE84" i="1"/>
  <c r="AF84" i="1" s="1"/>
  <c r="AP84" i="1" s="1"/>
  <c r="AE114" i="1"/>
  <c r="AF114" i="1" s="1"/>
  <c r="AO114" i="1" s="1"/>
  <c r="AE21" i="1"/>
  <c r="AF21" i="1" s="1"/>
  <c r="AE131" i="1"/>
  <c r="AF131" i="1" s="1"/>
  <c r="AN131" i="1" s="1"/>
  <c r="AE112" i="1"/>
  <c r="AF112" i="1" s="1"/>
  <c r="AK112" i="1" s="1"/>
  <c r="AE117" i="1"/>
  <c r="AF117" i="1" s="1"/>
  <c r="AR117" i="1" s="1"/>
  <c r="AE50" i="1"/>
  <c r="AF50" i="1" s="1"/>
  <c r="AI50" i="1" s="1"/>
  <c r="AE107" i="1"/>
  <c r="AF107" i="1" s="1"/>
  <c r="AM107" i="1" s="1"/>
  <c r="AE128" i="1"/>
  <c r="AF128" i="1" s="1"/>
  <c r="AM128" i="1" s="1"/>
  <c r="AE36" i="1"/>
  <c r="AF36" i="1" s="1"/>
  <c r="AJ36" i="1" s="1"/>
  <c r="AE99" i="1"/>
  <c r="AF99" i="1" s="1"/>
  <c r="AN99" i="1" s="1"/>
  <c r="AE106" i="1"/>
  <c r="AF106" i="1" s="1"/>
  <c r="AJ106" i="1" s="1"/>
  <c r="AE124" i="1"/>
  <c r="AF124" i="1" s="1"/>
  <c r="AM124" i="1" s="1"/>
  <c r="AE64" i="1"/>
  <c r="AF64" i="1" s="1"/>
  <c r="AM64" i="1" s="1"/>
  <c r="AE132" i="1"/>
  <c r="AF132" i="1" s="1"/>
  <c r="AE54" i="1"/>
  <c r="AF54" i="1" s="1"/>
  <c r="AI54" i="1" s="1"/>
  <c r="AE116" i="1"/>
  <c r="AF116" i="1" s="1"/>
  <c r="AI116" i="1" s="1"/>
  <c r="AE14" i="1"/>
  <c r="AF14" i="1" s="1"/>
  <c r="AT14" i="1" s="1"/>
  <c r="AU14" i="1" s="1"/>
  <c r="AV14" i="1" s="1"/>
  <c r="AW14" i="1" s="1"/>
  <c r="AE91" i="1"/>
  <c r="AF91" i="1" s="1"/>
  <c r="AM47" i="1"/>
  <c r="AT47" i="1"/>
  <c r="AU47" i="1" s="1"/>
  <c r="AV47" i="1" s="1"/>
  <c r="AW47" i="1" s="1"/>
  <c r="AL47" i="1"/>
  <c r="AS47" i="1"/>
  <c r="AK47" i="1"/>
  <c r="AR47" i="1"/>
  <c r="AJ47" i="1"/>
  <c r="AQ47" i="1"/>
  <c r="AI47" i="1"/>
  <c r="AO47" i="1"/>
  <c r="AP47" i="1"/>
  <c r="AN47" i="1"/>
  <c r="AT141" i="1"/>
  <c r="AU141" i="1" s="1"/>
  <c r="AV141" i="1" s="1"/>
  <c r="AW141" i="1" s="1"/>
  <c r="AL141" i="1"/>
  <c r="AS141" i="1"/>
  <c r="AK141" i="1"/>
  <c r="AP141" i="1"/>
  <c r="AR141" i="1"/>
  <c r="AQ141" i="1"/>
  <c r="AJ141" i="1"/>
  <c r="AI141" i="1"/>
  <c r="AO141" i="1"/>
  <c r="AN141" i="1"/>
  <c r="AM141" i="1"/>
  <c r="AQ70" i="1"/>
  <c r="AI70" i="1"/>
  <c r="AO70" i="1"/>
  <c r="AR70" i="1"/>
  <c r="AP70" i="1"/>
  <c r="AN70" i="1"/>
  <c r="AM70" i="1"/>
  <c r="AL70" i="1"/>
  <c r="AT70" i="1"/>
  <c r="AU70" i="1" s="1"/>
  <c r="AV70" i="1" s="1"/>
  <c r="AW70" i="1" s="1"/>
  <c r="AJ70" i="1"/>
  <c r="AS70" i="1"/>
  <c r="AK70" i="1"/>
  <c r="AN95" i="1"/>
  <c r="AS95" i="1"/>
  <c r="AJ95" i="1"/>
  <c r="AR95" i="1"/>
  <c r="AI95" i="1"/>
  <c r="AQ95" i="1"/>
  <c r="AP95" i="1"/>
  <c r="AO95" i="1"/>
  <c r="AT95" i="1"/>
  <c r="AU95" i="1" s="1"/>
  <c r="AV95" i="1" s="1"/>
  <c r="AW95" i="1" s="1"/>
  <c r="AM95" i="1"/>
  <c r="AL95" i="1"/>
  <c r="AK95" i="1"/>
  <c r="AN97" i="1"/>
  <c r="AM97" i="1"/>
  <c r="AQ97" i="1"/>
  <c r="AP97" i="1"/>
  <c r="AO97" i="1"/>
  <c r="AL97" i="1"/>
  <c r="AK97" i="1"/>
  <c r="AT97" i="1"/>
  <c r="AU97" i="1" s="1"/>
  <c r="AV97" i="1" s="1"/>
  <c r="AW97" i="1" s="1"/>
  <c r="AS97" i="1"/>
  <c r="AR97" i="1"/>
  <c r="AJ97" i="1"/>
  <c r="AI97" i="1"/>
  <c r="AT24" i="1"/>
  <c r="AU24" i="1" s="1"/>
  <c r="AV24" i="1" s="1"/>
  <c r="AW24" i="1" s="1"/>
  <c r="AL24" i="1"/>
  <c r="AS24" i="1"/>
  <c r="AK24" i="1"/>
  <c r="AR24" i="1"/>
  <c r="AJ24" i="1"/>
  <c r="AQ24" i="1"/>
  <c r="AI24" i="1"/>
  <c r="AN24" i="1"/>
  <c r="AP24" i="1"/>
  <c r="AO24" i="1"/>
  <c r="AM24" i="1"/>
  <c r="AP148" i="1"/>
  <c r="AO148" i="1"/>
  <c r="AT148" i="1"/>
  <c r="AU148" i="1" s="1"/>
  <c r="AV148" i="1" s="1"/>
  <c r="AW148" i="1" s="1"/>
  <c r="AL148" i="1"/>
  <c r="AM148" i="1"/>
  <c r="AK148" i="1"/>
  <c r="AJ148" i="1"/>
  <c r="AI148" i="1"/>
  <c r="AS148" i="1"/>
  <c r="AQ148" i="1"/>
  <c r="AN148" i="1"/>
  <c r="AR148" i="1"/>
  <c r="AO122" i="1"/>
  <c r="AR122" i="1"/>
  <c r="AI122" i="1"/>
  <c r="AQ122" i="1"/>
  <c r="AP122" i="1"/>
  <c r="AK122" i="1"/>
  <c r="AJ122" i="1"/>
  <c r="AT122" i="1"/>
  <c r="AU122" i="1" s="1"/>
  <c r="AV122" i="1" s="1"/>
  <c r="AW122" i="1" s="1"/>
  <c r="AS122" i="1"/>
  <c r="AN122" i="1"/>
  <c r="AM122" i="1"/>
  <c r="AL122" i="1"/>
  <c r="AP11" i="1"/>
  <c r="AO11" i="1"/>
  <c r="AN11" i="1"/>
  <c r="AM11" i="1"/>
  <c r="AR11" i="1"/>
  <c r="AJ11" i="1"/>
  <c r="AQ11" i="1"/>
  <c r="AL11" i="1"/>
  <c r="AK11" i="1"/>
  <c r="AI11" i="1"/>
  <c r="AT11" i="1"/>
  <c r="AU11" i="1" s="1"/>
  <c r="AV11" i="1" s="1"/>
  <c r="AW11" i="1" s="1"/>
  <c r="AS11" i="1"/>
  <c r="AT20" i="1"/>
  <c r="AU20" i="1" s="1"/>
  <c r="AV20" i="1" s="1"/>
  <c r="AW20" i="1" s="1"/>
  <c r="AL20" i="1"/>
  <c r="AS20" i="1"/>
  <c r="AK20" i="1"/>
  <c r="AR20" i="1"/>
  <c r="AJ20" i="1"/>
  <c r="AQ20" i="1"/>
  <c r="AI20" i="1"/>
  <c r="AN20" i="1"/>
  <c r="AO20" i="1"/>
  <c r="AM20" i="1"/>
  <c r="AP20" i="1"/>
  <c r="AT12" i="1"/>
  <c r="AU12" i="1" s="1"/>
  <c r="AV12" i="1" s="1"/>
  <c r="AW12" i="1" s="1"/>
  <c r="AL12" i="1"/>
  <c r="AS12" i="1"/>
  <c r="AK12" i="1"/>
  <c r="AR12" i="1"/>
  <c r="AJ12" i="1"/>
  <c r="AQ12" i="1"/>
  <c r="AI12" i="1"/>
  <c r="AN12" i="1"/>
  <c r="AM12" i="1"/>
  <c r="AP12" i="1"/>
  <c r="AO12" i="1"/>
  <c r="AM79" i="1"/>
  <c r="AT79" i="1"/>
  <c r="AU79" i="1" s="1"/>
  <c r="AV79" i="1" s="1"/>
  <c r="AW79" i="1" s="1"/>
  <c r="AL79" i="1"/>
  <c r="AS79" i="1"/>
  <c r="AK79" i="1"/>
  <c r="AI79" i="1"/>
  <c r="AR79" i="1"/>
  <c r="AQ79" i="1"/>
  <c r="AP79" i="1"/>
  <c r="AN79" i="1"/>
  <c r="AO79" i="1"/>
  <c r="AJ79" i="1"/>
  <c r="AQ42" i="1"/>
  <c r="AI42" i="1"/>
  <c r="AP42" i="1"/>
  <c r="AO42" i="1"/>
  <c r="AN42" i="1"/>
  <c r="AM42" i="1"/>
  <c r="AS42" i="1"/>
  <c r="AK42" i="1"/>
  <c r="AT42" i="1"/>
  <c r="AU42" i="1" s="1"/>
  <c r="AV42" i="1" s="1"/>
  <c r="AW42" i="1" s="1"/>
  <c r="AR42" i="1"/>
  <c r="AL42" i="1"/>
  <c r="AJ42" i="1"/>
  <c r="AM39" i="1"/>
  <c r="AT39" i="1"/>
  <c r="AU39" i="1" s="1"/>
  <c r="AV39" i="1" s="1"/>
  <c r="AW39" i="1" s="1"/>
  <c r="AL39" i="1"/>
  <c r="AS39" i="1"/>
  <c r="AK39" i="1"/>
  <c r="AR39" i="1"/>
  <c r="AJ39" i="1"/>
  <c r="AQ39" i="1"/>
  <c r="AI39" i="1"/>
  <c r="AO39" i="1"/>
  <c r="AP39" i="1"/>
  <c r="AN39" i="1"/>
  <c r="AQ38" i="1"/>
  <c r="AI38" i="1"/>
  <c r="AP38" i="1"/>
  <c r="AO38" i="1"/>
  <c r="AN38" i="1"/>
  <c r="AM38" i="1"/>
  <c r="AS38" i="1"/>
  <c r="AK38" i="1"/>
  <c r="AL38" i="1"/>
  <c r="AR38" i="1"/>
  <c r="AJ38" i="1"/>
  <c r="AT38" i="1"/>
  <c r="AU38" i="1" s="1"/>
  <c r="AV38" i="1" s="1"/>
  <c r="AW38" i="1" s="1"/>
  <c r="AQ34" i="1"/>
  <c r="AI34" i="1"/>
  <c r="AP34" i="1"/>
  <c r="AO34" i="1"/>
  <c r="AN34" i="1"/>
  <c r="AM34" i="1"/>
  <c r="AK34" i="1"/>
  <c r="AJ34" i="1"/>
  <c r="AR34" i="1"/>
  <c r="AT34" i="1"/>
  <c r="AU34" i="1" s="1"/>
  <c r="AV34" i="1" s="1"/>
  <c r="AW34" i="1" s="1"/>
  <c r="AS34" i="1"/>
  <c r="AL34" i="1"/>
  <c r="AT149" i="1"/>
  <c r="AU149" i="1" s="1"/>
  <c r="AV149" i="1" s="1"/>
  <c r="AW149" i="1" s="1"/>
  <c r="AL149" i="1"/>
  <c r="AS149" i="1"/>
  <c r="AK149" i="1"/>
  <c r="AP149" i="1"/>
  <c r="AN149" i="1"/>
  <c r="AM149" i="1"/>
  <c r="AJ149" i="1"/>
  <c r="AQ149" i="1"/>
  <c r="AO149" i="1"/>
  <c r="AI149" i="1"/>
  <c r="AR149" i="1"/>
  <c r="AQ129" i="1"/>
  <c r="AI129" i="1"/>
  <c r="AR82" i="1"/>
  <c r="AJ82" i="1"/>
  <c r="AT82" i="1"/>
  <c r="AU82" i="1" s="1"/>
  <c r="AV82" i="1" s="1"/>
  <c r="AW82" i="1" s="1"/>
  <c r="AK82" i="1"/>
  <c r="AS82" i="1"/>
  <c r="AI82" i="1"/>
  <c r="AQ82" i="1"/>
  <c r="AP82" i="1"/>
  <c r="AO82" i="1"/>
  <c r="AN82" i="1"/>
  <c r="AM82" i="1"/>
  <c r="AL82" i="1"/>
  <c r="AO126" i="1"/>
  <c r="AP126" i="1"/>
  <c r="AN126" i="1"/>
  <c r="AM126" i="1"/>
  <c r="AT126" i="1"/>
  <c r="AU126" i="1" s="1"/>
  <c r="AV126" i="1" s="1"/>
  <c r="AW126" i="1" s="1"/>
  <c r="AS126" i="1"/>
  <c r="AR126" i="1"/>
  <c r="AI126" i="1"/>
  <c r="AQ126" i="1"/>
  <c r="AK126" i="1"/>
  <c r="AJ126" i="1"/>
  <c r="AL126" i="1"/>
  <c r="AT143" i="1"/>
  <c r="AU143" i="1" s="1"/>
  <c r="AV143" i="1" s="1"/>
  <c r="AW143" i="1" s="1"/>
  <c r="AL143" i="1"/>
  <c r="AS143" i="1"/>
  <c r="AK143" i="1"/>
  <c r="AP143" i="1"/>
  <c r="AI143" i="1"/>
  <c r="AR143" i="1"/>
  <c r="AQ143" i="1"/>
  <c r="AO143" i="1"/>
  <c r="AM143" i="1"/>
  <c r="AJ143" i="1"/>
  <c r="AN143" i="1"/>
  <c r="AN105" i="1"/>
  <c r="AS105" i="1"/>
  <c r="AJ105" i="1"/>
  <c r="AR105" i="1"/>
  <c r="AI105" i="1"/>
  <c r="AQ105" i="1"/>
  <c r="AT105" i="1"/>
  <c r="AU105" i="1" s="1"/>
  <c r="AV105" i="1" s="1"/>
  <c r="AW105" i="1" s="1"/>
  <c r="AP105" i="1"/>
  <c r="AO105" i="1"/>
  <c r="AM105" i="1"/>
  <c r="AK105" i="1"/>
  <c r="AL105" i="1"/>
  <c r="AM31" i="1"/>
  <c r="AT31" i="1"/>
  <c r="AU31" i="1" s="1"/>
  <c r="AV31" i="1" s="1"/>
  <c r="AW31" i="1" s="1"/>
  <c r="AL31" i="1"/>
  <c r="AS31" i="1"/>
  <c r="AK31" i="1"/>
  <c r="AR31" i="1"/>
  <c r="AJ31" i="1"/>
  <c r="AQ31" i="1"/>
  <c r="AP31" i="1"/>
  <c r="AI31" i="1"/>
  <c r="AO31" i="1"/>
  <c r="AN31" i="1"/>
  <c r="AE144" i="1"/>
  <c r="AF144" i="1" s="1"/>
  <c r="AT22" i="1"/>
  <c r="AU22" i="1" s="1"/>
  <c r="AV22" i="1" s="1"/>
  <c r="AW22" i="1" s="1"/>
  <c r="AL22" i="1"/>
  <c r="AS22" i="1"/>
  <c r="AK22" i="1"/>
  <c r="AR22" i="1"/>
  <c r="AJ22" i="1"/>
  <c r="AQ22" i="1"/>
  <c r="AI22" i="1"/>
  <c r="AN22" i="1"/>
  <c r="AM22" i="1"/>
  <c r="AP22" i="1"/>
  <c r="AO22" i="1"/>
  <c r="AE125" i="1"/>
  <c r="AF125" i="1" s="1"/>
  <c r="AE45" i="1"/>
  <c r="AF45" i="1" s="1"/>
  <c r="AT8" i="1"/>
  <c r="AU8" i="1" s="1"/>
  <c r="AV8" i="1" s="1"/>
  <c r="AW8" i="1" s="1"/>
  <c r="AL8" i="1"/>
  <c r="AS8" i="1"/>
  <c r="AK8" i="1"/>
  <c r="AR8" i="1"/>
  <c r="AJ8" i="1"/>
  <c r="AQ8" i="1"/>
  <c r="AI8" i="1"/>
  <c r="AN8" i="1"/>
  <c r="AP8" i="1"/>
  <c r="AO8" i="1"/>
  <c r="AM8" i="1"/>
  <c r="AE92" i="1"/>
  <c r="AF92" i="1" s="1"/>
  <c r="AQ26" i="1"/>
  <c r="AP26" i="1"/>
  <c r="AO26" i="1"/>
  <c r="AN26" i="1"/>
  <c r="AS26" i="1"/>
  <c r="AR26" i="1"/>
  <c r="AM26" i="1"/>
  <c r="AL26" i="1"/>
  <c r="AI26" i="1"/>
  <c r="AJ26" i="1"/>
  <c r="AT26" i="1"/>
  <c r="AU26" i="1" s="1"/>
  <c r="AV26" i="1" s="1"/>
  <c r="AW26" i="1" s="1"/>
  <c r="AK26" i="1"/>
  <c r="AE83" i="1"/>
  <c r="AF83" i="1" s="1"/>
  <c r="AE30" i="1"/>
  <c r="AF30" i="1" s="1"/>
  <c r="AE37" i="1"/>
  <c r="AF37" i="1" s="1"/>
  <c r="AM61" i="1"/>
  <c r="AT61" i="1"/>
  <c r="AU61" i="1" s="1"/>
  <c r="AV61" i="1" s="1"/>
  <c r="AW61" i="1" s="1"/>
  <c r="AL61" i="1"/>
  <c r="AS61" i="1"/>
  <c r="AK61" i="1"/>
  <c r="AR61" i="1"/>
  <c r="AJ61" i="1"/>
  <c r="AQ61" i="1"/>
  <c r="AI61" i="1"/>
  <c r="AO61" i="1"/>
  <c r="AP61" i="1"/>
  <c r="AN61" i="1"/>
  <c r="AN87" i="1"/>
  <c r="AO87" i="1"/>
  <c r="AM87" i="1"/>
  <c r="AL87" i="1"/>
  <c r="AT87" i="1"/>
  <c r="AU87" i="1" s="1"/>
  <c r="AV87" i="1" s="1"/>
  <c r="AW87" i="1" s="1"/>
  <c r="AK87" i="1"/>
  <c r="AS87" i="1"/>
  <c r="AJ87" i="1"/>
  <c r="AR87" i="1"/>
  <c r="AQ87" i="1"/>
  <c r="AP87" i="1"/>
  <c r="AI87" i="1"/>
  <c r="AR104" i="1"/>
  <c r="AJ104" i="1"/>
  <c r="AM104" i="1"/>
  <c r="AL104" i="1"/>
  <c r="AT104" i="1"/>
  <c r="AU104" i="1" s="1"/>
  <c r="AV104" i="1" s="1"/>
  <c r="AW104" i="1" s="1"/>
  <c r="AK104" i="1"/>
  <c r="AQ104" i="1"/>
  <c r="AP104" i="1"/>
  <c r="AO104" i="1"/>
  <c r="AN104" i="1"/>
  <c r="AI104" i="1"/>
  <c r="AS104" i="1"/>
  <c r="AM59" i="1"/>
  <c r="AT59" i="1"/>
  <c r="AU59" i="1" s="1"/>
  <c r="AV59" i="1" s="1"/>
  <c r="AW59" i="1" s="1"/>
  <c r="AL59" i="1"/>
  <c r="AS59" i="1"/>
  <c r="AK59" i="1"/>
  <c r="AR59" i="1"/>
  <c r="AJ59" i="1"/>
  <c r="AQ59" i="1"/>
  <c r="AI59" i="1"/>
  <c r="AO59" i="1"/>
  <c r="AP59" i="1"/>
  <c r="AN59" i="1"/>
  <c r="AO130" i="1"/>
  <c r="AM130" i="1"/>
  <c r="AL130" i="1"/>
  <c r="AT130" i="1"/>
  <c r="AU130" i="1" s="1"/>
  <c r="AV130" i="1" s="1"/>
  <c r="AW130" i="1" s="1"/>
  <c r="AK130" i="1"/>
  <c r="AQ130" i="1"/>
  <c r="AP130" i="1"/>
  <c r="AN130" i="1"/>
  <c r="AS130" i="1"/>
  <c r="AR130" i="1"/>
  <c r="AI130" i="1"/>
  <c r="AJ130" i="1"/>
  <c r="AM55" i="1"/>
  <c r="AT55" i="1"/>
  <c r="AU55" i="1" s="1"/>
  <c r="AV55" i="1" s="1"/>
  <c r="AW55" i="1" s="1"/>
  <c r="AL55" i="1"/>
  <c r="AS55" i="1"/>
  <c r="AK55" i="1"/>
  <c r="AR55" i="1"/>
  <c r="AJ55" i="1"/>
  <c r="AQ55" i="1"/>
  <c r="AI55" i="1"/>
  <c r="AO55" i="1"/>
  <c r="AP55" i="1"/>
  <c r="AN55" i="1"/>
  <c r="AQ46" i="1"/>
  <c r="AI46" i="1"/>
  <c r="AP46" i="1"/>
  <c r="AO46" i="1"/>
  <c r="AN46" i="1"/>
  <c r="AM46" i="1"/>
  <c r="AS46" i="1"/>
  <c r="AK46" i="1"/>
  <c r="AL46" i="1"/>
  <c r="AJ46" i="1"/>
  <c r="AT46" i="1"/>
  <c r="AU46" i="1" s="1"/>
  <c r="AV46" i="1" s="1"/>
  <c r="AW46" i="1" s="1"/>
  <c r="AR46" i="1"/>
  <c r="AQ50" i="1"/>
  <c r="AP50" i="1"/>
  <c r="AO50" i="1"/>
  <c r="AS50" i="1"/>
  <c r="AK50" i="1"/>
  <c r="AT50" i="1"/>
  <c r="AU50" i="1" s="1"/>
  <c r="AV50" i="1" s="1"/>
  <c r="AW50" i="1" s="1"/>
  <c r="AR50" i="1"/>
  <c r="AM75" i="1"/>
  <c r="AT75" i="1"/>
  <c r="AU75" i="1" s="1"/>
  <c r="AV75" i="1" s="1"/>
  <c r="AW75" i="1" s="1"/>
  <c r="AL75" i="1"/>
  <c r="AS75" i="1"/>
  <c r="AK75" i="1"/>
  <c r="AR75" i="1"/>
  <c r="AQ75" i="1"/>
  <c r="AP75" i="1"/>
  <c r="AO75" i="1"/>
  <c r="AN75" i="1"/>
  <c r="AI75" i="1"/>
  <c r="AJ75" i="1"/>
  <c r="AR116" i="1"/>
  <c r="AT147" i="1"/>
  <c r="AU147" i="1" s="1"/>
  <c r="AV147" i="1" s="1"/>
  <c r="AW147" i="1" s="1"/>
  <c r="AL147" i="1"/>
  <c r="AS147" i="1"/>
  <c r="AK147" i="1"/>
  <c r="AP147" i="1"/>
  <c r="AM147" i="1"/>
  <c r="AJ147" i="1"/>
  <c r="AI147" i="1"/>
  <c r="AR147" i="1"/>
  <c r="AQ147" i="1"/>
  <c r="AO147" i="1"/>
  <c r="AN147" i="1"/>
  <c r="AR86" i="1"/>
  <c r="AJ86" i="1"/>
  <c r="AQ86" i="1"/>
  <c r="AP86" i="1"/>
  <c r="AO86" i="1"/>
  <c r="AN86" i="1"/>
  <c r="AM86" i="1"/>
  <c r="AI86" i="1"/>
  <c r="AT86" i="1"/>
  <c r="AU86" i="1" s="1"/>
  <c r="AV86" i="1" s="1"/>
  <c r="AW86" i="1" s="1"/>
  <c r="AL86" i="1"/>
  <c r="AS86" i="1"/>
  <c r="AK86" i="1"/>
  <c r="AE89" i="1"/>
  <c r="AF89" i="1" s="1"/>
  <c r="AS114" i="1"/>
  <c r="AR114" i="1"/>
  <c r="AI114" i="1"/>
  <c r="AP15" i="1"/>
  <c r="AO15" i="1"/>
  <c r="AN15" i="1"/>
  <c r="AM15" i="1"/>
  <c r="AR15" i="1"/>
  <c r="AJ15" i="1"/>
  <c r="AK15" i="1"/>
  <c r="AI15" i="1"/>
  <c r="AS15" i="1"/>
  <c r="AT15" i="1"/>
  <c r="AU15" i="1" s="1"/>
  <c r="AV15" i="1" s="1"/>
  <c r="AW15" i="1" s="1"/>
  <c r="AQ15" i="1"/>
  <c r="AL15" i="1"/>
  <c r="AO134" i="1"/>
  <c r="AT134" i="1"/>
  <c r="AU134" i="1" s="1"/>
  <c r="AV134" i="1" s="1"/>
  <c r="AW134" i="1" s="1"/>
  <c r="AK134" i="1"/>
  <c r="AS134" i="1"/>
  <c r="AJ134" i="1"/>
  <c r="AR134" i="1"/>
  <c r="AI134" i="1"/>
  <c r="AM134" i="1"/>
  <c r="AL134" i="1"/>
  <c r="AQ134" i="1"/>
  <c r="AP134" i="1"/>
  <c r="AN134" i="1"/>
  <c r="AR112" i="1"/>
  <c r="AQ112" i="1"/>
  <c r="AP112" i="1"/>
  <c r="AE27" i="1"/>
  <c r="AF27" i="1" s="1"/>
  <c r="AS119" i="1"/>
  <c r="AK119" i="1"/>
  <c r="AQ119" i="1"/>
  <c r="AP119" i="1"/>
  <c r="AO119" i="1"/>
  <c r="AR119" i="1"/>
  <c r="AN119" i="1"/>
  <c r="AM119" i="1"/>
  <c r="AT119" i="1"/>
  <c r="AU119" i="1" s="1"/>
  <c r="AV119" i="1" s="1"/>
  <c r="AW119" i="1" s="1"/>
  <c r="AL119" i="1"/>
  <c r="AJ119" i="1"/>
  <c r="AI119" i="1"/>
  <c r="AE13" i="1"/>
  <c r="AF13" i="1" s="1"/>
  <c r="AE77" i="1"/>
  <c r="AF77" i="1" s="1"/>
  <c r="AE76" i="1"/>
  <c r="AF76" i="1" s="1"/>
  <c r="AT10" i="1"/>
  <c r="AU10" i="1" s="1"/>
  <c r="AV10" i="1" s="1"/>
  <c r="AW10" i="1" s="1"/>
  <c r="AL10" i="1"/>
  <c r="AS10" i="1"/>
  <c r="AK10" i="1"/>
  <c r="AR10" i="1"/>
  <c r="AJ10" i="1"/>
  <c r="AQ10" i="1"/>
  <c r="AI10" i="1"/>
  <c r="AN10" i="1"/>
  <c r="AO10" i="1"/>
  <c r="AP10" i="1"/>
  <c r="AM10" i="1"/>
  <c r="AE49" i="1"/>
  <c r="AF49" i="1" s="1"/>
  <c r="AM80" i="1"/>
  <c r="AN80" i="1"/>
  <c r="AE102" i="1"/>
  <c r="AF102" i="1" s="1"/>
  <c r="AE41" i="1"/>
  <c r="AF41" i="1" s="1"/>
  <c r="AO131" i="1"/>
  <c r="AO138" i="1"/>
  <c r="AT138" i="1"/>
  <c r="AU138" i="1" s="1"/>
  <c r="AV138" i="1" s="1"/>
  <c r="AW138" i="1" s="1"/>
  <c r="AR138" i="1"/>
  <c r="AI138" i="1"/>
  <c r="AQ138" i="1"/>
  <c r="AP138" i="1"/>
  <c r="AJ138" i="1"/>
  <c r="AS138" i="1"/>
  <c r="AN138" i="1"/>
  <c r="AM138" i="1"/>
  <c r="AL138" i="1"/>
  <c r="AK138" i="1"/>
  <c r="AS113" i="1"/>
  <c r="AK113" i="1"/>
  <c r="AP113" i="1"/>
  <c r="AQ113" i="1"/>
  <c r="AO113" i="1"/>
  <c r="AN113" i="1"/>
  <c r="AM113" i="1"/>
  <c r="AL113" i="1"/>
  <c r="AJ113" i="1"/>
  <c r="AI113" i="1"/>
  <c r="AT113" i="1"/>
  <c r="AU113" i="1" s="1"/>
  <c r="AV113" i="1" s="1"/>
  <c r="AW113" i="1" s="1"/>
  <c r="AR113" i="1"/>
  <c r="AN101" i="1"/>
  <c r="AL101" i="1"/>
  <c r="AT101" i="1"/>
  <c r="AU101" i="1" s="1"/>
  <c r="AV101" i="1" s="1"/>
  <c r="AW101" i="1" s="1"/>
  <c r="AK101" i="1"/>
  <c r="AS101" i="1"/>
  <c r="AJ101" i="1"/>
  <c r="AI101" i="1"/>
  <c r="AR101" i="1"/>
  <c r="AQ101" i="1"/>
  <c r="AP101" i="1"/>
  <c r="AO101" i="1"/>
  <c r="AM101" i="1"/>
  <c r="AS121" i="1"/>
  <c r="AK121" i="1"/>
  <c r="AL121" i="1"/>
  <c r="AT121" i="1"/>
  <c r="AU121" i="1" s="1"/>
  <c r="AV121" i="1" s="1"/>
  <c r="AW121" i="1" s="1"/>
  <c r="AJ121" i="1"/>
  <c r="AR121" i="1"/>
  <c r="AI121" i="1"/>
  <c r="AQ121" i="1"/>
  <c r="AP121" i="1"/>
  <c r="AO121" i="1"/>
  <c r="AN121" i="1"/>
  <c r="AM121" i="1"/>
  <c r="AM63" i="1"/>
  <c r="AS63" i="1"/>
  <c r="AK63" i="1"/>
  <c r="AP63" i="1"/>
  <c r="AO63" i="1"/>
  <c r="AN63" i="1"/>
  <c r="AL63" i="1"/>
  <c r="AJ63" i="1"/>
  <c r="AR63" i="1"/>
  <c r="AT63" i="1"/>
  <c r="AU63" i="1" s="1"/>
  <c r="AV63" i="1" s="1"/>
  <c r="AW63" i="1" s="1"/>
  <c r="AQ63" i="1"/>
  <c r="AI63" i="1"/>
  <c r="AQ66" i="1"/>
  <c r="AI66" i="1"/>
  <c r="AO66" i="1"/>
  <c r="AL66" i="1"/>
  <c r="AK66" i="1"/>
  <c r="AT66" i="1"/>
  <c r="AU66" i="1" s="1"/>
  <c r="AV66" i="1" s="1"/>
  <c r="AW66" i="1" s="1"/>
  <c r="AJ66" i="1"/>
  <c r="AS66" i="1"/>
  <c r="AR66" i="1"/>
  <c r="AN66" i="1"/>
  <c r="AP66" i="1"/>
  <c r="AM66" i="1"/>
  <c r="AP23" i="1"/>
  <c r="AO23" i="1"/>
  <c r="AN23" i="1"/>
  <c r="AM23" i="1"/>
  <c r="AR23" i="1"/>
  <c r="AJ23" i="1"/>
  <c r="AT23" i="1"/>
  <c r="AU23" i="1" s="1"/>
  <c r="AV23" i="1" s="1"/>
  <c r="AW23" i="1" s="1"/>
  <c r="AS23" i="1"/>
  <c r="AQ23" i="1"/>
  <c r="AI23" i="1"/>
  <c r="AL23" i="1"/>
  <c r="AK23" i="1"/>
  <c r="AO120" i="1"/>
  <c r="AN120" i="1"/>
  <c r="AM120" i="1"/>
  <c r="AL120" i="1"/>
  <c r="AS120" i="1"/>
  <c r="AR120" i="1"/>
  <c r="AQ120" i="1"/>
  <c r="AI120" i="1"/>
  <c r="AT120" i="1"/>
  <c r="AU120" i="1" s="1"/>
  <c r="AV120" i="1" s="1"/>
  <c r="AW120" i="1" s="1"/>
  <c r="AJ120" i="1"/>
  <c r="AP120" i="1"/>
  <c r="AK120" i="1"/>
  <c r="AN93" i="1"/>
  <c r="AP93" i="1"/>
  <c r="AO93" i="1"/>
  <c r="AM93" i="1"/>
  <c r="AL93" i="1"/>
  <c r="AT93" i="1"/>
  <c r="AU93" i="1" s="1"/>
  <c r="AV93" i="1" s="1"/>
  <c r="AW93" i="1" s="1"/>
  <c r="AK93" i="1"/>
  <c r="AS93" i="1"/>
  <c r="AR93" i="1"/>
  <c r="AQ93" i="1"/>
  <c r="AJ93" i="1"/>
  <c r="AI93" i="1"/>
  <c r="AM29" i="1"/>
  <c r="AT29" i="1"/>
  <c r="AU29" i="1" s="1"/>
  <c r="AV29" i="1" s="1"/>
  <c r="AW29" i="1" s="1"/>
  <c r="AL29" i="1"/>
  <c r="AS29" i="1"/>
  <c r="AK29" i="1"/>
  <c r="AR29" i="1"/>
  <c r="AJ29" i="1"/>
  <c r="AO29" i="1"/>
  <c r="AN29" i="1"/>
  <c r="AI29" i="1"/>
  <c r="AQ29" i="1"/>
  <c r="AP29" i="1"/>
  <c r="AS117" i="1"/>
  <c r="AJ117" i="1"/>
  <c r="AI117" i="1"/>
  <c r="AM51" i="1"/>
  <c r="AT51" i="1"/>
  <c r="AU51" i="1" s="1"/>
  <c r="AV51" i="1" s="1"/>
  <c r="AW51" i="1" s="1"/>
  <c r="AL51" i="1"/>
  <c r="AS51" i="1"/>
  <c r="AK51" i="1"/>
  <c r="AR51" i="1"/>
  <c r="AJ51" i="1"/>
  <c r="AQ51" i="1"/>
  <c r="AI51" i="1"/>
  <c r="AO51" i="1"/>
  <c r="AP51" i="1"/>
  <c r="AN51" i="1"/>
  <c r="AE67" i="1"/>
  <c r="AF67" i="1" s="1"/>
  <c r="AK14" i="1"/>
  <c r="AQ32" i="1"/>
  <c r="AI32" i="1"/>
  <c r="AP32" i="1"/>
  <c r="AO32" i="1"/>
  <c r="AN32" i="1"/>
  <c r="AM32" i="1"/>
  <c r="AL32" i="1"/>
  <c r="AK32" i="1"/>
  <c r="AJ32" i="1"/>
  <c r="AS32" i="1"/>
  <c r="AT32" i="1"/>
  <c r="AU32" i="1" s="1"/>
  <c r="AV32" i="1" s="1"/>
  <c r="AW32" i="1" s="1"/>
  <c r="AR32" i="1"/>
  <c r="AS127" i="1"/>
  <c r="AK127" i="1"/>
  <c r="AM127" i="1"/>
  <c r="AL127" i="1"/>
  <c r="AT127" i="1"/>
  <c r="AU127" i="1" s="1"/>
  <c r="AV127" i="1" s="1"/>
  <c r="AW127" i="1" s="1"/>
  <c r="AJ127" i="1"/>
  <c r="AR127" i="1"/>
  <c r="AP127" i="1"/>
  <c r="AO127" i="1"/>
  <c r="AN127" i="1"/>
  <c r="AI127" i="1"/>
  <c r="AQ127" i="1"/>
  <c r="AE73" i="1"/>
  <c r="AF73" i="1" s="1"/>
  <c r="AP7" i="1"/>
  <c r="AO7" i="1"/>
  <c r="AN7" i="1"/>
  <c r="AM7" i="1"/>
  <c r="AR7" i="1"/>
  <c r="AJ7" i="1"/>
  <c r="AT7" i="1"/>
  <c r="AU7" i="1" s="1"/>
  <c r="AV7" i="1" s="1"/>
  <c r="AW7" i="1" s="1"/>
  <c r="AI7" i="1"/>
  <c r="AS7" i="1"/>
  <c r="AQ7" i="1"/>
  <c r="AL7" i="1"/>
  <c r="AK7" i="1"/>
  <c r="AR96" i="1"/>
  <c r="AJ96" i="1"/>
  <c r="AQ96" i="1"/>
  <c r="AI96" i="1"/>
  <c r="AS96" i="1"/>
  <c r="AP96" i="1"/>
  <c r="AO96" i="1"/>
  <c r="AN96" i="1"/>
  <c r="AM96" i="1"/>
  <c r="AK96" i="1"/>
  <c r="AT96" i="1"/>
  <c r="AU96" i="1" s="1"/>
  <c r="AV96" i="1" s="1"/>
  <c r="AW96" i="1" s="1"/>
  <c r="AL96" i="1"/>
  <c r="AE94" i="1"/>
  <c r="AF94" i="1" s="1"/>
  <c r="AN111" i="1"/>
  <c r="AT111" i="1"/>
  <c r="AU111" i="1" s="1"/>
  <c r="AV111" i="1" s="1"/>
  <c r="AW111" i="1" s="1"/>
  <c r="AK111" i="1"/>
  <c r="AS111" i="1"/>
  <c r="AJ111" i="1"/>
  <c r="AR111" i="1"/>
  <c r="AI111" i="1"/>
  <c r="AQ111" i="1"/>
  <c r="AP111" i="1"/>
  <c r="AO111" i="1"/>
  <c r="AM111" i="1"/>
  <c r="AL111" i="1"/>
  <c r="AE43" i="1"/>
  <c r="AF43" i="1" s="1"/>
  <c r="AQ68" i="1"/>
  <c r="AI68" i="1"/>
  <c r="AO68" i="1"/>
  <c r="AT68" i="1"/>
  <c r="AU68" i="1" s="1"/>
  <c r="AV68" i="1" s="1"/>
  <c r="AW68" i="1" s="1"/>
  <c r="AJ68" i="1"/>
  <c r="AS68" i="1"/>
  <c r="AR68" i="1"/>
  <c r="AP68" i="1"/>
  <c r="AN68" i="1"/>
  <c r="AL68" i="1"/>
  <c r="AM68" i="1"/>
  <c r="AK68" i="1"/>
  <c r="AP9" i="1"/>
  <c r="AO9" i="1"/>
  <c r="AN9" i="1"/>
  <c r="AM9" i="1"/>
  <c r="AR9" i="1"/>
  <c r="AJ9" i="1"/>
  <c r="AS9" i="1"/>
  <c r="AQ9" i="1"/>
  <c r="AL9" i="1"/>
  <c r="AK9" i="1"/>
  <c r="AI9" i="1"/>
  <c r="AT9" i="1"/>
  <c r="AU9" i="1" s="1"/>
  <c r="AV9" i="1" s="1"/>
  <c r="AW9" i="1" s="1"/>
  <c r="AE33" i="1"/>
  <c r="AF33" i="1" s="1"/>
  <c r="AE98" i="1"/>
  <c r="AF98" i="1" s="1"/>
  <c r="AE53" i="1"/>
  <c r="AF53" i="1" s="1"/>
  <c r="AE133" i="1"/>
  <c r="AF133" i="1" s="1"/>
  <c r="AF2" i="1"/>
  <c r="AE25" i="1"/>
  <c r="AF25" i="1" s="1"/>
  <c r="AT145" i="1"/>
  <c r="AU145" i="1" s="1"/>
  <c r="AV145" i="1" s="1"/>
  <c r="AW145" i="1" s="1"/>
  <c r="AL145" i="1"/>
  <c r="AS145" i="1"/>
  <c r="AK145" i="1"/>
  <c r="AP145" i="1"/>
  <c r="AJ145" i="1"/>
  <c r="AI145" i="1"/>
  <c r="AR145" i="1"/>
  <c r="AQ145" i="1"/>
  <c r="AM145" i="1"/>
  <c r="AO145" i="1"/>
  <c r="AN145" i="1"/>
  <c r="AQ72" i="1"/>
  <c r="AI72" i="1"/>
  <c r="AP72" i="1"/>
  <c r="AO72" i="1"/>
  <c r="AR72" i="1"/>
  <c r="AN72" i="1"/>
  <c r="AM72" i="1"/>
  <c r="AL72" i="1"/>
  <c r="AK72" i="1"/>
  <c r="AT72" i="1"/>
  <c r="AU72" i="1" s="1"/>
  <c r="AV72" i="1" s="1"/>
  <c r="AW72" i="1" s="1"/>
  <c r="AJ72" i="1"/>
  <c r="AS72" i="1"/>
  <c r="AR108" i="1"/>
  <c r="AJ108" i="1"/>
  <c r="AT108" i="1"/>
  <c r="AU108" i="1" s="1"/>
  <c r="AV108" i="1" s="1"/>
  <c r="AW108" i="1" s="1"/>
  <c r="AK108" i="1"/>
  <c r="AS108" i="1"/>
  <c r="AI108" i="1"/>
  <c r="AQ108" i="1"/>
  <c r="AN108" i="1"/>
  <c r="AM108" i="1"/>
  <c r="AL108" i="1"/>
  <c r="AO108" i="1"/>
  <c r="AP108" i="1"/>
  <c r="AS137" i="1"/>
  <c r="AK137" i="1"/>
  <c r="AL137" i="1"/>
  <c r="AT137" i="1"/>
  <c r="AU137" i="1" s="1"/>
  <c r="AV137" i="1" s="1"/>
  <c r="AW137" i="1" s="1"/>
  <c r="AJ137" i="1"/>
  <c r="AR137" i="1"/>
  <c r="AI137" i="1"/>
  <c r="AQ137" i="1"/>
  <c r="AP137" i="1"/>
  <c r="AN137" i="1"/>
  <c r="AM137" i="1"/>
  <c r="AO137" i="1"/>
  <c r="AM54" i="1"/>
  <c r="AL54" i="1"/>
  <c r="AT54" i="1"/>
  <c r="AU54" i="1" s="1"/>
  <c r="AV54" i="1" s="1"/>
  <c r="AW54" i="1" s="1"/>
  <c r="AR54" i="1"/>
  <c r="AQ28" i="1"/>
  <c r="AI28" i="1"/>
  <c r="AP28" i="1"/>
  <c r="AO28" i="1"/>
  <c r="AN28" i="1"/>
  <c r="AK28" i="1"/>
  <c r="AJ28" i="1"/>
  <c r="AT28" i="1"/>
  <c r="AU28" i="1" s="1"/>
  <c r="AV28" i="1" s="1"/>
  <c r="AW28" i="1" s="1"/>
  <c r="AM28" i="1"/>
  <c r="AS28" i="1"/>
  <c r="AR28" i="1"/>
  <c r="AL28" i="1"/>
  <c r="AN100" i="1"/>
  <c r="AQ74" i="1"/>
  <c r="AI74" i="1"/>
  <c r="AP74" i="1"/>
  <c r="AO74" i="1"/>
  <c r="AS74" i="1"/>
  <c r="AR74" i="1"/>
  <c r="AN74" i="1"/>
  <c r="AM74" i="1"/>
  <c r="AL74" i="1"/>
  <c r="AJ74" i="1"/>
  <c r="AT74" i="1"/>
  <c r="AU74" i="1" s="1"/>
  <c r="AV74" i="1" s="1"/>
  <c r="AW74" i="1" s="1"/>
  <c r="AK74" i="1"/>
  <c r="AT6" i="1"/>
  <c r="AU6" i="1" s="1"/>
  <c r="AV6" i="1" s="1"/>
  <c r="AW6" i="1" s="1"/>
  <c r="AL6" i="1"/>
  <c r="AS6" i="1"/>
  <c r="AK6" i="1"/>
  <c r="AR6" i="1"/>
  <c r="AJ6" i="1"/>
  <c r="AQ6" i="1"/>
  <c r="AI6" i="1"/>
  <c r="AN6" i="1"/>
  <c r="AM6" i="1"/>
  <c r="AP6" i="1"/>
  <c r="AO6" i="1"/>
  <c r="AS135" i="1"/>
  <c r="AK135" i="1"/>
  <c r="AQ135" i="1"/>
  <c r="AP135" i="1"/>
  <c r="AO135" i="1"/>
  <c r="AN135" i="1"/>
  <c r="AM135" i="1"/>
  <c r="AL135" i="1"/>
  <c r="AR135" i="1"/>
  <c r="AJ135" i="1"/>
  <c r="AI135" i="1"/>
  <c r="AT135" i="1"/>
  <c r="AU135" i="1" s="1"/>
  <c r="AV135" i="1" s="1"/>
  <c r="AW135" i="1" s="1"/>
  <c r="AQ48" i="1"/>
  <c r="AI48" i="1"/>
  <c r="AP48" i="1"/>
  <c r="AO48" i="1"/>
  <c r="AN48" i="1"/>
  <c r="AM48" i="1"/>
  <c r="AS48" i="1"/>
  <c r="AK48" i="1"/>
  <c r="AL48" i="1"/>
  <c r="AJ48" i="1"/>
  <c r="AT48" i="1"/>
  <c r="AU48" i="1" s="1"/>
  <c r="AV48" i="1" s="1"/>
  <c r="AW48" i="1" s="1"/>
  <c r="AR48" i="1"/>
  <c r="AQ44" i="1"/>
  <c r="AI44" i="1"/>
  <c r="AP44" i="1"/>
  <c r="AO44" i="1"/>
  <c r="AN44" i="1"/>
  <c r="AM44" i="1"/>
  <c r="AS44" i="1"/>
  <c r="AK44" i="1"/>
  <c r="AT44" i="1"/>
  <c r="AU44" i="1" s="1"/>
  <c r="AV44" i="1" s="1"/>
  <c r="AW44" i="1" s="1"/>
  <c r="AR44" i="1"/>
  <c r="AL44" i="1"/>
  <c r="AJ44" i="1"/>
  <c r="AN81" i="1"/>
  <c r="AM81" i="1"/>
  <c r="AL81" i="1"/>
  <c r="AT81" i="1"/>
  <c r="AU81" i="1" s="1"/>
  <c r="AV81" i="1" s="1"/>
  <c r="AW81" i="1" s="1"/>
  <c r="AK81" i="1"/>
  <c r="AS81" i="1"/>
  <c r="AJ81" i="1"/>
  <c r="AO81" i="1"/>
  <c r="AI81" i="1"/>
  <c r="AQ81" i="1"/>
  <c r="AR81" i="1"/>
  <c r="AP81" i="1"/>
  <c r="AT16" i="1"/>
  <c r="AU16" i="1" s="1"/>
  <c r="AV16" i="1" s="1"/>
  <c r="AW16" i="1" s="1"/>
  <c r="AL16" i="1"/>
  <c r="AS16" i="1"/>
  <c r="AK16" i="1"/>
  <c r="AR16" i="1"/>
  <c r="AJ16" i="1"/>
  <c r="AQ16" i="1"/>
  <c r="AI16" i="1"/>
  <c r="AN16" i="1"/>
  <c r="AP16" i="1"/>
  <c r="AO16" i="1"/>
  <c r="AM16" i="1"/>
  <c r="AE109" i="1"/>
  <c r="AF109" i="1" s="1"/>
  <c r="AE65" i="1"/>
  <c r="AF65" i="1" s="1"/>
  <c r="AP150" i="1"/>
  <c r="AO150" i="1"/>
  <c r="AT150" i="1"/>
  <c r="AU150" i="1" s="1"/>
  <c r="AV150" i="1" s="1"/>
  <c r="AW150" i="1" s="1"/>
  <c r="AL150" i="1"/>
  <c r="AN150" i="1"/>
  <c r="AM150" i="1"/>
  <c r="AK150" i="1"/>
  <c r="AS150" i="1"/>
  <c r="AQ150" i="1"/>
  <c r="AJ150" i="1"/>
  <c r="AI150" i="1"/>
  <c r="AR150" i="1"/>
  <c r="AE88" i="1"/>
  <c r="AF88" i="1" s="1"/>
  <c r="AQ62" i="1"/>
  <c r="AR62" i="1"/>
  <c r="AI62" i="1"/>
  <c r="AP62" i="1"/>
  <c r="AO62" i="1"/>
  <c r="AN62" i="1"/>
  <c r="AM62" i="1"/>
  <c r="AT62" i="1"/>
  <c r="AU62" i="1" s="1"/>
  <c r="AV62" i="1" s="1"/>
  <c r="AW62" i="1" s="1"/>
  <c r="AK62" i="1"/>
  <c r="AS62" i="1"/>
  <c r="AJ62" i="1"/>
  <c r="AL62" i="1"/>
  <c r="AP3" i="1"/>
  <c r="AO3" i="1"/>
  <c r="AN3" i="1"/>
  <c r="AM3" i="1"/>
  <c r="AR3" i="1"/>
  <c r="AJ3" i="1"/>
  <c r="AT3" i="1"/>
  <c r="AU3" i="1" s="1"/>
  <c r="AV3" i="1" s="1"/>
  <c r="AW3" i="1" s="1"/>
  <c r="AL3" i="1"/>
  <c r="AS3" i="1"/>
  <c r="AQ3" i="1"/>
  <c r="AK3" i="1"/>
  <c r="AI3" i="1"/>
  <c r="AN103" i="1"/>
  <c r="AP103" i="1"/>
  <c r="AO103" i="1"/>
  <c r="AM103" i="1"/>
  <c r="AQ103" i="1"/>
  <c r="AL103" i="1"/>
  <c r="AK103" i="1"/>
  <c r="AJ103" i="1"/>
  <c r="AI103" i="1"/>
  <c r="AT103" i="1"/>
  <c r="AU103" i="1" s="1"/>
  <c r="AV103" i="1" s="1"/>
  <c r="AW103" i="1" s="1"/>
  <c r="AS103" i="1"/>
  <c r="AR103" i="1"/>
  <c r="AE118" i="1"/>
  <c r="AF118" i="1" s="1"/>
  <c r="AP19" i="1"/>
  <c r="AO19" i="1"/>
  <c r="AN19" i="1"/>
  <c r="AM19" i="1"/>
  <c r="AR19" i="1"/>
  <c r="AJ19" i="1"/>
  <c r="AT19" i="1"/>
  <c r="AU19" i="1" s="1"/>
  <c r="AV19" i="1" s="1"/>
  <c r="AW19" i="1" s="1"/>
  <c r="AS19" i="1"/>
  <c r="AL19" i="1"/>
  <c r="AQ19" i="1"/>
  <c r="AK19" i="1"/>
  <c r="AI19" i="1"/>
  <c r="AQ60" i="1"/>
  <c r="AI60" i="1"/>
  <c r="AP60" i="1"/>
  <c r="AO60" i="1"/>
  <c r="AN60" i="1"/>
  <c r="AM60" i="1"/>
  <c r="AS60" i="1"/>
  <c r="AK60" i="1"/>
  <c r="AT60" i="1"/>
  <c r="AU60" i="1" s="1"/>
  <c r="AV60" i="1" s="1"/>
  <c r="AW60" i="1" s="1"/>
  <c r="AR60" i="1"/>
  <c r="AL60" i="1"/>
  <c r="AJ60" i="1"/>
  <c r="AM69" i="1"/>
  <c r="AS69" i="1"/>
  <c r="AK69" i="1"/>
  <c r="AR69" i="1"/>
  <c r="AQ69" i="1"/>
  <c r="AP69" i="1"/>
  <c r="AO69" i="1"/>
  <c r="AN69" i="1"/>
  <c r="AJ69" i="1"/>
  <c r="AT69" i="1"/>
  <c r="AU69" i="1" s="1"/>
  <c r="AV69" i="1" s="1"/>
  <c r="AW69" i="1" s="1"/>
  <c r="AL69" i="1"/>
  <c r="AI69" i="1"/>
  <c r="AE139" i="1"/>
  <c r="AF139" i="1" s="1"/>
  <c r="AE17" i="1"/>
  <c r="AF17" i="1" s="1"/>
  <c r="AE90" i="1"/>
  <c r="AF90" i="1" s="1"/>
  <c r="AE35" i="1"/>
  <c r="AF35" i="1" s="1"/>
  <c r="AE85" i="1"/>
  <c r="AF85" i="1" s="1"/>
  <c r="AE140" i="1"/>
  <c r="AF140" i="1" s="1"/>
  <c r="AE115" i="1"/>
  <c r="AF115" i="1" s="1"/>
  <c r="AE151" i="1"/>
  <c r="AF151" i="1" s="1"/>
  <c r="AS52" i="1" l="1"/>
  <c r="AI84" i="1"/>
  <c r="AM84" i="1"/>
  <c r="AN84" i="1"/>
  <c r="AO107" i="1"/>
  <c r="AS84" i="1"/>
  <c r="AO84" i="1"/>
  <c r="AJ84" i="1"/>
  <c r="AP107" i="1"/>
  <c r="AS128" i="1"/>
  <c r="AR84" i="1"/>
  <c r="AN107" i="1"/>
  <c r="AS107" i="1"/>
  <c r="AM14" i="1"/>
  <c r="AR129" i="1"/>
  <c r="AT114" i="1"/>
  <c r="AU114" i="1" s="1"/>
  <c r="AV114" i="1" s="1"/>
  <c r="AW114" i="1" s="1"/>
  <c r="AJ14" i="1"/>
  <c r="AI107" i="1"/>
  <c r="AJ114" i="1"/>
  <c r="AM50" i="1"/>
  <c r="AK99" i="1"/>
  <c r="AO14" i="1"/>
  <c r="AP14" i="1"/>
  <c r="AJ99" i="1"/>
  <c r="AM100" i="1"/>
  <c r="AJ54" i="1"/>
  <c r="AR14" i="1"/>
  <c r="AJ107" i="1"/>
  <c r="AQ114" i="1"/>
  <c r="AN50" i="1"/>
  <c r="AP131" i="1"/>
  <c r="AQ131" i="1"/>
  <c r="AL114" i="1"/>
  <c r="AM116" i="1"/>
  <c r="AS54" i="1"/>
  <c r="AQ84" i="1"/>
  <c r="AT131" i="1"/>
  <c r="AU131" i="1" s="1"/>
  <c r="AV131" i="1" s="1"/>
  <c r="AW131" i="1" s="1"/>
  <c r="AN114" i="1"/>
  <c r="AJ116" i="1"/>
  <c r="AK131" i="1"/>
  <c r="AL116" i="1"/>
  <c r="AO54" i="1"/>
  <c r="AK84" i="1"/>
  <c r="AO116" i="1"/>
  <c r="AJ50" i="1"/>
  <c r="AK116" i="1"/>
  <c r="AN54" i="1"/>
  <c r="AS131" i="1"/>
  <c r="AP54" i="1"/>
  <c r="AL84" i="1"/>
  <c r="AL50" i="1"/>
  <c r="AT124" i="1"/>
  <c r="AU124" i="1" s="1"/>
  <c r="AV124" i="1" s="1"/>
  <c r="AW124" i="1" s="1"/>
  <c r="AJ128" i="1"/>
  <c r="AL80" i="1"/>
  <c r="AK52" i="1"/>
  <c r="AT4" i="1"/>
  <c r="AU4" i="1" s="1"/>
  <c r="AV4" i="1" s="1"/>
  <c r="AW4" i="1" s="1"/>
  <c r="AN64" i="1"/>
  <c r="AN124" i="1"/>
  <c r="AR107" i="1"/>
  <c r="AS80" i="1"/>
  <c r="AO52" i="1"/>
  <c r="AM4" i="1"/>
  <c r="AT129" i="1"/>
  <c r="AU129" i="1" s="1"/>
  <c r="AV129" i="1" s="1"/>
  <c r="AW129" i="1" s="1"/>
  <c r="AK124" i="1"/>
  <c r="AI64" i="1"/>
  <c r="AR80" i="1"/>
  <c r="AN52" i="1"/>
  <c r="AR106" i="1"/>
  <c r="AT80" i="1"/>
  <c r="AU80" i="1" s="1"/>
  <c r="AV80" i="1" s="1"/>
  <c r="AW80" i="1" s="1"/>
  <c r="AJ80" i="1"/>
  <c r="AM18" i="1"/>
  <c r="AI52" i="1"/>
  <c r="AN4" i="1"/>
  <c r="AP64" i="1"/>
  <c r="AL124" i="1"/>
  <c r="AK80" i="1"/>
  <c r="AQ52" i="1"/>
  <c r="AI4" i="1"/>
  <c r="AS64" i="1"/>
  <c r="AO124" i="1"/>
  <c r="AK107" i="1"/>
  <c r="AN128" i="1"/>
  <c r="AS78" i="1"/>
  <c r="AO80" i="1"/>
  <c r="AQ4" i="1"/>
  <c r="AR64" i="1"/>
  <c r="AJ129" i="1"/>
  <c r="AO64" i="1"/>
  <c r="AP124" i="1"/>
  <c r="AM52" i="1"/>
  <c r="AJ124" i="1"/>
  <c r="AJ4" i="1"/>
  <c r="AJ64" i="1"/>
  <c r="AL129" i="1"/>
  <c r="AT128" i="1"/>
  <c r="AU128" i="1" s="1"/>
  <c r="AV128" i="1" s="1"/>
  <c r="AW128" i="1" s="1"/>
  <c r="AJ78" i="1"/>
  <c r="AJ52" i="1"/>
  <c r="AR4" i="1"/>
  <c r="AT64" i="1"/>
  <c r="AU64" i="1" s="1"/>
  <c r="AV64" i="1" s="1"/>
  <c r="AW64" i="1" s="1"/>
  <c r="AM129" i="1"/>
  <c r="AI124" i="1"/>
  <c r="AP4" i="1"/>
  <c r="AQ64" i="1"/>
  <c r="AS124" i="1"/>
  <c r="AT78" i="1"/>
  <c r="AU78" i="1" s="1"/>
  <c r="AV78" i="1" s="1"/>
  <c r="AW78" i="1" s="1"/>
  <c r="AI80" i="1"/>
  <c r="AK128" i="1"/>
  <c r="AQ78" i="1"/>
  <c r="AQ80" i="1"/>
  <c r="AL52" i="1"/>
  <c r="AK4" i="1"/>
  <c r="AK64" i="1"/>
  <c r="AN129" i="1"/>
  <c r="AQ124" i="1"/>
  <c r="AP52" i="1"/>
  <c r="AO4" i="1"/>
  <c r="AI128" i="1"/>
  <c r="AR52" i="1"/>
  <c r="AS4" i="1"/>
  <c r="AL64" i="1"/>
  <c r="AO129" i="1"/>
  <c r="AR124" i="1"/>
  <c r="AP128" i="1"/>
  <c r="AR128" i="1"/>
  <c r="AP129" i="1"/>
  <c r="AO100" i="1"/>
  <c r="AM117" i="1"/>
  <c r="AP18" i="1"/>
  <c r="AL99" i="1"/>
  <c r="AM71" i="1"/>
  <c r="AO71" i="1"/>
  <c r="AL71" i="1"/>
  <c r="AR71" i="1"/>
  <c r="AI71" i="1"/>
  <c r="AN71" i="1"/>
  <c r="AQ71" i="1"/>
  <c r="AK71" i="1"/>
  <c r="AT71" i="1"/>
  <c r="AU71" i="1" s="1"/>
  <c r="AV71" i="1" s="1"/>
  <c r="AW71" i="1" s="1"/>
  <c r="AS71" i="1"/>
  <c r="AP71" i="1"/>
  <c r="AJ100" i="1"/>
  <c r="AL106" i="1"/>
  <c r="AN14" i="1"/>
  <c r="AL117" i="1"/>
  <c r="AI131" i="1"/>
  <c r="AO78" i="1"/>
  <c r="AJ112" i="1"/>
  <c r="AN18" i="1"/>
  <c r="AM99" i="1"/>
  <c r="AO142" i="1"/>
  <c r="AT142" i="1"/>
  <c r="AU142" i="1" s="1"/>
  <c r="AV142" i="1" s="1"/>
  <c r="AW142" i="1" s="1"/>
  <c r="AI142" i="1"/>
  <c r="AR142" i="1"/>
  <c r="AQ142" i="1"/>
  <c r="AL142" i="1"/>
  <c r="AS142" i="1"/>
  <c r="AN142" i="1"/>
  <c r="AK142" i="1"/>
  <c r="AJ142" i="1"/>
  <c r="AP142" i="1"/>
  <c r="AR100" i="1"/>
  <c r="AK106" i="1"/>
  <c r="AI14" i="1"/>
  <c r="AN117" i="1"/>
  <c r="AL128" i="1"/>
  <c r="AR131" i="1"/>
  <c r="AP78" i="1"/>
  <c r="AS112" i="1"/>
  <c r="AI18" i="1"/>
  <c r="AN116" i="1"/>
  <c r="AO99" i="1"/>
  <c r="AN36" i="1"/>
  <c r="AM106" i="1"/>
  <c r="AK54" i="1"/>
  <c r="AQ14" i="1"/>
  <c r="AT84" i="1"/>
  <c r="AU84" i="1" s="1"/>
  <c r="AV84" i="1" s="1"/>
  <c r="AW84" i="1" s="1"/>
  <c r="AK117" i="1"/>
  <c r="AQ107" i="1"/>
  <c r="AQ128" i="1"/>
  <c r="AJ131" i="1"/>
  <c r="AI78" i="1"/>
  <c r="AO112" i="1"/>
  <c r="AK114" i="1"/>
  <c r="AQ18" i="1"/>
  <c r="AQ116" i="1"/>
  <c r="AS99" i="1"/>
  <c r="AQ106" i="1"/>
  <c r="AJ18" i="1"/>
  <c r="AI100" i="1"/>
  <c r="AS106" i="1"/>
  <c r="AR18" i="1"/>
  <c r="AT99" i="1"/>
  <c r="AU99" i="1" s="1"/>
  <c r="AV99" i="1" s="1"/>
  <c r="AW99" i="1" s="1"/>
  <c r="AP99" i="1"/>
  <c r="AK100" i="1"/>
  <c r="AT106" i="1"/>
  <c r="AU106" i="1" s="1"/>
  <c r="AV106" i="1" s="1"/>
  <c r="AW106" i="1" s="1"/>
  <c r="AQ99" i="1"/>
  <c r="AI106" i="1"/>
  <c r="AT117" i="1"/>
  <c r="AU117" i="1" s="1"/>
  <c r="AV117" i="1" s="1"/>
  <c r="AW117" i="1" s="1"/>
  <c r="AK78" i="1"/>
  <c r="AI99" i="1"/>
  <c r="AN106" i="1"/>
  <c r="AL14" i="1"/>
  <c r="AO117" i="1"/>
  <c r="AM78" i="1"/>
  <c r="AT107" i="1"/>
  <c r="AU107" i="1" s="1"/>
  <c r="AV107" i="1" s="1"/>
  <c r="AW107" i="1" s="1"/>
  <c r="AL78" i="1"/>
  <c r="AT112" i="1"/>
  <c r="AU112" i="1" s="1"/>
  <c r="AV112" i="1" s="1"/>
  <c r="AW112" i="1" s="1"/>
  <c r="AP114" i="1"/>
  <c r="AP106" i="1"/>
  <c r="AQ54" i="1"/>
  <c r="AQ117" i="1"/>
  <c r="AL107" i="1"/>
  <c r="AM131" i="1"/>
  <c r="AN78" i="1"/>
  <c r="AI112" i="1"/>
  <c r="AM114" i="1"/>
  <c r="AT116" i="1"/>
  <c r="AU116" i="1" s="1"/>
  <c r="AV116" i="1" s="1"/>
  <c r="AW116" i="1" s="1"/>
  <c r="AK129" i="1"/>
  <c r="AO18" i="1"/>
  <c r="AN112" i="1"/>
  <c r="AK18" i="1"/>
  <c r="AL100" i="1"/>
  <c r="AS14" i="1"/>
  <c r="AL112" i="1"/>
  <c r="AS18" i="1"/>
  <c r="AP100" i="1"/>
  <c r="AO128" i="1"/>
  <c r="AM112" i="1"/>
  <c r="AL18" i="1"/>
  <c r="AP116" i="1"/>
  <c r="AR99" i="1"/>
  <c r="AQ100" i="1"/>
  <c r="AO106" i="1"/>
  <c r="AP117" i="1"/>
  <c r="AL131" i="1"/>
  <c r="AS116" i="1"/>
  <c r="AS100" i="1"/>
  <c r="AM36" i="1"/>
  <c r="AR21" i="1"/>
  <c r="AJ21" i="1"/>
  <c r="AK21" i="1"/>
  <c r="AT21" i="1"/>
  <c r="AU21" i="1" s="1"/>
  <c r="AV21" i="1" s="1"/>
  <c r="AW21" i="1" s="1"/>
  <c r="AP21" i="1"/>
  <c r="AS21" i="1"/>
  <c r="AO21" i="1"/>
  <c r="AQ21" i="1"/>
  <c r="AN21" i="1"/>
  <c r="AL21" i="1"/>
  <c r="AM21" i="1"/>
  <c r="AI21" i="1"/>
  <c r="AK36" i="1"/>
  <c r="AO36" i="1"/>
  <c r="AR36" i="1"/>
  <c r="AP36" i="1"/>
  <c r="AS36" i="1"/>
  <c r="AI36" i="1"/>
  <c r="AN132" i="1"/>
  <c r="AK132" i="1"/>
  <c r="AI132" i="1"/>
  <c r="AT132" i="1"/>
  <c r="AU132" i="1" s="1"/>
  <c r="AV132" i="1" s="1"/>
  <c r="AW132" i="1" s="1"/>
  <c r="AS132" i="1"/>
  <c r="AR132" i="1"/>
  <c r="AO132" i="1"/>
  <c r="AM132" i="1"/>
  <c r="AQ132" i="1"/>
  <c r="AL132" i="1"/>
  <c r="AP132" i="1"/>
  <c r="AJ132" i="1"/>
  <c r="AL36" i="1"/>
  <c r="AQ36" i="1"/>
  <c r="AT36" i="1"/>
  <c r="AU36" i="1" s="1"/>
  <c r="AV36" i="1" s="1"/>
  <c r="AW36" i="1" s="1"/>
  <c r="AR91" i="1"/>
  <c r="AI91" i="1"/>
  <c r="AN91" i="1"/>
  <c r="AQ91" i="1"/>
  <c r="AL91" i="1"/>
  <c r="AP91" i="1"/>
  <c r="AT91" i="1"/>
  <c r="AU91" i="1" s="1"/>
  <c r="AV91" i="1" s="1"/>
  <c r="AW91" i="1" s="1"/>
  <c r="AO91" i="1"/>
  <c r="AK91" i="1"/>
  <c r="AM91" i="1"/>
  <c r="AS91" i="1"/>
  <c r="AJ91" i="1"/>
  <c r="AN89" i="1"/>
  <c r="AR89" i="1"/>
  <c r="AI89" i="1"/>
  <c r="AQ89" i="1"/>
  <c r="AP89" i="1"/>
  <c r="AO89" i="1"/>
  <c r="AM89" i="1"/>
  <c r="AT89" i="1"/>
  <c r="AU89" i="1" s="1"/>
  <c r="AV89" i="1" s="1"/>
  <c r="AW89" i="1" s="1"/>
  <c r="AS89" i="1"/>
  <c r="AL89" i="1"/>
  <c r="AK89" i="1"/>
  <c r="AJ89" i="1"/>
  <c r="AP140" i="1"/>
  <c r="AO140" i="1"/>
  <c r="AT140" i="1"/>
  <c r="AU140" i="1" s="1"/>
  <c r="AV140" i="1" s="1"/>
  <c r="AW140" i="1" s="1"/>
  <c r="AL140" i="1"/>
  <c r="AS140" i="1"/>
  <c r="AR140" i="1"/>
  <c r="AQ140" i="1"/>
  <c r="AN140" i="1"/>
  <c r="AI140" i="1"/>
  <c r="AM140" i="1"/>
  <c r="AK140" i="1"/>
  <c r="AJ140" i="1"/>
  <c r="AM43" i="1"/>
  <c r="AT43" i="1"/>
  <c r="AU43" i="1" s="1"/>
  <c r="AV43" i="1" s="1"/>
  <c r="AW43" i="1" s="1"/>
  <c r="AL43" i="1"/>
  <c r="AS43" i="1"/>
  <c r="AK43" i="1"/>
  <c r="AR43" i="1"/>
  <c r="AJ43" i="1"/>
  <c r="AQ43" i="1"/>
  <c r="AI43" i="1"/>
  <c r="AO43" i="1"/>
  <c r="AP43" i="1"/>
  <c r="AN43" i="1"/>
  <c r="AM41" i="1"/>
  <c r="AT41" i="1"/>
  <c r="AU41" i="1" s="1"/>
  <c r="AV41" i="1" s="1"/>
  <c r="AW41" i="1" s="1"/>
  <c r="AL41" i="1"/>
  <c r="AS41" i="1"/>
  <c r="AK41" i="1"/>
  <c r="AR41" i="1"/>
  <c r="AJ41" i="1"/>
  <c r="AQ41" i="1"/>
  <c r="AI41" i="1"/>
  <c r="AO41" i="1"/>
  <c r="AN41" i="1"/>
  <c r="AP41" i="1"/>
  <c r="AM27" i="1"/>
  <c r="AT27" i="1"/>
  <c r="AU27" i="1" s="1"/>
  <c r="AV27" i="1" s="1"/>
  <c r="AW27" i="1" s="1"/>
  <c r="AL27" i="1"/>
  <c r="AS27" i="1"/>
  <c r="AK27" i="1"/>
  <c r="AR27" i="1"/>
  <c r="AJ27" i="1"/>
  <c r="AQ27" i="1"/>
  <c r="AP27" i="1"/>
  <c r="AI27" i="1"/>
  <c r="AN27" i="1"/>
  <c r="AO27" i="1"/>
  <c r="AP144" i="1"/>
  <c r="AO144" i="1"/>
  <c r="AT144" i="1"/>
  <c r="AU144" i="1" s="1"/>
  <c r="AV144" i="1" s="1"/>
  <c r="AW144" i="1" s="1"/>
  <c r="AL144" i="1"/>
  <c r="AJ144" i="1"/>
  <c r="AI144" i="1"/>
  <c r="AS144" i="1"/>
  <c r="AN144" i="1"/>
  <c r="AM144" i="1"/>
  <c r="AK144" i="1"/>
  <c r="AR144" i="1"/>
  <c r="AQ144" i="1"/>
  <c r="AS115" i="1"/>
  <c r="AK115" i="1"/>
  <c r="AT115" i="1"/>
  <c r="AU115" i="1" s="1"/>
  <c r="AV115" i="1" s="1"/>
  <c r="AW115" i="1" s="1"/>
  <c r="AJ115" i="1"/>
  <c r="AN115" i="1"/>
  <c r="AM115" i="1"/>
  <c r="AL115" i="1"/>
  <c r="AR115" i="1"/>
  <c r="AQ115" i="1"/>
  <c r="AP115" i="1"/>
  <c r="AI115" i="1"/>
  <c r="AO115" i="1"/>
  <c r="AR88" i="1"/>
  <c r="AJ88" i="1"/>
  <c r="AL88" i="1"/>
  <c r="AT88" i="1"/>
  <c r="AU88" i="1" s="1"/>
  <c r="AV88" i="1" s="1"/>
  <c r="AW88" i="1" s="1"/>
  <c r="AK88" i="1"/>
  <c r="AS88" i="1"/>
  <c r="AI88" i="1"/>
  <c r="AQ88" i="1"/>
  <c r="AP88" i="1"/>
  <c r="AN88" i="1"/>
  <c r="AO88" i="1"/>
  <c r="AM88" i="1"/>
  <c r="AM33" i="1"/>
  <c r="AT33" i="1"/>
  <c r="AU33" i="1" s="1"/>
  <c r="AV33" i="1" s="1"/>
  <c r="AW33" i="1" s="1"/>
  <c r="AL33" i="1"/>
  <c r="AS33" i="1"/>
  <c r="AK33" i="1"/>
  <c r="AR33" i="1"/>
  <c r="AJ33" i="1"/>
  <c r="AQ33" i="1"/>
  <c r="AI33" i="1"/>
  <c r="AP33" i="1"/>
  <c r="AO33" i="1"/>
  <c r="AN33" i="1"/>
  <c r="AR102" i="1"/>
  <c r="AJ102" i="1"/>
  <c r="AS102" i="1"/>
  <c r="AI102" i="1"/>
  <c r="AQ102" i="1"/>
  <c r="AP102" i="1"/>
  <c r="AM102" i="1"/>
  <c r="AL102" i="1"/>
  <c r="AK102" i="1"/>
  <c r="AO102" i="1"/>
  <c r="AN102" i="1"/>
  <c r="AT102" i="1"/>
  <c r="AU102" i="1" s="1"/>
  <c r="AV102" i="1" s="1"/>
  <c r="AW102" i="1" s="1"/>
  <c r="AR90" i="1"/>
  <c r="AJ90" i="1"/>
  <c r="AO90" i="1"/>
  <c r="AN90" i="1"/>
  <c r="AM90" i="1"/>
  <c r="AL90" i="1"/>
  <c r="AT90" i="1"/>
  <c r="AU90" i="1" s="1"/>
  <c r="AV90" i="1" s="1"/>
  <c r="AW90" i="1" s="1"/>
  <c r="AK90" i="1"/>
  <c r="AS90" i="1"/>
  <c r="AP90" i="1"/>
  <c r="AQ90" i="1"/>
  <c r="AI90" i="1"/>
  <c r="AT2" i="1"/>
  <c r="AU2" i="1" s="1"/>
  <c r="AV2" i="1" s="1"/>
  <c r="AW2" i="1" s="1"/>
  <c r="AL2" i="1"/>
  <c r="AS2" i="1"/>
  <c r="AK2" i="1"/>
  <c r="AR2" i="1"/>
  <c r="AJ2" i="1"/>
  <c r="AQ2" i="1"/>
  <c r="AI2" i="1"/>
  <c r="AN2" i="1"/>
  <c r="AP2" i="1"/>
  <c r="AO2" i="1"/>
  <c r="AM2" i="1"/>
  <c r="AM67" i="1"/>
  <c r="AS67" i="1"/>
  <c r="AK67" i="1"/>
  <c r="AJ67" i="1"/>
  <c r="AT67" i="1"/>
  <c r="AU67" i="1" s="1"/>
  <c r="AV67" i="1" s="1"/>
  <c r="AW67" i="1" s="1"/>
  <c r="AI67" i="1"/>
  <c r="AR67" i="1"/>
  <c r="AQ67" i="1"/>
  <c r="AP67" i="1"/>
  <c r="AN67" i="1"/>
  <c r="AO67" i="1"/>
  <c r="AL67" i="1"/>
  <c r="AQ76" i="1"/>
  <c r="AI76" i="1"/>
  <c r="AP76" i="1"/>
  <c r="AO76" i="1"/>
  <c r="AT76" i="1"/>
  <c r="AU76" i="1" s="1"/>
  <c r="AV76" i="1" s="1"/>
  <c r="AW76" i="1" s="1"/>
  <c r="AS76" i="1"/>
  <c r="AR76" i="1"/>
  <c r="AN76" i="1"/>
  <c r="AM76" i="1"/>
  <c r="AK76" i="1"/>
  <c r="AL76" i="1"/>
  <c r="AJ76" i="1"/>
  <c r="AR92" i="1"/>
  <c r="AJ92" i="1"/>
  <c r="AS92" i="1"/>
  <c r="AI92" i="1"/>
  <c r="AQ92" i="1"/>
  <c r="AP92" i="1"/>
  <c r="AO92" i="1"/>
  <c r="AN92" i="1"/>
  <c r="AK92" i="1"/>
  <c r="AM92" i="1"/>
  <c r="AT92" i="1"/>
  <c r="AU92" i="1" s="1"/>
  <c r="AV92" i="1" s="1"/>
  <c r="AW92" i="1" s="1"/>
  <c r="AL92" i="1"/>
  <c r="AT25" i="1"/>
  <c r="AU25" i="1" s="1"/>
  <c r="AV25" i="1" s="1"/>
  <c r="AW25" i="1" s="1"/>
  <c r="AS25" i="1"/>
  <c r="AR25" i="1"/>
  <c r="AP25" i="1"/>
  <c r="AO25" i="1"/>
  <c r="AN25" i="1"/>
  <c r="AM25" i="1"/>
  <c r="AJ25" i="1"/>
  <c r="AQ25" i="1"/>
  <c r="AL25" i="1"/>
  <c r="AK25" i="1"/>
  <c r="AI25" i="1"/>
  <c r="AM65" i="1"/>
  <c r="AS65" i="1"/>
  <c r="AK65" i="1"/>
  <c r="AN65" i="1"/>
  <c r="AL65" i="1"/>
  <c r="AJ65" i="1"/>
  <c r="AT65" i="1"/>
  <c r="AU65" i="1" s="1"/>
  <c r="AV65" i="1" s="1"/>
  <c r="AW65" i="1" s="1"/>
  <c r="AI65" i="1"/>
  <c r="AR65" i="1"/>
  <c r="AP65" i="1"/>
  <c r="AO65" i="1"/>
  <c r="AQ65" i="1"/>
  <c r="AS133" i="1"/>
  <c r="AK133" i="1"/>
  <c r="AN133" i="1"/>
  <c r="AM133" i="1"/>
  <c r="AL133" i="1"/>
  <c r="AI133" i="1"/>
  <c r="AT133" i="1"/>
  <c r="AU133" i="1" s="1"/>
  <c r="AV133" i="1" s="1"/>
  <c r="AW133" i="1" s="1"/>
  <c r="AP133" i="1"/>
  <c r="AO133" i="1"/>
  <c r="AJ133" i="1"/>
  <c r="AR133" i="1"/>
  <c r="AQ133" i="1"/>
  <c r="AM77" i="1"/>
  <c r="AT77" i="1"/>
  <c r="AU77" i="1" s="1"/>
  <c r="AV77" i="1" s="1"/>
  <c r="AW77" i="1" s="1"/>
  <c r="AL77" i="1"/>
  <c r="AS77" i="1"/>
  <c r="AK77" i="1"/>
  <c r="AR77" i="1"/>
  <c r="AQ77" i="1"/>
  <c r="AP77" i="1"/>
  <c r="AO77" i="1"/>
  <c r="AJ77" i="1"/>
  <c r="AN77" i="1"/>
  <c r="AI77" i="1"/>
  <c r="AM37" i="1"/>
  <c r="AT37" i="1"/>
  <c r="AU37" i="1" s="1"/>
  <c r="AV37" i="1" s="1"/>
  <c r="AW37" i="1" s="1"/>
  <c r="AL37" i="1"/>
  <c r="AS37" i="1"/>
  <c r="AK37" i="1"/>
  <c r="AR37" i="1"/>
  <c r="AJ37" i="1"/>
  <c r="AQ37" i="1"/>
  <c r="AI37" i="1"/>
  <c r="AP37" i="1"/>
  <c r="AO37" i="1"/>
  <c r="AN37" i="1"/>
  <c r="AM45" i="1"/>
  <c r="AT45" i="1"/>
  <c r="AU45" i="1" s="1"/>
  <c r="AV45" i="1" s="1"/>
  <c r="AW45" i="1" s="1"/>
  <c r="AL45" i="1"/>
  <c r="AS45" i="1"/>
  <c r="AK45" i="1"/>
  <c r="AR45" i="1"/>
  <c r="AJ45" i="1"/>
  <c r="AQ45" i="1"/>
  <c r="AI45" i="1"/>
  <c r="AO45" i="1"/>
  <c r="AP45" i="1"/>
  <c r="AN45" i="1"/>
  <c r="AO118" i="1"/>
  <c r="AT118" i="1"/>
  <c r="AU118" i="1" s="1"/>
  <c r="AV118" i="1" s="1"/>
  <c r="AW118" i="1" s="1"/>
  <c r="AK118" i="1"/>
  <c r="AS118" i="1"/>
  <c r="AJ118" i="1"/>
  <c r="AR118" i="1"/>
  <c r="AI118" i="1"/>
  <c r="AN118" i="1"/>
  <c r="AM118" i="1"/>
  <c r="AL118" i="1"/>
  <c r="AQ118" i="1"/>
  <c r="AP118" i="1"/>
  <c r="AP17" i="1"/>
  <c r="AO17" i="1"/>
  <c r="AN17" i="1"/>
  <c r="AM17" i="1"/>
  <c r="AR17" i="1"/>
  <c r="AJ17" i="1"/>
  <c r="AI17" i="1"/>
  <c r="AQ17" i="1"/>
  <c r="AT17" i="1"/>
  <c r="AU17" i="1" s="1"/>
  <c r="AV17" i="1" s="1"/>
  <c r="AW17" i="1" s="1"/>
  <c r="AS17" i="1"/>
  <c r="AL17" i="1"/>
  <c r="AK17" i="1"/>
  <c r="AT139" i="1"/>
  <c r="AU139" i="1" s="1"/>
  <c r="AV139" i="1" s="1"/>
  <c r="AW139" i="1" s="1"/>
  <c r="AL139" i="1"/>
  <c r="AS139" i="1"/>
  <c r="AK139" i="1"/>
  <c r="AP139" i="1"/>
  <c r="AR139" i="1"/>
  <c r="AQ139" i="1"/>
  <c r="AO139" i="1"/>
  <c r="AM139" i="1"/>
  <c r="AJ139" i="1"/>
  <c r="AI139" i="1"/>
  <c r="AN139" i="1"/>
  <c r="AN109" i="1"/>
  <c r="AQ109" i="1"/>
  <c r="AP109" i="1"/>
  <c r="AO109" i="1"/>
  <c r="AR109" i="1"/>
  <c r="AM109" i="1"/>
  <c r="AL109" i="1"/>
  <c r="AK109" i="1"/>
  <c r="AJ109" i="1"/>
  <c r="AT109" i="1"/>
  <c r="AU109" i="1" s="1"/>
  <c r="AV109" i="1" s="1"/>
  <c r="AW109" i="1" s="1"/>
  <c r="AI109" i="1"/>
  <c r="AS109" i="1"/>
  <c r="AM53" i="1"/>
  <c r="AT53" i="1"/>
  <c r="AU53" i="1" s="1"/>
  <c r="AV53" i="1" s="1"/>
  <c r="AW53" i="1" s="1"/>
  <c r="AL53" i="1"/>
  <c r="AS53" i="1"/>
  <c r="AK53" i="1"/>
  <c r="AR53" i="1"/>
  <c r="AJ53" i="1"/>
  <c r="AQ53" i="1"/>
  <c r="AI53" i="1"/>
  <c r="AO53" i="1"/>
  <c r="AP53" i="1"/>
  <c r="AN53" i="1"/>
  <c r="AR94" i="1"/>
  <c r="AJ94" i="1"/>
  <c r="AM94" i="1"/>
  <c r="AL94" i="1"/>
  <c r="AT94" i="1"/>
  <c r="AU94" i="1" s="1"/>
  <c r="AV94" i="1" s="1"/>
  <c r="AW94" i="1" s="1"/>
  <c r="AK94" i="1"/>
  <c r="AS94" i="1"/>
  <c r="AI94" i="1"/>
  <c r="AQ94" i="1"/>
  <c r="AO94" i="1"/>
  <c r="AP94" i="1"/>
  <c r="AN94" i="1"/>
  <c r="AP13" i="1"/>
  <c r="AO13" i="1"/>
  <c r="AN13" i="1"/>
  <c r="AM13" i="1"/>
  <c r="AR13" i="1"/>
  <c r="AJ13" i="1"/>
  <c r="AL13" i="1"/>
  <c r="AT13" i="1"/>
  <c r="AU13" i="1" s="1"/>
  <c r="AV13" i="1" s="1"/>
  <c r="AW13" i="1" s="1"/>
  <c r="AK13" i="1"/>
  <c r="AI13" i="1"/>
  <c r="AS13" i="1"/>
  <c r="AQ13" i="1"/>
  <c r="AQ30" i="1"/>
  <c r="AI30" i="1"/>
  <c r="AP30" i="1"/>
  <c r="AO30" i="1"/>
  <c r="AN30" i="1"/>
  <c r="AS30" i="1"/>
  <c r="AR30" i="1"/>
  <c r="AM30" i="1"/>
  <c r="AL30" i="1"/>
  <c r="AT30" i="1"/>
  <c r="AU30" i="1" s="1"/>
  <c r="AV30" i="1" s="1"/>
  <c r="AW30" i="1" s="1"/>
  <c r="AK30" i="1"/>
  <c r="AJ30" i="1"/>
  <c r="AS125" i="1"/>
  <c r="AK125" i="1"/>
  <c r="AR125" i="1"/>
  <c r="AI125" i="1"/>
  <c r="AQ125" i="1"/>
  <c r="AP125" i="1"/>
  <c r="AT125" i="1"/>
  <c r="AU125" i="1" s="1"/>
  <c r="AV125" i="1" s="1"/>
  <c r="AW125" i="1" s="1"/>
  <c r="AO125" i="1"/>
  <c r="AN125" i="1"/>
  <c r="AM125" i="1"/>
  <c r="AL125" i="1"/>
  <c r="AJ125" i="1"/>
  <c r="AN85" i="1"/>
  <c r="AT85" i="1"/>
  <c r="AU85" i="1" s="1"/>
  <c r="AV85" i="1" s="1"/>
  <c r="AW85" i="1" s="1"/>
  <c r="AK85" i="1"/>
  <c r="AS85" i="1"/>
  <c r="AJ85" i="1"/>
  <c r="AR85" i="1"/>
  <c r="AI85" i="1"/>
  <c r="AQ85" i="1"/>
  <c r="AP85" i="1"/>
  <c r="AO85" i="1"/>
  <c r="AM85" i="1"/>
  <c r="AL85" i="1"/>
  <c r="AM35" i="1"/>
  <c r="AT35" i="1"/>
  <c r="AU35" i="1" s="1"/>
  <c r="AV35" i="1" s="1"/>
  <c r="AW35" i="1" s="1"/>
  <c r="AL35" i="1"/>
  <c r="AS35" i="1"/>
  <c r="AK35" i="1"/>
  <c r="AR35" i="1"/>
  <c r="AJ35" i="1"/>
  <c r="AQ35" i="1"/>
  <c r="AI35" i="1"/>
  <c r="AP35" i="1"/>
  <c r="AO35" i="1"/>
  <c r="AN35" i="1"/>
  <c r="AT151" i="1"/>
  <c r="AU151" i="1" s="1"/>
  <c r="AV151" i="1" s="1"/>
  <c r="AW151" i="1" s="1"/>
  <c r="AL151" i="1"/>
  <c r="AS151" i="1"/>
  <c r="AK151" i="1"/>
  <c r="AP151" i="1"/>
  <c r="AO151" i="1"/>
  <c r="AN151" i="1"/>
  <c r="AM151" i="1"/>
  <c r="AJ151" i="1"/>
  <c r="AI151" i="1"/>
  <c r="AR151" i="1"/>
  <c r="AQ151" i="1"/>
  <c r="AR98" i="1"/>
  <c r="AJ98" i="1"/>
  <c r="AT98" i="1"/>
  <c r="AU98" i="1" s="1"/>
  <c r="AV98" i="1" s="1"/>
  <c r="AW98" i="1" s="1"/>
  <c r="AK98" i="1"/>
  <c r="AS98" i="1"/>
  <c r="AI98" i="1"/>
  <c r="AP98" i="1"/>
  <c r="AO98" i="1"/>
  <c r="AN98" i="1"/>
  <c r="AM98" i="1"/>
  <c r="AL98" i="1"/>
  <c r="AQ98" i="1"/>
  <c r="AM73" i="1"/>
  <c r="AT73" i="1"/>
  <c r="AU73" i="1" s="1"/>
  <c r="AV73" i="1" s="1"/>
  <c r="AW73" i="1" s="1"/>
  <c r="AL73" i="1"/>
  <c r="AS73" i="1"/>
  <c r="AK73" i="1"/>
  <c r="AQ73" i="1"/>
  <c r="AP73" i="1"/>
  <c r="AO73" i="1"/>
  <c r="AN73" i="1"/>
  <c r="AJ73" i="1"/>
  <c r="AR73" i="1"/>
  <c r="AI73" i="1"/>
  <c r="AM49" i="1"/>
  <c r="AT49" i="1"/>
  <c r="AU49" i="1" s="1"/>
  <c r="AV49" i="1" s="1"/>
  <c r="AW49" i="1" s="1"/>
  <c r="AL49" i="1"/>
  <c r="AS49" i="1"/>
  <c r="AK49" i="1"/>
  <c r="AR49" i="1"/>
  <c r="AJ49" i="1"/>
  <c r="AQ49" i="1"/>
  <c r="AI49" i="1"/>
  <c r="AO49" i="1"/>
  <c r="AP49" i="1"/>
  <c r="AN49" i="1"/>
  <c r="AN83" i="1"/>
  <c r="AQ83" i="1"/>
  <c r="AP83" i="1"/>
  <c r="AO83" i="1"/>
  <c r="AM83" i="1"/>
  <c r="AI83" i="1"/>
  <c r="AT83" i="1"/>
  <c r="AU83" i="1" s="1"/>
  <c r="AV83" i="1" s="1"/>
  <c r="AW83" i="1" s="1"/>
  <c r="AS83" i="1"/>
  <c r="AR83" i="1"/>
  <c r="AK83" i="1"/>
  <c r="AL83" i="1"/>
  <c r="AJ83" i="1"/>
</calcChain>
</file>

<file path=xl/sharedStrings.xml><?xml version="1.0" encoding="utf-8"?>
<sst xmlns="http://schemas.openxmlformats.org/spreadsheetml/2006/main" count="666" uniqueCount="453">
  <si>
    <t>Cod_producto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</si>
  <si>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</si>
  <si>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</si>
  <si>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</si>
  <si>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</si>
  <si>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</si>
  <si>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</si>
  <si>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</si>
  <si>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</si>
  <si>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</si>
  <si>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</si>
  <si>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</si>
  <si>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</si>
  <si>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C1010.21111</t>
  </si>
  <si>
    <t>C1010.21113</t>
  </si>
  <si>
    <t>C1010.21119</t>
  </si>
  <si>
    <t>C1010.21121</t>
  </si>
  <si>
    <t>C1010.21160</t>
  </si>
  <si>
    <t>C1010.21174</t>
  </si>
  <si>
    <t>C1030.21311</t>
  </si>
  <si>
    <t>C1030.21395</t>
  </si>
  <si>
    <t>C1030.21399</t>
  </si>
  <si>
    <t>C1030.21431</t>
  </si>
  <si>
    <t>C1030.21435</t>
  </si>
  <si>
    <t>C1030.21439</t>
  </si>
  <si>
    <t>C1030.21491</t>
  </si>
  <si>
    <t>C1030.21492</t>
  </si>
  <si>
    <t>C1030.21493</t>
  </si>
  <si>
    <t>C1030.21494</t>
  </si>
  <si>
    <t>C1030.21495</t>
  </si>
  <si>
    <t>C1030.21499</t>
  </si>
  <si>
    <t>C1040.21535</t>
  </si>
  <si>
    <t>C1040.21539</t>
  </si>
  <si>
    <t>C1040.21545</t>
  </si>
  <si>
    <t>C1040.21549</t>
  </si>
  <si>
    <t>C1050.22110</t>
  </si>
  <si>
    <t>C1050.22120</t>
  </si>
  <si>
    <t>C1050.22251</t>
  </si>
  <si>
    <t>C1050.22260</t>
  </si>
  <si>
    <t>C1050.22270</t>
  </si>
  <si>
    <t>C1050.22290</t>
  </si>
  <si>
    <t>C1061.23110</t>
  </si>
  <si>
    <t>C1061.23130</t>
  </si>
  <si>
    <t>C1061.23140A</t>
  </si>
  <si>
    <t>C1061.23140B</t>
  </si>
  <si>
    <t>C1061.23161</t>
  </si>
  <si>
    <t>C1071.23420</t>
  </si>
  <si>
    <t>C1071.23430</t>
  </si>
  <si>
    <t>C1071.23490A</t>
  </si>
  <si>
    <t>C1071.23490B</t>
  </si>
  <si>
    <t>C1072.23511</t>
  </si>
  <si>
    <t>C1072.23520</t>
  </si>
  <si>
    <t>C1073.23650</t>
  </si>
  <si>
    <t>C1073.23660</t>
  </si>
  <si>
    <t>C1073.23670</t>
  </si>
  <si>
    <t>C1074.23710</t>
  </si>
  <si>
    <t>C1079.23911</t>
  </si>
  <si>
    <t>C1079.23912</t>
  </si>
  <si>
    <t>C1079.23921</t>
  </si>
  <si>
    <t>C1079.23992</t>
  </si>
  <si>
    <t>C1079.23995</t>
  </si>
  <si>
    <t>C1079.23996</t>
  </si>
  <si>
    <t>C1079.23999</t>
  </si>
  <si>
    <t>C1080.23311</t>
  </si>
  <si>
    <t>C1080.23319</t>
  </si>
  <si>
    <t>C1103.24310</t>
  </si>
  <si>
    <t>C1104.24410</t>
  </si>
  <si>
    <t>C1311.26360</t>
  </si>
  <si>
    <t>C1311.26420</t>
  </si>
  <si>
    <t>C1312.26610</t>
  </si>
  <si>
    <t>C1312.26690</t>
  </si>
  <si>
    <t>C1312.26720</t>
  </si>
  <si>
    <t>C1312.26730</t>
  </si>
  <si>
    <t>C1392.27120</t>
  </si>
  <si>
    <t>C1392.27180</t>
  </si>
  <si>
    <t>C1392.27190</t>
  </si>
  <si>
    <t>C1399.27911</t>
  </si>
  <si>
    <t>C1410.28221</t>
  </si>
  <si>
    <t>C1410.28222</t>
  </si>
  <si>
    <t>C1410.28224</t>
  </si>
  <si>
    <t>C1410.28225</t>
  </si>
  <si>
    <t>C1410.28231</t>
  </si>
  <si>
    <t>C1410.28232</t>
  </si>
  <si>
    <t>C1410.28233</t>
  </si>
  <si>
    <t>C1410.28234</t>
  </si>
  <si>
    <t>C1410.88221</t>
  </si>
  <si>
    <t>C1410.88223</t>
  </si>
  <si>
    <t>C1520.29320</t>
  </si>
  <si>
    <t>C1520.29330</t>
  </si>
  <si>
    <t>C1520.29490</t>
  </si>
  <si>
    <t>C1610.31100</t>
  </si>
  <si>
    <t>C1610.31210</t>
  </si>
  <si>
    <t>C1610.31310</t>
  </si>
  <si>
    <t>C1621.31420</t>
  </si>
  <si>
    <t>C1621.31430</t>
  </si>
  <si>
    <t>C1621.31440</t>
  </si>
  <si>
    <t>C1622.31600</t>
  </si>
  <si>
    <t>C1702.32153</t>
  </si>
  <si>
    <t>C1709.32193</t>
  </si>
  <si>
    <t>C1709.32199</t>
  </si>
  <si>
    <t>C1709.32700</t>
  </si>
  <si>
    <t>C1811.32690</t>
  </si>
  <si>
    <t>C2011.24110</t>
  </si>
  <si>
    <t>C2011.34210</t>
  </si>
  <si>
    <t>C2011.34240</t>
  </si>
  <si>
    <t>C2011.34310</t>
  </si>
  <si>
    <t>C2011.34340</t>
  </si>
  <si>
    <t>C2012.34641</t>
  </si>
  <si>
    <t>C2012.34644</t>
  </si>
  <si>
    <t>C2012.34649</t>
  </si>
  <si>
    <t>C2012.34659</t>
  </si>
  <si>
    <t>C2021.34661</t>
  </si>
  <si>
    <t>C2021.34663</t>
  </si>
  <si>
    <t>C2022.35110</t>
  </si>
  <si>
    <t>C2023.35321</t>
  </si>
  <si>
    <t>C2023.35322</t>
  </si>
  <si>
    <t>C2023.35323</t>
  </si>
  <si>
    <t>C2029.35420</t>
  </si>
  <si>
    <t>C2029.35450</t>
  </si>
  <si>
    <t>C2029.35460</t>
  </si>
  <si>
    <t>C2029.35490</t>
  </si>
  <si>
    <t>C2029.38998</t>
  </si>
  <si>
    <t>C2100.35260</t>
  </si>
  <si>
    <t>C2100.35270</t>
  </si>
  <si>
    <t>C2220.36320</t>
  </si>
  <si>
    <t>C2220.36410</t>
  </si>
  <si>
    <t>C2220.36490</t>
  </si>
  <si>
    <t>C2220.36920</t>
  </si>
  <si>
    <t>C2220.36950</t>
  </si>
  <si>
    <t>C2220.36990</t>
  </si>
  <si>
    <t>C2310.37191</t>
  </si>
  <si>
    <t>C2392.37210</t>
  </si>
  <si>
    <t>C2392.37350</t>
  </si>
  <si>
    <t>C2392.37370</t>
  </si>
  <si>
    <t>C2394.37440</t>
  </si>
  <si>
    <t>C2395.37510</t>
  </si>
  <si>
    <t>C2395.37540</t>
  </si>
  <si>
    <t>C2410.41211</t>
  </si>
  <si>
    <t>C2410.41231</t>
  </si>
  <si>
    <t>C2410.41241</t>
  </si>
  <si>
    <t>C2410.41242</t>
  </si>
  <si>
    <t>C2410.41251</t>
  </si>
  <si>
    <t>C2410.41262</t>
  </si>
  <si>
    <t>C2410.41283</t>
  </si>
  <si>
    <t>C2511.42190</t>
  </si>
  <si>
    <t>C2512.42210</t>
  </si>
  <si>
    <t>C2599.42912</t>
  </si>
  <si>
    <t>C2599.42931</t>
  </si>
  <si>
    <t>C2599.42945</t>
  </si>
  <si>
    <t>C2599.42993</t>
  </si>
  <si>
    <t>C2819.43913</t>
  </si>
  <si>
    <t>C2819.87310</t>
  </si>
  <si>
    <t>C2821.44160</t>
  </si>
  <si>
    <t>C2920.49229</t>
  </si>
  <si>
    <t>C2930.49129</t>
  </si>
  <si>
    <t>C3100.38122</t>
  </si>
  <si>
    <t>C3100.38140</t>
  </si>
  <si>
    <t>C3100.38150</t>
  </si>
  <si>
    <t>C3211.38240</t>
  </si>
  <si>
    <t>C3212.38997</t>
  </si>
  <si>
    <t>Enero.2024</t>
  </si>
  <si>
    <t>Promedio</t>
  </si>
  <si>
    <t>Factor</t>
  </si>
  <si>
    <t>Enero.2025</t>
  </si>
  <si>
    <t>21111</t>
  </si>
  <si>
    <t>Carne de ganado bovino, fresca o refrigerada</t>
  </si>
  <si>
    <t>21113</t>
  </si>
  <si>
    <t>Carne de cerdo, fresca o refrigerada</t>
  </si>
  <si>
    <t>21119</t>
  </si>
  <si>
    <t>Otras carnes de mamíferos, fresca o refrigerada</t>
  </si>
  <si>
    <t>21121</t>
  </si>
  <si>
    <t>Carne de pollo, fresca o refrigerada</t>
  </si>
  <si>
    <t>Despojos comestibles de aves de corral, frescos, refrigerados o congelados</t>
  </si>
  <si>
    <t>21174</t>
  </si>
  <si>
    <t>Embutidos y productos similares de carne, despojos o sangre</t>
  </si>
  <si>
    <t>21431</t>
  </si>
  <si>
    <t>Jugo de naranja</t>
  </si>
  <si>
    <t>21435</t>
  </si>
  <si>
    <t>Jugo de manzana</t>
  </si>
  <si>
    <t>21439</t>
  </si>
  <si>
    <t>Otros jugos de frutas, n.c.p.</t>
  </si>
  <si>
    <t>Frijoles estén o no desenvainados, cocidos en agua o vapor, Congelados.</t>
  </si>
  <si>
    <t>Frijoles, preparados o conservados, sin congelar. (excepto en vinagre o ácido acético).</t>
  </si>
  <si>
    <t>Otros vegetales y legumbres, conservados por algo que no sea vinagre, ácido acético o azúcar, n.c.p.</t>
  </si>
  <si>
    <t>21491</t>
  </si>
  <si>
    <t>Piñas, preparadas o conservados</t>
  </si>
  <si>
    <t>21492</t>
  </si>
  <si>
    <t>Melocotones, preparados o conservados</t>
  </si>
  <si>
    <t>21493</t>
  </si>
  <si>
    <t>Otras frutas, sin cocer o cocidos, congelados</t>
  </si>
  <si>
    <t>21494</t>
  </si>
  <si>
    <t>Compotas, jaleas y mermeladas, purés y pastas de frutas u otros frutos</t>
  </si>
  <si>
    <t>21495</t>
  </si>
  <si>
    <t>Mantequilla de maní, pastas de almendra y otras mezclas de nueces y semillas tosdados, salados o preparados de otro modo n.c.p</t>
  </si>
  <si>
    <t>21499</t>
  </si>
  <si>
    <t>Otras preparaciones y conservas de frutas y nueces, n.c.p.</t>
  </si>
  <si>
    <t>21535</t>
  </si>
  <si>
    <t>Aceite de palma, crudo</t>
  </si>
  <si>
    <t>21539</t>
  </si>
  <si>
    <t>Los demás aceites vegetales, crudo, n.c.p.</t>
  </si>
  <si>
    <t>21545</t>
  </si>
  <si>
    <t>Aceite de palma, refinado</t>
  </si>
  <si>
    <t>21549</t>
  </si>
  <si>
    <t>Otros aceites vegetales, refinados, n.c.p.</t>
  </si>
  <si>
    <t>22251</t>
  </si>
  <si>
    <t>Quesos de leche de bovino, frescos o procesados</t>
  </si>
  <si>
    <t>22260</t>
  </si>
  <si>
    <t>Caseina</t>
  </si>
  <si>
    <t>22270</t>
  </si>
  <si>
    <t>Helados y productos similares</t>
  </si>
  <si>
    <t>22290</t>
  </si>
  <si>
    <t>Productos lácteos n.c.p.</t>
  </si>
  <si>
    <t>22110</t>
  </si>
  <si>
    <t>Leche liquida procesada</t>
  </si>
  <si>
    <t>22120</t>
  </si>
  <si>
    <t>Crema fresca</t>
  </si>
  <si>
    <t>23110</t>
  </si>
  <si>
    <t xml:space="preserve">Harina de trigo o de morcajo (tranquillón)                                                                                                    </t>
  </si>
  <si>
    <t>23130</t>
  </si>
  <si>
    <t>Grañones (Avena), sémola y pellets de cereales excepto trigo y arroz</t>
  </si>
  <si>
    <t>23140A</t>
  </si>
  <si>
    <t>Otros productos de cereales incluyendo hojuelas de maíz</t>
  </si>
  <si>
    <t>23140B</t>
  </si>
  <si>
    <t>Otros productos de cereales de arroz</t>
  </si>
  <si>
    <t>23161</t>
  </si>
  <si>
    <t>Arroz, semi- o totalmente molido</t>
  </si>
  <si>
    <t>23490A</t>
  </si>
  <si>
    <t>Pan y productos de panadería</t>
  </si>
  <si>
    <t>23420</t>
  </si>
  <si>
    <t>Pan de especias, galletas dulces, obleas y barquillos</t>
  </si>
  <si>
    <t>23430</t>
  </si>
  <si>
    <t>Los demás productos de panadería y repostería n.c.p. incluso tortillas de harina de trigo (Pasteles)</t>
  </si>
  <si>
    <t>23490B</t>
  </si>
  <si>
    <t>23511</t>
  </si>
  <si>
    <t>Azúcar de caña en bruto (sin refinar) sin adición de aromatizantes ni colorantes</t>
  </si>
  <si>
    <t>23520</t>
  </si>
  <si>
    <t>Azúcar refinada</t>
  </si>
  <si>
    <t>23650</t>
  </si>
  <si>
    <t>Chocolate y demás preparaciones alimenticias que contengan cacao (excepto cacao en polvo edulcorado) a granel</t>
  </si>
  <si>
    <t>23660</t>
  </si>
  <si>
    <t>Chocolate y demás preparaciones alimenticias que contengan cacao (excepto cacao en polvo edulcorado), en bloques, tabletas, o barras excepto a granel</t>
  </si>
  <si>
    <t>23670</t>
  </si>
  <si>
    <t>Artículos de confitería preparados con azúcar (incluyendo chocolate blanco) que no contengan cacao; vegetales, frutas, frutos secos, cascara de frutas y otras partes de plantas, conservadas por azúcar (Dulces).</t>
  </si>
  <si>
    <t>23710</t>
  </si>
  <si>
    <t>Pastas alimenticias sin cocer, rellenar ni preparar de otra forma</t>
  </si>
  <si>
    <t>23911</t>
  </si>
  <si>
    <t>Café, descafeinado o tostado</t>
  </si>
  <si>
    <t>23912</t>
  </si>
  <si>
    <t>Sustitutos de café que contienen café; extractos, esencias y concentrados del café, y preparaciones con a base de ellos o con base a café; achicoria tostada y otros substitutos de café tostados, y extractos, esencias y sus concentrados</t>
  </si>
  <si>
    <t>23921</t>
  </si>
  <si>
    <t>Pimienta procesada</t>
  </si>
  <si>
    <t>23992</t>
  </si>
  <si>
    <t>Sopas y caldos y preparaciones de los mismos</t>
  </si>
  <si>
    <t>23995</t>
  </si>
  <si>
    <t>Salsas; condimentos mixtos; harinas de mostaza y sustancias en polvo; mostaza preparada</t>
  </si>
  <si>
    <t>23996</t>
  </si>
  <si>
    <t>Levaduras (activas o inactivas); otros microorganismos unicelulares, muertos; polvos de hornear preparados</t>
  </si>
  <si>
    <t>23999</t>
  </si>
  <si>
    <t>Otros productos alimenticios n.c.p.</t>
  </si>
  <si>
    <t>23311</t>
  </si>
  <si>
    <t>Alimentos para perros o gatos, acondicionados para la venta al por menor (Concentrados).</t>
  </si>
  <si>
    <t>23319</t>
  </si>
  <si>
    <t xml:space="preserve">Alimentos preparados para otros animales y premezclas para la fabricación de alimentos para animales (Concentrados). </t>
  </si>
  <si>
    <t>24310</t>
  </si>
  <si>
    <t>Cerveza de malta (con o sin alcohol)</t>
  </si>
  <si>
    <t>24410</t>
  </si>
  <si>
    <t>Aguas embotelladas, no endulzadas ni saborizadas (Agua pura, agua con gas o mineral sin sabor, hielo)</t>
  </si>
  <si>
    <t>C1104.24490A</t>
  </si>
  <si>
    <t>24490A</t>
  </si>
  <si>
    <t>Otras bebidas calóricas no alcohólicas (Bebidas gaseosas, jugos y refrescos artificiales, bebidas deportivas, agua mineral con sabor)</t>
  </si>
  <si>
    <t>C1104.24490B</t>
  </si>
  <si>
    <t>24490B</t>
  </si>
  <si>
    <t>Otras bebidas calóricas no alcohólicas (Bebidas hidratantes y bebidas energizantes)</t>
  </si>
  <si>
    <t>C1104.24490C</t>
  </si>
  <si>
    <t>24490C</t>
  </si>
  <si>
    <t>Refrescos artificiales</t>
  </si>
  <si>
    <t>26360</t>
  </si>
  <si>
    <t>Hilados de algodón (excepto hilo de coser), que contiene 85% o más en peso de algodón</t>
  </si>
  <si>
    <t>26420</t>
  </si>
  <si>
    <t>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</t>
  </si>
  <si>
    <t>26610</t>
  </si>
  <si>
    <t>Tejidos de algodón con un contenido 85% o más en peso de algodón, de peso no superior 200 g/m2</t>
  </si>
  <si>
    <t>26690</t>
  </si>
  <si>
    <t>Otros tejidos de algodón</t>
  </si>
  <si>
    <t>26720</t>
  </si>
  <si>
    <t>Otros tejidos de hilados de filamentos sintéticos o artificiales, que contienen 85% o más en peso de tales filamentos</t>
  </si>
  <si>
    <t>26730</t>
  </si>
  <si>
    <t>Otros tejidos de hilados de filamentos artificiales o sintéticos</t>
  </si>
  <si>
    <t>Ropa de cama, mantelería, toallas de baño y paños de cocina</t>
  </si>
  <si>
    <t>Colchas, edredones, cojines, pufs, almohadas, sacos de dormir y artículos similares, con resortes o rellenos o guarnecidos interiormente con cualquier material o de caucho celular o plástico</t>
  </si>
  <si>
    <t>Otros artículos confeccionados con materias textiles (incluyendo paños para pisos -trapeadores-, paños para platos, limpia polvo y artículos similares para limpieza, chalecos salvavidas y cinturones salvavidas)</t>
  </si>
  <si>
    <t>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</si>
  <si>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28221</t>
  </si>
  <si>
    <t>Trajes, abrigos, chaquetas, pantalones largos, pantalones cortos y artículos análogos para hombres o niños, de punto o ganchillo</t>
  </si>
  <si>
    <t>28222</t>
  </si>
  <si>
    <t>Camisas, calzoncillos (ropa interior), pijamas, batas y artículos similares para hombres o niños, de punto o ganchillo</t>
  </si>
  <si>
    <t>28224</t>
  </si>
  <si>
    <t>Blusas, camisas (Incluso los Güipiles típicos), enaguas, bragas, camisones, batas y artículos similares para mujeres o niñas, de punto o ganchillo</t>
  </si>
  <si>
    <t>28225</t>
  </si>
  <si>
    <t>Camisetas y T-shirts (playeras) de todo tipo, de punto o ganchillo</t>
  </si>
  <si>
    <t>28231</t>
  </si>
  <si>
    <t>Trajes, abrigos, chaquetas, pantalones largos, pantalones cortos y artículos similares para hombres o niños, de tejidos que no sean de punto o ganchillo</t>
  </si>
  <si>
    <t>28232</t>
  </si>
  <si>
    <t>Camisas, camisetas, calzoncillos, pijamas, batas y artículos análogos para hombres o niños, de tejidos que no sean de punto o ganchillo</t>
  </si>
  <si>
    <t>28233</t>
  </si>
  <si>
    <t>Trajes sastre, abrigos, chaquetas, vestidos, faldas, pantalones largos, pantalones cortos y artículos análogos para mujeres o niñas, de tejidos que no sean de punto o ganchillo</t>
  </si>
  <si>
    <t>28234</t>
  </si>
  <si>
    <t>Blusas, camisas, camisetas, enaguas, bragas, camisones, batas y artículos análogos para mujeres o niñas, de tejidos que no sean de punto o ganchillo</t>
  </si>
  <si>
    <t>88221</t>
  </si>
  <si>
    <t>Servicios de fabricación de prendas de vestir, excepto prendas de piel</t>
  </si>
  <si>
    <t>88223</t>
  </si>
  <si>
    <t>Servicios de fabricación de prendas de vestir de punto y ganchillo</t>
  </si>
  <si>
    <t>29320</t>
  </si>
  <si>
    <t>Calzado con suela y parte superior de caucho o de plástico, excepto el impermeable y el calzado deportivo</t>
  </si>
  <si>
    <t>29330</t>
  </si>
  <si>
    <t>Calzado con la parte superior de cuero, excepto el calzado deportivo, calzado con puntera metálica de protección y calzado especial diverso</t>
  </si>
  <si>
    <t>29490</t>
  </si>
  <si>
    <t>Otro calzado de deporte, excepto las botas de patinaje</t>
  </si>
  <si>
    <t>31100</t>
  </si>
  <si>
    <t>Madera aserrada o desbastada longitudinalmente, cortadas o desenrolladas, de un espesor superior a 6 mm, traviesas de ferrocarril o tranvía (durmientes) de madera sin impregnar</t>
  </si>
  <si>
    <t>31210</t>
  </si>
  <si>
    <t>Madera con librado continuo a lo largo de cualquiera de sus bordes o caras (incluidas las tablillas y frisos para parqués, sin ensamblar, listones y molduras)</t>
  </si>
  <si>
    <t>31310</t>
  </si>
  <si>
    <t>Madera sin elaborar, tratada con pintura colorantes, creosota u otros preservativos</t>
  </si>
  <si>
    <t>Las demás madera contrachapada, madera chapada y madera estratificada similar, con excepción de bambú</t>
  </si>
  <si>
    <t>31430</t>
  </si>
  <si>
    <t>Tableros de partículas (aglomerados) y Tableros similares de madera u otras materias leñosas</t>
  </si>
  <si>
    <t>31440</t>
  </si>
  <si>
    <t>Tableros de fibra de madera u otros materiales leñosos</t>
  </si>
  <si>
    <t>31600</t>
  </si>
  <si>
    <t>Obras y piezas de carpintería para edificios y construcción (incluso tableros de madera celular, tableros armados para pisos de parqué, tablillas y ripias)</t>
  </si>
  <si>
    <t>32153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</si>
  <si>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</t>
  </si>
  <si>
    <t>32193</t>
  </si>
  <si>
    <t>Papel higiénico, pañuelos, toallas, servilletas, pañales para lactantes, tampones higiénicos y artículos similares higiénicos para el hogar u hospitales; y prendas de vestir, pulpa de papel, papel, guata de celulosa o redes de fibras de celulosa</t>
  </si>
  <si>
    <t>32199</t>
  </si>
  <si>
    <t>Los demás artículos de papel n.c.p.</t>
  </si>
  <si>
    <t>Libros de registro, libros de contabilidad, cuadernillos de notas, bloques para cartas, agendas y artículos similares, secantes, encuadernadores, clasificadores para archivos, formularios y otros artículos de escritorio de papel o cartón</t>
  </si>
  <si>
    <t>24110</t>
  </si>
  <si>
    <t>Alcohol etílico sin desnaturalizar con grado alcohólico volumétrico de 80% o más</t>
  </si>
  <si>
    <t>34210</t>
  </si>
  <si>
    <t>Hidrógeno, nitrógeno, oxígeno, dióxido de carbono y gases nobles, compuestos oxigenados inorgánicos de elementos no metálicos n.c.p.</t>
  </si>
  <si>
    <t>34240</t>
  </si>
  <si>
    <t>Fosfatos de triamonio, sus sales y peroxisales de ácidos inorgánicos y metales n.c.p.</t>
  </si>
  <si>
    <t>34310</t>
  </si>
  <si>
    <t>Preparaciones y materias colorantes orgánicas sintéticas y preparaciones en base a ellas, productos orgánicos sintéticos de los utilizados para el avivado fluorescente o como luminóforos; lacas colorantes y preparaciones a base a ellas</t>
  </si>
  <si>
    <t>34340</t>
  </si>
  <si>
    <t>Materias colorantes n.c.p.; productos inorgánicos de los tipos utilizados como luminóforos</t>
  </si>
  <si>
    <t>34641</t>
  </si>
  <si>
    <t>Fertilizantes minerales que contienen tres nutrientes: nitrógeno, fosfatos y potasio</t>
  </si>
  <si>
    <t>Otros fertilizantes fosfatados, n.c.p.</t>
  </si>
  <si>
    <t>34649</t>
  </si>
  <si>
    <t>Otros fertilizantes minerales o químicos que contienen al menos dos nutrientes (nitrógeno, fosfato, potasio), n.c.p.</t>
  </si>
  <si>
    <t>34659</t>
  </si>
  <si>
    <t>Fertilizantes n.c.p.</t>
  </si>
  <si>
    <t>34661</t>
  </si>
  <si>
    <t>Insecticidas</t>
  </si>
  <si>
    <t>34663</t>
  </si>
  <si>
    <t>Herbicidas, inhibidores de germinación y reguladores del crecimiento de las plantas</t>
  </si>
  <si>
    <t>35110</t>
  </si>
  <si>
    <t>Pinturas y barnices y productos relacionados</t>
  </si>
  <si>
    <t>35321</t>
  </si>
  <si>
    <t>Jabón, productos orgánicos tensoactivos y preparados para usar como jabón, papel, guata, fieltro y telas sin tejer, impregnados, recubiertos o revestidos de jabón o detergente</t>
  </si>
  <si>
    <t>35322</t>
  </si>
  <si>
    <t>Detergentes y preparaciones para lavar</t>
  </si>
  <si>
    <t>35323</t>
  </si>
  <si>
    <t>Perfumes y preparaciones de tocador</t>
  </si>
  <si>
    <t>35420</t>
  </si>
  <si>
    <t>Pegamentos y gelatina, peptonas y sus derivados y productos semejantes; caseinatos y otros derivados de la caseína; albuminatos y otros derivados de las albúminas</t>
  </si>
  <si>
    <t>35450</t>
  </si>
  <si>
    <t>Explosivos preparados, mechas de seguridad, cordones detonantes, fulminantes o detonadores, equipos de encendido, detonadores eléctricos (pólvora)</t>
  </si>
  <si>
    <t>35460</t>
  </si>
  <si>
    <t>Artículos pirotécnicos</t>
  </si>
  <si>
    <t>35490</t>
  </si>
  <si>
    <t>Otros productos químicos n.c.p.</t>
  </si>
  <si>
    <t>38998</t>
  </si>
  <si>
    <t xml:space="preserve">Fósforos o cerillas </t>
  </si>
  <si>
    <t>35260</t>
  </si>
  <si>
    <t>Medicamentos, para usos terapéuticos o profilácticos</t>
  </si>
  <si>
    <t>35270</t>
  </si>
  <si>
    <t>Otros productos farmacéuticos</t>
  </si>
  <si>
    <t>36320</t>
  </si>
  <si>
    <t>Tubos, caños y mangueras y accesorios, de plástico</t>
  </si>
  <si>
    <t>36410</t>
  </si>
  <si>
    <t>Sacos y bolsas de plástico</t>
  </si>
  <si>
    <t>36490</t>
  </si>
  <si>
    <t>Otros artículos para el transporte o envasado, de plástico; tapones, tapas, cápsulas y demás dispositivos de cierre, de plástico</t>
  </si>
  <si>
    <t>36920</t>
  </si>
  <si>
    <t>Planchas, hojas, películas, cintas, tiras y otras formas planas autoadhesivas, de plásticos</t>
  </si>
  <si>
    <t>36950</t>
  </si>
  <si>
    <t>Artículos para la construcción, de plástico, n.c.p.</t>
  </si>
  <si>
    <t>36990</t>
  </si>
  <si>
    <t>Artículos plásticos n.c.p.</t>
  </si>
  <si>
    <t>37191</t>
  </si>
  <si>
    <t>Botellas, tarros, frascos y otros recipientes de vidrio, del tipo de los utilizados para el transporte o envasado de mercancías, excepto ampollas; tapones, tapas y demás dispositivos de cierre, de vidrio</t>
  </si>
  <si>
    <t>37210</t>
  </si>
  <si>
    <t>Lavaderos, bañeras, inodoros, cisternas de descarga de agua y artefactos sanitarios similares de cerámicos</t>
  </si>
  <si>
    <t>37350</t>
  </si>
  <si>
    <t>Ladrillos de construcción, bloques para pisos, losas de apoyo o de relleno, tejas, cañones de chimeneas, sombreretes y revestimientos de chimeneas, ornamentos arquitectónicos y otros artículos de construcción, de cerámicos no refractarios</t>
  </si>
  <si>
    <t>37370</t>
  </si>
  <si>
    <t>Baldosas y losas para pavimentos, chimeneas o muros; cubos de mosaicos de cerámicos y artículos similares</t>
  </si>
  <si>
    <t>37440</t>
  </si>
  <si>
    <t>Cemento Portland, cemento alumináceo, cemento de escorias y cementos hidráulicos similares, excepto en forma de clinkers (CEMENTO GRIS)</t>
  </si>
  <si>
    <t>37510</t>
  </si>
  <si>
    <t>Hormigones (Concreto) y morteros, no refractarios</t>
  </si>
  <si>
    <t>37540</t>
  </si>
  <si>
    <t>Azulejos, baldosas, ladrillos y artículos similares, de cemento, hormigón o piedra artificial (Block)</t>
  </si>
  <si>
    <t>41211</t>
  </si>
  <si>
    <t>Productos laminados planos de hierro o acero no aleado, sin otra elaboración que el laminado en caliente, de un ancho de 600 mm o más</t>
  </si>
  <si>
    <t>41231</t>
  </si>
  <si>
    <t>Productos laminados planos de hierro o acero no aleado, revestidos, enchapados, recubiertos o con mayor elaboración</t>
  </si>
  <si>
    <t>41241</t>
  </si>
  <si>
    <t>Barras y varillas, laminadas en caliente, enrolladas irregularmente, de hierro o acero no aleado</t>
  </si>
  <si>
    <t>41242</t>
  </si>
  <si>
    <t>Otras barras y varillas de hierro o acero no aleado, sin otra elaboración que el forjado, laminado, estirado o la extrusión en caliente, incluso las sometidas a torsión después del laminado</t>
  </si>
  <si>
    <t>41251</t>
  </si>
  <si>
    <t>Ángulos, perfiles y secciones, sin otra elaboración que el laminado o extrusión en caliente o extrudidos, de hierro o acero no aleado</t>
  </si>
  <si>
    <t>41262</t>
  </si>
  <si>
    <t>Ángulos, perfiles y secciones, de hierro o acero no aleados, moldeado o acabado en frío, con mayor elaboración</t>
  </si>
  <si>
    <t>41283</t>
  </si>
  <si>
    <t>Otros tubos y cañerías, de sección transversal circular, sin soldadura</t>
  </si>
  <si>
    <t>42190</t>
  </si>
  <si>
    <t>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</t>
  </si>
  <si>
    <t>42210</t>
  </si>
  <si>
    <t>Depósitos, cisternas, cubas y recipientes similares (excepto para gas comprimido o licuado), de hierro, acero o aluminio, de una capacidad superior a 300 litros, sin dispositivos mecánicos o térmicos</t>
  </si>
  <si>
    <t>42912</t>
  </si>
  <si>
    <t>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</t>
  </si>
  <si>
    <t>42931</t>
  </si>
  <si>
    <t>Cisternas, barriles, tambores, bidones, cajas y recipientes similares (excepto para gas comprimido o licuado) de hierro, acero o aluminio, de una capacidad no superior a 300 litros, sin dispositivos mecánicos o térmicos</t>
  </si>
  <si>
    <t>42945</t>
  </si>
  <si>
    <t>Resortes y hojas para resortes, de hierro o acero</t>
  </si>
  <si>
    <t>42993</t>
  </si>
  <si>
    <t>Cajas fuertes blindadas o reforzadas, cofres de seguridad, puertas y casilleros de seguridad para habitaciones o cámaras blindadas, cajas de dinero o documentos y artículos similares, de metales comunes</t>
  </si>
  <si>
    <t>87310</t>
  </si>
  <si>
    <t>Servicios de instalación de productos metálicos elaborados, excepto maquinaria y equipo</t>
  </si>
  <si>
    <t>43913</t>
  </si>
  <si>
    <t>Equipo de refrigeración o congelación y bombas de calor, excepto equipo para uso doméstico</t>
  </si>
  <si>
    <t>44160</t>
  </si>
  <si>
    <t>Remolques y semirremolques, autocargadores o autodescargadores, para uso agrícola</t>
  </si>
  <si>
    <t>49229</t>
  </si>
  <si>
    <t>Otros tipos de remolques y semi-remolques (incluidos los de uso  para transporte de mercancías), con excepción de los de uso  para fines agrícolas con sistema de carga o descarga automática</t>
  </si>
  <si>
    <t>49129</t>
  </si>
  <si>
    <t>Otras partes y accesorios de vehículos automotores (incluso frenos, cajas de engranajes, ejes, ruedas, amortiguadores de suspensión, radiadores, silenciadores, tubos de escape, embragues, volantes, columnas de dirección, cárteres de dirección y sus partes) n.c.p.</t>
  </si>
  <si>
    <t>38122</t>
  </si>
  <si>
    <t>Otros muebles de madera, del tipo utilizado en oficinas</t>
  </si>
  <si>
    <t>38140</t>
  </si>
  <si>
    <t>Otros muebles n.c.p.</t>
  </si>
  <si>
    <t>38150</t>
  </si>
  <si>
    <t>Somieres; colchones, con resortes o rellenos con cualquier material, incluidos los de caucho o plástico celular, estén o no recubiertos</t>
  </si>
  <si>
    <t>38240</t>
  </si>
  <si>
    <t>Joyas y otros artículos de metales preciosos o de metales revestidos con metales preciosos; artículos de perlas naturales o cultivadas, de piedras preciosas o semipreciosas (naturales, sintéticas o reconstituidas)</t>
  </si>
  <si>
    <t>38997</t>
  </si>
  <si>
    <t>Bisutería (joyas de fantasía)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</si>
</sst>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DD32-A4DD-4444-9E37-8D5B93144517}">
  <dimension ref="A1:BC151"/>
  <sheetViews>
    <sheetView tabSelected="1" workbookViewId="0">
      <selection activeCell="AK2" sqref="AK2"/>
    </sheetView>
  </sheetViews>
  <sheetFormatPr defaultRowHeight="14.5" x14ac:dyDescent="0.35"/>
  <cols>
    <col min="1" max="1" width="13.6328125" style="1" customWidth="1"/>
    <col min="2" max="18" width="8.7265625" style="1"/>
    <col min="19" max="19" width="5.81640625" style="1" customWidth="1"/>
    <col min="20" max="33" width="8.7265625" style="1"/>
    <col min="34" max="34" width="13.7265625" style="1" customWidth="1"/>
    <col min="35" max="46" width="8.7265625" style="1"/>
    <col min="47" max="47" width="11.1796875" style="1" customWidth="1"/>
    <col min="48" max="50" width="8.7265625" style="1"/>
    <col min="51" max="51" width="13" style="1" customWidth="1"/>
    <col min="52" max="16384" width="8.7265625" style="1"/>
  </cols>
  <sheetData>
    <row r="1" spans="1:55" ht="29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</v>
      </c>
      <c r="P1" s="1" t="s">
        <v>2</v>
      </c>
      <c r="Q1" s="1" t="s">
        <v>3</v>
      </c>
      <c r="S1" s="3" t="s">
        <v>160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161</v>
      </c>
      <c r="AF1" s="1" t="s">
        <v>162</v>
      </c>
      <c r="AI1" s="3" t="s">
        <v>160</v>
      </c>
      <c r="AJ1" s="1" t="s">
        <v>2</v>
      </c>
      <c r="AK1" s="1" t="s">
        <v>3</v>
      </c>
      <c r="AL1" s="1" t="s">
        <v>4</v>
      </c>
      <c r="AM1" s="1" t="s">
        <v>5</v>
      </c>
      <c r="AN1" s="1" t="s">
        <v>6</v>
      </c>
      <c r="AO1" s="1" t="s">
        <v>7</v>
      </c>
      <c r="AP1" s="1" t="s">
        <v>8</v>
      </c>
      <c r="AQ1" s="1" t="s">
        <v>9</v>
      </c>
      <c r="AR1" s="1" t="s">
        <v>10</v>
      </c>
      <c r="AS1" s="1" t="s">
        <v>11</v>
      </c>
      <c r="AT1" s="1" t="s">
        <v>12</v>
      </c>
      <c r="AU1" s="4" t="s">
        <v>163</v>
      </c>
      <c r="AV1" s="1" t="s">
        <v>2</v>
      </c>
      <c r="AW1" s="1" t="s">
        <v>3</v>
      </c>
    </row>
    <row r="2" spans="1:55" x14ac:dyDescent="0.35">
      <c r="A2" s="1" t="s">
        <v>13</v>
      </c>
      <c r="B2" s="1">
        <v>1.0063135670702423</v>
      </c>
      <c r="C2" s="1">
        <v>1</v>
      </c>
      <c r="D2" s="1">
        <v>0.99687335443019698</v>
      </c>
      <c r="E2" s="1">
        <v>0.98249695294869999</v>
      </c>
      <c r="F2" s="1">
        <v>1.0350794214876837</v>
      </c>
      <c r="G2" s="1">
        <v>1.0047194118628622</v>
      </c>
      <c r="H2" s="1">
        <v>1.0026558882486245</v>
      </c>
      <c r="I2" s="1">
        <v>1.0004786779221007</v>
      </c>
      <c r="J2" s="1">
        <v>1.0157731578832978</v>
      </c>
      <c r="K2" s="1">
        <v>1.0146979664057905</v>
      </c>
      <c r="L2" s="1">
        <v>1.0221331988693969</v>
      </c>
      <c r="M2" s="1">
        <v>1.027142088657925</v>
      </c>
      <c r="N2" s="1">
        <v>1.0061644351535157</v>
      </c>
      <c r="O2" s="1">
        <v>0.99215001885499554</v>
      </c>
      <c r="P2" s="1">
        <v>1.001323051902919</v>
      </c>
      <c r="Q2" s="1">
        <v>0.9723212218041275</v>
      </c>
      <c r="S2" s="1">
        <f t="shared" ref="S2:S55" si="0">C2*100</f>
        <v>100</v>
      </c>
      <c r="T2" s="1">
        <f>S2*D2</f>
        <v>99.687335443019691</v>
      </c>
      <c r="U2" s="1">
        <f t="shared" ref="U2:AD2" si="1">T2*E2</f>
        <v>97.942503320341785</v>
      </c>
      <c r="V2" s="1">
        <f t="shared" si="1"/>
        <v>101.37826967587492</v>
      </c>
      <c r="W2" s="1">
        <f t="shared" si="1"/>
        <v>101.85671548441968</v>
      </c>
      <c r="X2" s="1">
        <f t="shared" si="1"/>
        <v>102.12723553811824</v>
      </c>
      <c r="Y2" s="1">
        <f t="shared" si="1"/>
        <v>102.17612159101552</v>
      </c>
      <c r="Z2" s="1">
        <f t="shared" si="1"/>
        <v>103.78776168877364</v>
      </c>
      <c r="AA2" s="1">
        <f t="shared" si="1"/>
        <v>105.31323072340743</v>
      </c>
      <c r="AB2" s="1">
        <f t="shared" si="1"/>
        <v>107.64414940258729</v>
      </c>
      <c r="AC2" s="1">
        <f t="shared" si="1"/>
        <v>110.56583644917924</v>
      </c>
      <c r="AD2" s="1">
        <f t="shared" si="1"/>
        <v>111.24741237816444</v>
      </c>
      <c r="AE2" s="1">
        <f>AVERAGE(S2:AD2)</f>
        <v>103.64388097457515</v>
      </c>
      <c r="AF2" s="1">
        <f>100/AE2</f>
        <v>0.96484229517158826</v>
      </c>
      <c r="AH2" s="1" t="str">
        <f>A2</f>
        <v>C1010.21111</v>
      </c>
      <c r="AI2" s="1">
        <f>$AF2*S2</f>
        <v>96.484229517158823</v>
      </c>
      <c r="AJ2" s="1">
        <f t="shared" ref="AJ2:AT2" si="2">$AF2*T2</f>
        <v>96.182557528383143</v>
      </c>
      <c r="AK2" s="1">
        <f t="shared" si="2"/>
        <v>94.499069698449475</v>
      </c>
      <c r="AL2" s="1">
        <f t="shared" si="2"/>
        <v>97.81404239459539</v>
      </c>
      <c r="AM2" s="1">
        <f t="shared" si="2"/>
        <v>98.275667146626944</v>
      </c>
      <c r="AN2" s="1">
        <f t="shared" si="2"/>
        <v>98.5366763361274</v>
      </c>
      <c r="AO2" s="1">
        <f t="shared" si="2"/>
        <v>98.583843667606686</v>
      </c>
      <c r="AP2" s="1">
        <f t="shared" si="2"/>
        <v>100.1388221985182</v>
      </c>
      <c r="AQ2" s="1">
        <f t="shared" si="2"/>
        <v>101.61065924310745</v>
      </c>
      <c r="AR2" s="1">
        <f t="shared" si="2"/>
        <v>103.85962817138567</v>
      </c>
      <c r="AS2" s="1">
        <f t="shared" si="2"/>
        <v>106.67859540719255</v>
      </c>
      <c r="AT2" s="1">
        <f t="shared" si="2"/>
        <v>107.33620869084834</v>
      </c>
      <c r="AU2" s="1">
        <f>AT2*O2</f>
        <v>106.49362147644891</v>
      </c>
      <c r="AV2" s="1">
        <f>AU2*P2</f>
        <v>106.63451806499206</v>
      </c>
      <c r="AW2" s="1">
        <f>AV2*Q2</f>
        <v>103.6830048914474</v>
      </c>
      <c r="AX2" s="1" t="b">
        <f>AY2=AH2</f>
        <v>1</v>
      </c>
      <c r="AY2" s="1" t="s">
        <v>13</v>
      </c>
      <c r="AZ2" s="1">
        <v>4</v>
      </c>
      <c r="BA2" s="1" t="s">
        <v>164</v>
      </c>
      <c r="BB2" s="1" t="s">
        <v>165</v>
      </c>
      <c r="BC2" s="1">
        <v>2.249018117813514E-2</v>
      </c>
    </row>
    <row r="3" spans="1:55" x14ac:dyDescent="0.35">
      <c r="A3" s="1" t="s">
        <v>14</v>
      </c>
      <c r="B3" s="1">
        <v>0.9906039639258386</v>
      </c>
      <c r="C3" s="1">
        <v>1</v>
      </c>
      <c r="D3" s="1">
        <v>0.9649068500273531</v>
      </c>
      <c r="E3" s="1">
        <v>1.0192888048297739</v>
      </c>
      <c r="F3" s="1">
        <v>0.98715332196440198</v>
      </c>
      <c r="G3" s="1">
        <v>1.0017100427335359</v>
      </c>
      <c r="H3" s="1">
        <v>1.005405572665881</v>
      </c>
      <c r="I3" s="1">
        <v>0.99743041074814998</v>
      </c>
      <c r="J3" s="1">
        <v>1.029477608278484</v>
      </c>
      <c r="K3" s="1">
        <v>1.0301292341741339</v>
      </c>
      <c r="L3" s="1">
        <v>0.96494954865611071</v>
      </c>
      <c r="M3" s="1">
        <v>1.007414357737189</v>
      </c>
      <c r="N3" s="1">
        <v>0.99778845645222913</v>
      </c>
      <c r="O3" s="1">
        <v>0.99230050580717688</v>
      </c>
      <c r="P3" s="1">
        <v>1.0064534717951894</v>
      </c>
      <c r="Q3" s="1">
        <v>1.0121051961480836</v>
      </c>
      <c r="S3" s="1">
        <f t="shared" si="0"/>
        <v>100</v>
      </c>
      <c r="T3" s="1">
        <f t="shared" ref="T3:T56" si="3">S3*D3</f>
        <v>96.490685002735304</v>
      </c>
      <c r="U3" s="1">
        <f t="shared" ref="U3:U56" si="4">T3*E3</f>
        <v>98.351874993644259</v>
      </c>
      <c r="V3" s="1">
        <f t="shared" ref="V3:V56" si="5">U3*F3</f>
        <v>97.088380121403532</v>
      </c>
      <c r="W3" s="1">
        <f t="shared" ref="W3:W56" si="6">V3*G3</f>
        <v>97.254405400340914</v>
      </c>
      <c r="X3" s="1">
        <f t="shared" ref="X3:X56" si="7">W3*H3</f>
        <v>97.78012115580951</v>
      </c>
      <c r="Y3" s="1">
        <f t="shared" ref="Y3:Y56" si="8">X3*I3</f>
        <v>97.528866407442948</v>
      </c>
      <c r="Z3" s="1">
        <f t="shared" ref="Z3:Z56" si="9">Y3*J3</f>
        <v>100.40378412724615</v>
      </c>
      <c r="AA3" s="1">
        <f t="shared" ref="AA3:AA56" si="10">Z3*K3</f>
        <v>103.42887325118515</v>
      </c>
      <c r="AB3" s="1">
        <f t="shared" ref="AB3:AB56" si="11">AA3*L3</f>
        <v>99.803644561741194</v>
      </c>
      <c r="AC3" s="1">
        <f t="shared" ref="AC3:AC56" si="12">AB3*M3</f>
        <v>100.5436244859972</v>
      </c>
      <c r="AD3" s="1">
        <f t="shared" ref="AD3:AD56" si="13">AC3*N3</f>
        <v>100.32126788199569</v>
      </c>
      <c r="AE3" s="1">
        <f t="shared" ref="AE3:AE56" si="14">AVERAGE(S3:AD3)</f>
        <v>99.082960615795159</v>
      </c>
      <c r="AF3" s="1">
        <f t="shared" ref="AF3:AF58" si="15">100/AE3</f>
        <v>1.0092552682974498</v>
      </c>
      <c r="AH3" s="1" t="str">
        <f t="shared" ref="AH3:AH56" si="16">A3</f>
        <v>C1010.21113</v>
      </c>
      <c r="AI3" s="1">
        <f t="shared" ref="AI3:AI55" si="17">$AF3*S3</f>
        <v>100.92552682974498</v>
      </c>
      <c r="AJ3" s="1">
        <f t="shared" ref="AJ3:AJ56" si="18">$AF3*T3</f>
        <v>97.383732180640337</v>
      </c>
      <c r="AK3" s="1">
        <f t="shared" ref="AK3:AK56" si="19">$AF3*U3</f>
        <v>99.262147984267685</v>
      </c>
      <c r="AL3" s="1">
        <f t="shared" ref="AL3:AL56" si="20">$AF3*V3</f>
        <v>97.986959127991909</v>
      </c>
      <c r="AM3" s="1">
        <f t="shared" ref="AM3:AM56" si="21">$AF3*W3</f>
        <v>98.154521015430021</v>
      </c>
      <c r="AN3" s="1">
        <f t="shared" ref="AN3:AN56" si="22">$AF3*X3</f>
        <v>98.685102411263671</v>
      </c>
      <c r="AO3" s="1">
        <f t="shared" ref="AO3:AO56" si="23">$AF3*Y3</f>
        <v>98.431522232789973</v>
      </c>
      <c r="AP3" s="1">
        <f t="shared" ref="AP3:AP56" si="24">$AF3*Z3</f>
        <v>101.33304808742305</v>
      </c>
      <c r="AQ3" s="1">
        <f t="shared" ref="AQ3:AQ56" si="25">$AF3*AA3</f>
        <v>104.3861352228278</v>
      </c>
      <c r="AR3" s="1">
        <f t="shared" ref="AR3:AR56" si="26">$AF3*AB3</f>
        <v>100.72735406922342</v>
      </c>
      <c r="AS3" s="1">
        <f t="shared" ref="AS3:AS56" si="27">$AF3*AC3</f>
        <v>101.47418270621314</v>
      </c>
      <c r="AT3" s="1">
        <f t="shared" ref="AT3:AT56" si="28">$AF3*AD3</f>
        <v>101.2497681321839</v>
      </c>
      <c r="AU3" s="1">
        <f t="shared" ref="AU3:AW3" si="29">AT3*O3</f>
        <v>100.47019613042546</v>
      </c>
      <c r="AV3" s="1">
        <f t="shared" si="29"/>
        <v>101.11857770741031</v>
      </c>
      <c r="AW3" s="1">
        <f t="shared" si="29"/>
        <v>102.34263792477374</v>
      </c>
      <c r="AX3" s="1" t="b">
        <f t="shared" ref="AX3:AX58" si="30">AY3=AH3</f>
        <v>1</v>
      </c>
      <c r="AY3" s="1" t="s">
        <v>14</v>
      </c>
      <c r="AZ3" s="1">
        <v>4</v>
      </c>
      <c r="BA3" s="1" t="s">
        <v>166</v>
      </c>
      <c r="BB3" s="1" t="s">
        <v>167</v>
      </c>
      <c r="BC3" s="1">
        <v>5.733945855595367E-3</v>
      </c>
    </row>
    <row r="4" spans="1:55" x14ac:dyDescent="0.35">
      <c r="A4" s="1" t="s">
        <v>15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1.0026258431706849</v>
      </c>
      <c r="M4" s="1">
        <v>1.0041050879135445</v>
      </c>
      <c r="N4" s="1">
        <v>1.006729228783658</v>
      </c>
      <c r="O4" s="1">
        <v>1</v>
      </c>
      <c r="P4" s="1">
        <v>1</v>
      </c>
      <c r="Q4" s="1">
        <v>1</v>
      </c>
      <c r="S4" s="1">
        <f t="shared" si="0"/>
        <v>100</v>
      </c>
      <c r="T4" s="1">
        <f t="shared" si="3"/>
        <v>100</v>
      </c>
      <c r="U4" s="1">
        <f t="shared" si="4"/>
        <v>100</v>
      </c>
      <c r="V4" s="1">
        <f t="shared" si="5"/>
        <v>100</v>
      </c>
      <c r="W4" s="1">
        <f t="shared" si="6"/>
        <v>100</v>
      </c>
      <c r="X4" s="1">
        <f t="shared" si="7"/>
        <v>100</v>
      </c>
      <c r="Y4" s="1">
        <f t="shared" si="8"/>
        <v>100</v>
      </c>
      <c r="Z4" s="1">
        <f t="shared" si="9"/>
        <v>100</v>
      </c>
      <c r="AA4" s="1">
        <f t="shared" si="10"/>
        <v>100</v>
      </c>
      <c r="AB4" s="1">
        <f t="shared" si="11"/>
        <v>100.26258431706849</v>
      </c>
      <c r="AC4" s="1">
        <f t="shared" si="12"/>
        <v>100.67417104012922</v>
      </c>
      <c r="AD4" s="1">
        <f t="shared" si="13"/>
        <v>101.35163056966337</v>
      </c>
      <c r="AE4" s="1">
        <f t="shared" si="14"/>
        <v>100.19069882723841</v>
      </c>
      <c r="AF4" s="1">
        <f t="shared" si="15"/>
        <v>0.998096641410125</v>
      </c>
      <c r="AH4" s="1" t="str">
        <f t="shared" si="16"/>
        <v>C1010.21119</v>
      </c>
      <c r="AI4" s="1">
        <f t="shared" si="17"/>
        <v>99.809664141012505</v>
      </c>
      <c r="AJ4" s="1">
        <f t="shared" si="18"/>
        <v>99.809664141012505</v>
      </c>
      <c r="AK4" s="1">
        <f t="shared" si="19"/>
        <v>99.809664141012505</v>
      </c>
      <c r="AL4" s="1">
        <f t="shared" si="20"/>
        <v>99.809664141012505</v>
      </c>
      <c r="AM4" s="1">
        <f t="shared" si="21"/>
        <v>99.809664141012505</v>
      </c>
      <c r="AN4" s="1">
        <f t="shared" si="22"/>
        <v>99.809664141012505</v>
      </c>
      <c r="AO4" s="1">
        <f t="shared" si="23"/>
        <v>99.809664141012505</v>
      </c>
      <c r="AP4" s="1">
        <f t="shared" si="24"/>
        <v>99.809664141012505</v>
      </c>
      <c r="AQ4" s="1">
        <f t="shared" si="25"/>
        <v>99.809664141012505</v>
      </c>
      <c r="AR4" s="1">
        <f t="shared" si="26"/>
        <v>100.07174866596553</v>
      </c>
      <c r="AS4" s="1">
        <f t="shared" si="27"/>
        <v>100.48255199190145</v>
      </c>
      <c r="AT4" s="1">
        <f t="shared" si="28"/>
        <v>101.15872207302077</v>
      </c>
      <c r="AU4" s="1">
        <f t="shared" ref="AU4:AW4" si="31">AT4*O4</f>
        <v>101.15872207302077</v>
      </c>
      <c r="AV4" s="1">
        <f t="shared" si="31"/>
        <v>101.15872207302077</v>
      </c>
      <c r="AW4" s="1">
        <f t="shared" si="31"/>
        <v>101.15872207302077</v>
      </c>
      <c r="AX4" s="1" t="b">
        <f t="shared" si="30"/>
        <v>1</v>
      </c>
      <c r="AY4" s="1" t="s">
        <v>15</v>
      </c>
      <c r="AZ4" s="1">
        <v>4</v>
      </c>
      <c r="BA4" s="1" t="s">
        <v>168</v>
      </c>
      <c r="BB4" s="1" t="s">
        <v>169</v>
      </c>
      <c r="BC4" s="1">
        <v>7.7339282396500378E-4</v>
      </c>
    </row>
    <row r="5" spans="1:55" x14ac:dyDescent="0.35">
      <c r="A5" s="1" t="s">
        <v>16</v>
      </c>
      <c r="B5" s="1">
        <v>1</v>
      </c>
      <c r="C5" s="1">
        <v>1</v>
      </c>
      <c r="D5" s="1">
        <v>0.97649266093969811</v>
      </c>
      <c r="E5" s="1">
        <v>0.9953210827540141</v>
      </c>
      <c r="F5" s="1">
        <v>0.99080096124879935</v>
      </c>
      <c r="G5" s="1">
        <v>0.99130919872284096</v>
      </c>
      <c r="H5" s="1">
        <v>1.0353304310032256</v>
      </c>
      <c r="I5" s="1">
        <v>1.0261378850941529</v>
      </c>
      <c r="J5" s="1">
        <v>0.99889175916190165</v>
      </c>
      <c r="K5" s="1">
        <v>1.0036009487580388</v>
      </c>
      <c r="L5" s="1">
        <v>0.97471541747197499</v>
      </c>
      <c r="M5" s="1">
        <v>1.0145971465903081</v>
      </c>
      <c r="N5" s="1">
        <v>1.0037843627924004</v>
      </c>
      <c r="O5" s="1">
        <v>0.97625271243286116</v>
      </c>
      <c r="P5" s="1">
        <v>0.99098051227453254</v>
      </c>
      <c r="Q5" s="1">
        <v>0.98316366122192034</v>
      </c>
      <c r="S5" s="1">
        <f t="shared" si="0"/>
        <v>100</v>
      </c>
      <c r="T5" s="1">
        <f t="shared" si="3"/>
        <v>97.649266093969814</v>
      </c>
      <c r="U5" s="1">
        <f t="shared" si="4"/>
        <v>97.192373258784869</v>
      </c>
      <c r="V5" s="1">
        <f t="shared" si="5"/>
        <v>96.298296850856147</v>
      </c>
      <c r="W5" s="1">
        <f t="shared" si="6"/>
        <v>95.46138748959649</v>
      </c>
      <c r="X5" s="1">
        <f t="shared" si="7"/>
        <v>98.83407945376986</v>
      </c>
      <c r="Y5" s="1">
        <f t="shared" si="8"/>
        <v>101.41739326591888</v>
      </c>
      <c r="Z5" s="1">
        <f t="shared" si="9"/>
        <v>101.3049983690081</v>
      </c>
      <c r="AA5" s="1">
        <f t="shared" si="10"/>
        <v>101.66979247706811</v>
      </c>
      <c r="AB5" s="1">
        <f t="shared" si="11"/>
        <v>99.099114218574513</v>
      </c>
      <c r="AC5" s="1">
        <f t="shared" si="12"/>
        <v>100.54567851579273</v>
      </c>
      <c r="AD5" s="1">
        <f t="shared" si="13"/>
        <v>100.92617984050455</v>
      </c>
      <c r="AE5" s="1">
        <f t="shared" si="14"/>
        <v>99.199879986153675</v>
      </c>
      <c r="AF5" s="1">
        <f t="shared" si="15"/>
        <v>1.0080657357040956</v>
      </c>
      <c r="AH5" s="1" t="str">
        <f t="shared" si="16"/>
        <v>C1010.21121</v>
      </c>
      <c r="AI5" s="1">
        <f t="shared" si="17"/>
        <v>100.80657357040957</v>
      </c>
      <c r="AJ5" s="1">
        <f t="shared" si="18"/>
        <v>98.436879265982682</v>
      </c>
      <c r="AK5" s="1">
        <f t="shared" si="19"/>
        <v>97.976301253944044</v>
      </c>
      <c r="AL5" s="1">
        <f t="shared" si="20"/>
        <v>97.075013462009693</v>
      </c>
      <c r="AM5" s="1">
        <f t="shared" si="21"/>
        <v>96.231353811033841</v>
      </c>
      <c r="AN5" s="1">
        <f t="shared" si="22"/>
        <v>99.631249017201554</v>
      </c>
      <c r="AO5" s="1">
        <f t="shared" si="23"/>
        <v>102.23539915580011</v>
      </c>
      <c r="AP5" s="1">
        <f t="shared" si="24"/>
        <v>102.12209771135636</v>
      </c>
      <c r="AQ5" s="1">
        <f t="shared" si="25"/>
        <v>102.48983415227839</v>
      </c>
      <c r="AR5" s="1">
        <f t="shared" si="26"/>
        <v>99.898421482371518</v>
      </c>
      <c r="AS5" s="1">
        <f t="shared" si="27"/>
        <v>101.35665338489008</v>
      </c>
      <c r="AT5" s="1">
        <f t="shared" si="28"/>
        <v>101.74022373272209</v>
      </c>
      <c r="AU5" s="1">
        <f t="shared" ref="AU5:AW5" si="32">AT5*O5</f>
        <v>99.324169382596097</v>
      </c>
      <c r="AV5" s="1">
        <f t="shared" si="32"/>
        <v>98.42831625600752</v>
      </c>
      <c r="AW5" s="1">
        <f t="shared" si="32"/>
        <v>96.77114377816541</v>
      </c>
      <c r="AX5" s="1" t="b">
        <f t="shared" si="30"/>
        <v>1</v>
      </c>
      <c r="AY5" s="1" t="s">
        <v>16</v>
      </c>
      <c r="AZ5" s="1">
        <v>4</v>
      </c>
      <c r="BA5" s="1" t="s">
        <v>170</v>
      </c>
      <c r="BB5" s="1" t="s">
        <v>171</v>
      </c>
      <c r="BC5" s="1">
        <v>2.148354517261012E-2</v>
      </c>
    </row>
    <row r="6" spans="1:55" x14ac:dyDescent="0.35">
      <c r="A6" s="1" t="s">
        <v>17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0.95238095238095233</v>
      </c>
      <c r="N6" s="1">
        <v>1</v>
      </c>
      <c r="O6" s="2">
        <v>1</v>
      </c>
      <c r="P6" s="2">
        <v>1</v>
      </c>
      <c r="Q6" s="2">
        <v>1</v>
      </c>
      <c r="S6" s="1">
        <f t="shared" si="0"/>
        <v>100</v>
      </c>
      <c r="T6" s="1">
        <f t="shared" si="3"/>
        <v>100</v>
      </c>
      <c r="U6" s="1">
        <f t="shared" si="4"/>
        <v>100</v>
      </c>
      <c r="V6" s="1">
        <f t="shared" si="5"/>
        <v>100</v>
      </c>
      <c r="W6" s="1">
        <f t="shared" si="6"/>
        <v>100</v>
      </c>
      <c r="X6" s="1">
        <f t="shared" si="7"/>
        <v>100</v>
      </c>
      <c r="Y6" s="1">
        <f t="shared" si="8"/>
        <v>100</v>
      </c>
      <c r="Z6" s="1">
        <f t="shared" si="9"/>
        <v>100</v>
      </c>
      <c r="AA6" s="1">
        <f t="shared" si="10"/>
        <v>100</v>
      </c>
      <c r="AB6" s="1">
        <f t="shared" si="11"/>
        <v>100</v>
      </c>
      <c r="AC6" s="1">
        <f t="shared" si="12"/>
        <v>95.238095238095227</v>
      </c>
      <c r="AD6" s="1">
        <f t="shared" si="13"/>
        <v>95.238095238095227</v>
      </c>
      <c r="AE6" s="1">
        <f t="shared" si="14"/>
        <v>99.206349206349202</v>
      </c>
      <c r="AF6" s="1">
        <f t="shared" si="15"/>
        <v>1.008</v>
      </c>
      <c r="AH6" s="1" t="str">
        <f t="shared" si="16"/>
        <v>C1010.21160</v>
      </c>
      <c r="AI6" s="1">
        <f t="shared" si="17"/>
        <v>100.8</v>
      </c>
      <c r="AJ6" s="1">
        <f t="shared" si="18"/>
        <v>100.8</v>
      </c>
      <c r="AK6" s="1">
        <f t="shared" si="19"/>
        <v>100.8</v>
      </c>
      <c r="AL6" s="1">
        <f t="shared" si="20"/>
        <v>100.8</v>
      </c>
      <c r="AM6" s="1">
        <f t="shared" si="21"/>
        <v>100.8</v>
      </c>
      <c r="AN6" s="1">
        <f t="shared" si="22"/>
        <v>100.8</v>
      </c>
      <c r="AO6" s="1">
        <f t="shared" si="23"/>
        <v>100.8</v>
      </c>
      <c r="AP6" s="1">
        <f t="shared" si="24"/>
        <v>100.8</v>
      </c>
      <c r="AQ6" s="1">
        <f t="shared" si="25"/>
        <v>100.8</v>
      </c>
      <c r="AR6" s="1">
        <f t="shared" si="26"/>
        <v>100.8</v>
      </c>
      <c r="AS6" s="1">
        <f t="shared" si="27"/>
        <v>95.999999999999986</v>
      </c>
      <c r="AT6" s="1">
        <f t="shared" si="28"/>
        <v>95.999999999999986</v>
      </c>
      <c r="AU6" s="1">
        <f t="shared" ref="AU6:AW6" si="33">AT6*O6</f>
        <v>95.999999999999986</v>
      </c>
      <c r="AV6" s="1">
        <f t="shared" si="33"/>
        <v>95.999999999999986</v>
      </c>
      <c r="AW6" s="1">
        <f t="shared" si="33"/>
        <v>95.999999999999986</v>
      </c>
      <c r="AX6" s="1" t="b">
        <f t="shared" si="30"/>
        <v>1</v>
      </c>
      <c r="AY6" s="1" t="s">
        <v>17</v>
      </c>
      <c r="AZ6" s="1">
        <v>4</v>
      </c>
      <c r="BA6" s="1">
        <v>21160</v>
      </c>
      <c r="BB6" s="1" t="s">
        <v>172</v>
      </c>
      <c r="BC6" s="1">
        <v>1.4322363448406747E-2</v>
      </c>
    </row>
    <row r="7" spans="1:55" x14ac:dyDescent="0.35">
      <c r="A7" s="1" t="s">
        <v>18</v>
      </c>
      <c r="B7" s="1">
        <v>0.99232997451721783</v>
      </c>
      <c r="C7" s="1">
        <v>1</v>
      </c>
      <c r="D7" s="1">
        <v>0.9913623954851184</v>
      </c>
      <c r="E7" s="1">
        <v>1.0004211032545132</v>
      </c>
      <c r="F7" s="1">
        <v>1.0007057763558016</v>
      </c>
      <c r="G7" s="1">
        <v>0.99923966114817442</v>
      </c>
      <c r="H7" s="1">
        <v>0.99515850585996446</v>
      </c>
      <c r="I7" s="1">
        <v>0.99873538559435215</v>
      </c>
      <c r="J7" s="1">
        <v>1.007544362209144</v>
      </c>
      <c r="K7" s="1">
        <v>1.0020085558809286</v>
      </c>
      <c r="L7" s="1">
        <v>1.0010227084186407</v>
      </c>
      <c r="M7" s="1">
        <v>1</v>
      </c>
      <c r="N7" s="1">
        <v>0.99953685119015623</v>
      </c>
      <c r="O7" s="1">
        <v>1.0120170128854999</v>
      </c>
      <c r="P7" s="1">
        <v>1</v>
      </c>
      <c r="Q7" s="1">
        <v>0.99857426068898381</v>
      </c>
      <c r="S7" s="1">
        <f t="shared" si="0"/>
        <v>100</v>
      </c>
      <c r="T7" s="1">
        <f t="shared" si="3"/>
        <v>99.136239548511838</v>
      </c>
      <c r="U7" s="1">
        <f t="shared" si="4"/>
        <v>99.177986141625908</v>
      </c>
      <c r="V7" s="1">
        <f t="shared" si="5"/>
        <v>99.24798361926068</v>
      </c>
      <c r="W7" s="1">
        <f t="shared" si="6"/>
        <v>99.172521521349609</v>
      </c>
      <c r="X7" s="1">
        <f t="shared" si="7"/>
        <v>98.692378339551439</v>
      </c>
      <c r="Y7" s="1">
        <f t="shared" si="8"/>
        <v>98.567570536175594</v>
      </c>
      <c r="Z7" s="1">
        <f t="shared" si="9"/>
        <v>99.311199990375854</v>
      </c>
      <c r="AA7" s="1">
        <f t="shared" si="10"/>
        <v>99.510672085158603</v>
      </c>
      <c r="AB7" s="1">
        <f t="shared" si="11"/>
        <v>99.612442487244692</v>
      </c>
      <c r="AC7" s="1">
        <f t="shared" si="12"/>
        <v>99.612442487244692</v>
      </c>
      <c r="AD7" s="1">
        <f t="shared" si="13"/>
        <v>99.566307103061092</v>
      </c>
      <c r="AE7" s="1">
        <f t="shared" si="14"/>
        <v>99.300645321629986</v>
      </c>
      <c r="AF7" s="1">
        <f t="shared" si="15"/>
        <v>1.0070428009415733</v>
      </c>
      <c r="AH7" s="1" t="str">
        <f t="shared" si="16"/>
        <v>C1010.21174</v>
      </c>
      <c r="AI7" s="1">
        <f t="shared" si="17"/>
        <v>100.70428009415733</v>
      </c>
      <c r="AJ7" s="1">
        <f t="shared" si="18"/>
        <v>99.834436349748131</v>
      </c>
      <c r="AK7" s="1">
        <f t="shared" si="19"/>
        <v>99.87647695580749</v>
      </c>
      <c r="AL7" s="1">
        <f t="shared" si="20"/>
        <v>99.946967411743657</v>
      </c>
      <c r="AM7" s="1">
        <f t="shared" si="21"/>
        <v>99.870973849298366</v>
      </c>
      <c r="AN7" s="1">
        <f t="shared" si="22"/>
        <v>99.387449114647339</v>
      </c>
      <c r="AO7" s="1">
        <f t="shared" si="23"/>
        <v>99.261762314756368</v>
      </c>
      <c r="AP7" s="1">
        <f t="shared" si="24"/>
        <v>100.01062900317685</v>
      </c>
      <c r="AQ7" s="1">
        <f t="shared" si="25"/>
        <v>100.21150594021655</v>
      </c>
      <c r="AR7" s="1">
        <f t="shared" si="26"/>
        <v>100.31399309098627</v>
      </c>
      <c r="AS7" s="1">
        <f t="shared" si="27"/>
        <v>100.31399309098627</v>
      </c>
      <c r="AT7" s="1">
        <f t="shared" si="28"/>
        <v>100.26753278447551</v>
      </c>
      <c r="AU7" s="1">
        <f t="shared" ref="AU7:AW7" si="34">AT7*O7</f>
        <v>101.47244901794383</v>
      </c>
      <c r="AV7" s="1">
        <f t="shared" si="34"/>
        <v>101.47244901794383</v>
      </c>
      <c r="AW7" s="1">
        <f t="shared" si="34"/>
        <v>101.32777575839386</v>
      </c>
      <c r="AX7" s="1" t="b">
        <f t="shared" si="30"/>
        <v>1</v>
      </c>
      <c r="AY7" s="1" t="s">
        <v>18</v>
      </c>
      <c r="AZ7" s="1">
        <v>4</v>
      </c>
      <c r="BA7" s="1" t="s">
        <v>173</v>
      </c>
      <c r="BB7" s="1" t="s">
        <v>174</v>
      </c>
      <c r="BC7" s="1">
        <v>1.1751897427462148E-2</v>
      </c>
    </row>
    <row r="8" spans="1:55" x14ac:dyDescent="0.35">
      <c r="A8" s="1" t="s">
        <v>19</v>
      </c>
      <c r="B8" s="1">
        <v>0.99763033175355453</v>
      </c>
      <c r="C8" s="1">
        <v>1</v>
      </c>
      <c r="D8" s="1">
        <v>1</v>
      </c>
      <c r="E8" s="1">
        <v>1</v>
      </c>
      <c r="F8" s="1">
        <v>0.99762470308788609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S8" s="1">
        <f t="shared" si="0"/>
        <v>100</v>
      </c>
      <c r="T8" s="1">
        <f t="shared" si="3"/>
        <v>100</v>
      </c>
      <c r="U8" s="1">
        <f t="shared" si="4"/>
        <v>100</v>
      </c>
      <c r="V8" s="1">
        <f t="shared" si="5"/>
        <v>99.762470308788608</v>
      </c>
      <c r="W8" s="1">
        <f t="shared" si="6"/>
        <v>99.762470308788608</v>
      </c>
      <c r="X8" s="1">
        <f t="shared" si="7"/>
        <v>99.762470308788608</v>
      </c>
      <c r="Y8" s="1">
        <f t="shared" si="8"/>
        <v>99.762470308788608</v>
      </c>
      <c r="Z8" s="1">
        <f t="shared" si="9"/>
        <v>99.762470308788608</v>
      </c>
      <c r="AA8" s="1">
        <f t="shared" si="10"/>
        <v>99.762470308788608</v>
      </c>
      <c r="AB8" s="1">
        <f t="shared" si="11"/>
        <v>99.762470308788608</v>
      </c>
      <c r="AC8" s="1">
        <f t="shared" si="12"/>
        <v>99.762470308788608</v>
      </c>
      <c r="AD8" s="1">
        <f t="shared" si="13"/>
        <v>99.762470308788608</v>
      </c>
      <c r="AE8" s="1">
        <f t="shared" si="14"/>
        <v>99.821852731591434</v>
      </c>
      <c r="AF8" s="1">
        <f t="shared" si="15"/>
        <v>1.0017846519928615</v>
      </c>
      <c r="AH8" s="1" t="str">
        <f t="shared" si="16"/>
        <v>C1030.21311</v>
      </c>
      <c r="AI8" s="1">
        <f t="shared" si="17"/>
        <v>100.17846519928615</v>
      </c>
      <c r="AJ8" s="1">
        <f t="shared" si="18"/>
        <v>100.17846519928615</v>
      </c>
      <c r="AK8" s="1">
        <f t="shared" si="19"/>
        <v>100.17846519928615</v>
      </c>
      <c r="AL8" s="1">
        <f t="shared" si="20"/>
        <v>99.940511600237969</v>
      </c>
      <c r="AM8" s="1">
        <f t="shared" si="21"/>
        <v>99.940511600237969</v>
      </c>
      <c r="AN8" s="1">
        <f t="shared" si="22"/>
        <v>99.940511600237969</v>
      </c>
      <c r="AO8" s="1">
        <f t="shared" si="23"/>
        <v>99.940511600237969</v>
      </c>
      <c r="AP8" s="1">
        <f t="shared" si="24"/>
        <v>99.940511600237969</v>
      </c>
      <c r="AQ8" s="1">
        <f t="shared" si="25"/>
        <v>99.940511600237969</v>
      </c>
      <c r="AR8" s="1">
        <f t="shared" si="26"/>
        <v>99.940511600237969</v>
      </c>
      <c r="AS8" s="1">
        <f t="shared" si="27"/>
        <v>99.940511600237969</v>
      </c>
      <c r="AT8" s="1">
        <f t="shared" si="28"/>
        <v>99.940511600237969</v>
      </c>
      <c r="AU8" s="1">
        <f t="shared" ref="AU8:AW8" si="35">AT8*O8</f>
        <v>99.940511600237969</v>
      </c>
      <c r="AV8" s="1">
        <f t="shared" si="35"/>
        <v>99.940511600237969</v>
      </c>
      <c r="AW8" s="1">
        <f t="shared" si="35"/>
        <v>99.940511600237969</v>
      </c>
      <c r="AX8" s="1" t="b">
        <f t="shared" si="30"/>
        <v>1</v>
      </c>
      <c r="AY8" s="1" t="s">
        <v>19</v>
      </c>
      <c r="AZ8" s="1">
        <v>4</v>
      </c>
      <c r="BA8" s="1">
        <v>21311</v>
      </c>
      <c r="BB8" s="1" t="s">
        <v>181</v>
      </c>
      <c r="BC8" s="1">
        <v>1.5066209623349203E-3</v>
      </c>
    </row>
    <row r="9" spans="1:55" x14ac:dyDescent="0.35">
      <c r="A9" s="1" t="s">
        <v>20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1.0046737721671521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S9" s="1">
        <f t="shared" si="0"/>
        <v>100</v>
      </c>
      <c r="T9" s="1">
        <f t="shared" si="3"/>
        <v>100</v>
      </c>
      <c r="U9" s="1">
        <f t="shared" si="4"/>
        <v>100</v>
      </c>
      <c r="V9" s="1">
        <f t="shared" si="5"/>
        <v>100</v>
      </c>
      <c r="W9" s="1">
        <f t="shared" si="6"/>
        <v>100</v>
      </c>
      <c r="X9" s="1">
        <f t="shared" si="7"/>
        <v>100</v>
      </c>
      <c r="Y9" s="1">
        <f t="shared" si="8"/>
        <v>100</v>
      </c>
      <c r="Z9" s="1">
        <f t="shared" si="9"/>
        <v>100.46737721671522</v>
      </c>
      <c r="AA9" s="1">
        <f t="shared" si="10"/>
        <v>100.46737721671522</v>
      </c>
      <c r="AB9" s="1">
        <f t="shared" si="11"/>
        <v>100.46737721671522</v>
      </c>
      <c r="AC9" s="1">
        <f t="shared" si="12"/>
        <v>100.46737721671522</v>
      </c>
      <c r="AD9" s="1">
        <f t="shared" si="13"/>
        <v>100.46737721671522</v>
      </c>
      <c r="AE9" s="1">
        <f t="shared" si="14"/>
        <v>100.19474050696469</v>
      </c>
      <c r="AF9" s="1">
        <f t="shared" si="15"/>
        <v>0.99805637994589991</v>
      </c>
      <c r="AH9" s="1" t="str">
        <f t="shared" si="16"/>
        <v>C1030.21395</v>
      </c>
      <c r="AI9" s="1">
        <f t="shared" si="17"/>
        <v>99.805637994589986</v>
      </c>
      <c r="AJ9" s="1">
        <f t="shared" si="18"/>
        <v>99.805637994589986</v>
      </c>
      <c r="AK9" s="1">
        <f t="shared" si="19"/>
        <v>99.805637994589986</v>
      </c>
      <c r="AL9" s="1">
        <f t="shared" si="20"/>
        <v>99.805637994589986</v>
      </c>
      <c r="AM9" s="1">
        <f t="shared" si="21"/>
        <v>99.805637994589986</v>
      </c>
      <c r="AN9" s="1">
        <f t="shared" si="22"/>
        <v>99.805637994589986</v>
      </c>
      <c r="AO9" s="1">
        <f t="shared" si="23"/>
        <v>99.805637994589986</v>
      </c>
      <c r="AP9" s="1">
        <f t="shared" si="24"/>
        <v>100.27210680757398</v>
      </c>
      <c r="AQ9" s="1">
        <f t="shared" si="25"/>
        <v>100.27210680757398</v>
      </c>
      <c r="AR9" s="1">
        <f t="shared" si="26"/>
        <v>100.27210680757398</v>
      </c>
      <c r="AS9" s="1">
        <f t="shared" si="27"/>
        <v>100.27210680757398</v>
      </c>
      <c r="AT9" s="1">
        <f t="shared" si="28"/>
        <v>100.27210680757398</v>
      </c>
      <c r="AU9" s="1">
        <f t="shared" ref="AU9:AW9" si="36">AT9*O9</f>
        <v>100.27210680757398</v>
      </c>
      <c r="AV9" s="1">
        <f t="shared" si="36"/>
        <v>100.27210680757398</v>
      </c>
      <c r="AW9" s="1">
        <f t="shared" si="36"/>
        <v>100.27210680757398</v>
      </c>
      <c r="AX9" s="1" t="b">
        <f t="shared" si="30"/>
        <v>1</v>
      </c>
      <c r="AY9" s="1" t="s">
        <v>20</v>
      </c>
      <c r="AZ9" s="1">
        <v>4</v>
      </c>
      <c r="BA9" s="1">
        <v>21395</v>
      </c>
      <c r="BB9" s="1" t="s">
        <v>182</v>
      </c>
      <c r="BC9" s="1">
        <v>1.5066209623349203E-3</v>
      </c>
    </row>
    <row r="10" spans="1:55" x14ac:dyDescent="0.35">
      <c r="A10" s="1" t="s">
        <v>21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1.00816477363596</v>
      </c>
      <c r="L10" s="1">
        <v>1</v>
      </c>
      <c r="M10" s="1">
        <v>1</v>
      </c>
      <c r="N10" s="1">
        <v>1</v>
      </c>
      <c r="O10" s="1">
        <v>0.99997773162074299</v>
      </c>
      <c r="P10" s="1">
        <v>1</v>
      </c>
      <c r="Q10" s="1">
        <v>1</v>
      </c>
      <c r="S10" s="1">
        <f t="shared" si="0"/>
        <v>100</v>
      </c>
      <c r="T10" s="1">
        <f t="shared" si="3"/>
        <v>100</v>
      </c>
      <c r="U10" s="1">
        <f t="shared" si="4"/>
        <v>100</v>
      </c>
      <c r="V10" s="1">
        <f t="shared" si="5"/>
        <v>100</v>
      </c>
      <c r="W10" s="1">
        <f t="shared" si="6"/>
        <v>100</v>
      </c>
      <c r="X10" s="1">
        <f t="shared" si="7"/>
        <v>100</v>
      </c>
      <c r="Y10" s="1">
        <f t="shared" si="8"/>
        <v>100</v>
      </c>
      <c r="Z10" s="1">
        <f t="shared" si="9"/>
        <v>100</v>
      </c>
      <c r="AA10" s="1">
        <f t="shared" si="10"/>
        <v>100.81647736359601</v>
      </c>
      <c r="AB10" s="1">
        <f t="shared" si="11"/>
        <v>100.81647736359601</v>
      </c>
      <c r="AC10" s="1">
        <f t="shared" si="12"/>
        <v>100.81647736359601</v>
      </c>
      <c r="AD10" s="1">
        <f t="shared" si="13"/>
        <v>100.81647736359601</v>
      </c>
      <c r="AE10" s="1">
        <f t="shared" si="14"/>
        <v>100.27215912119868</v>
      </c>
      <c r="AF10" s="1">
        <f t="shared" si="15"/>
        <v>0.99728579574246801</v>
      </c>
      <c r="AH10" s="1" t="str">
        <f t="shared" si="16"/>
        <v>C1030.21399</v>
      </c>
      <c r="AI10" s="1">
        <f t="shared" si="17"/>
        <v>99.728579574246794</v>
      </c>
      <c r="AJ10" s="1">
        <f t="shared" si="18"/>
        <v>99.728579574246794</v>
      </c>
      <c r="AK10" s="1">
        <f t="shared" si="19"/>
        <v>99.728579574246794</v>
      </c>
      <c r="AL10" s="1">
        <f t="shared" si="20"/>
        <v>99.728579574246794</v>
      </c>
      <c r="AM10" s="1">
        <f t="shared" si="21"/>
        <v>99.728579574246794</v>
      </c>
      <c r="AN10" s="1">
        <f t="shared" si="22"/>
        <v>99.728579574246794</v>
      </c>
      <c r="AO10" s="1">
        <f t="shared" si="23"/>
        <v>99.728579574246794</v>
      </c>
      <c r="AP10" s="1">
        <f t="shared" si="24"/>
        <v>99.728579574246794</v>
      </c>
      <c r="AQ10" s="1">
        <f t="shared" si="25"/>
        <v>100.54284085150636</v>
      </c>
      <c r="AR10" s="1">
        <f t="shared" si="26"/>
        <v>100.54284085150636</v>
      </c>
      <c r="AS10" s="1">
        <f t="shared" si="27"/>
        <v>100.54284085150636</v>
      </c>
      <c r="AT10" s="1">
        <f t="shared" si="28"/>
        <v>100.54284085150636</v>
      </c>
      <c r="AU10" s="1">
        <f t="shared" ref="AU10:AW10" si="37">AT10*O10</f>
        <v>100.5406019253947</v>
      </c>
      <c r="AV10" s="1">
        <f t="shared" si="37"/>
        <v>100.5406019253947</v>
      </c>
      <c r="AW10" s="1">
        <f t="shared" si="37"/>
        <v>100.5406019253947</v>
      </c>
      <c r="AX10" s="1" t="b">
        <f t="shared" si="30"/>
        <v>1</v>
      </c>
      <c r="AY10" s="1" t="s">
        <v>21</v>
      </c>
      <c r="AZ10" s="1">
        <v>4</v>
      </c>
      <c r="BA10" s="1">
        <v>21399</v>
      </c>
      <c r="BB10" s="1" t="s">
        <v>183</v>
      </c>
      <c r="BC10" s="1">
        <v>1.5066209623349203E-3</v>
      </c>
    </row>
    <row r="11" spans="1:55" x14ac:dyDescent="0.35">
      <c r="A11" s="1" t="s">
        <v>22</v>
      </c>
      <c r="B11" s="1">
        <v>1.0097572322592261</v>
      </c>
      <c r="C11" s="1">
        <v>1</v>
      </c>
      <c r="D11" s="1">
        <v>1.0096426457171681</v>
      </c>
      <c r="E11" s="1">
        <v>0.98900368071013434</v>
      </c>
      <c r="F11" s="1">
        <v>0.99455557198938283</v>
      </c>
      <c r="G11" s="1">
        <v>1.021637097568717</v>
      </c>
      <c r="H11" s="1">
        <v>0.96448495838602255</v>
      </c>
      <c r="I11" s="1">
        <v>1.04370426008266</v>
      </c>
      <c r="J11" s="1">
        <v>1.0117831559324759</v>
      </c>
      <c r="K11" s="1">
        <v>0.96660743562971119</v>
      </c>
      <c r="L11" s="1">
        <v>1.0337121579344479</v>
      </c>
      <c r="M11" s="1">
        <v>0.9253032009181924</v>
      </c>
      <c r="N11" s="1">
        <v>0.97546762506211104</v>
      </c>
      <c r="O11" s="1">
        <v>1</v>
      </c>
      <c r="P11" s="1">
        <v>1.0016083196914629</v>
      </c>
      <c r="Q11" s="1">
        <v>0.99014235895595115</v>
      </c>
      <c r="S11" s="1">
        <f t="shared" si="0"/>
        <v>100</v>
      </c>
      <c r="T11" s="1">
        <f t="shared" si="3"/>
        <v>100.96426457171681</v>
      </c>
      <c r="U11" s="1">
        <f t="shared" si="4"/>
        <v>99.854029281619745</v>
      </c>
      <c r="V11" s="1">
        <f t="shared" si="5"/>
        <v>99.310381207625909</v>
      </c>
      <c r="W11" s="1">
        <f t="shared" si="6"/>
        <v>101.45916961540179</v>
      </c>
      <c r="X11" s="1">
        <f t="shared" si="7"/>
        <v>97.855842984391202</v>
      </c>
      <c r="Y11" s="1">
        <f t="shared" si="8"/>
        <v>102.13256019678897</v>
      </c>
      <c r="Z11" s="1">
        <f t="shared" si="9"/>
        <v>103.33600407937072</v>
      </c>
      <c r="AA11" s="1">
        <f t="shared" si="10"/>
        <v>99.885349911381908</v>
      </c>
      <c r="AB11" s="1">
        <f t="shared" si="11"/>
        <v>103.25270060293201</v>
      </c>
      <c r="AC11" s="1">
        <f t="shared" si="12"/>
        <v>95.540054371340759</v>
      </c>
      <c r="AD11" s="1">
        <f t="shared" si="13"/>
        <v>93.196229935916733</v>
      </c>
      <c r="AE11" s="1">
        <f t="shared" si="14"/>
        <v>99.73221556320722</v>
      </c>
      <c r="AF11" s="1">
        <f t="shared" si="15"/>
        <v>1.0026850344723672</v>
      </c>
      <c r="AH11" s="1" t="str">
        <f t="shared" si="16"/>
        <v>C1030.21431</v>
      </c>
      <c r="AI11" s="1">
        <f t="shared" si="17"/>
        <v>100.26850344723672</v>
      </c>
      <c r="AJ11" s="1">
        <f t="shared" si="18"/>
        <v>101.23535710256908</v>
      </c>
      <c r="AK11" s="1">
        <f t="shared" si="19"/>
        <v>100.12214079244566</v>
      </c>
      <c r="AL11" s="1">
        <f t="shared" si="20"/>
        <v>99.577033004632312</v>
      </c>
      <c r="AM11" s="1">
        <f t="shared" si="21"/>
        <v>101.7315909833569</v>
      </c>
      <c r="AN11" s="1">
        <f t="shared" si="22"/>
        <v>98.118589296126842</v>
      </c>
      <c r="AO11" s="1">
        <f t="shared" si="23"/>
        <v>102.40678964166847</v>
      </c>
      <c r="AP11" s="1">
        <f t="shared" si="24"/>
        <v>103.61346481256052</v>
      </c>
      <c r="AQ11" s="1">
        <f t="shared" si="25"/>
        <v>100.15354551917844</v>
      </c>
      <c r="AR11" s="1">
        <f t="shared" si="26"/>
        <v>103.52993766341589</v>
      </c>
      <c r="AS11" s="1">
        <f t="shared" si="27"/>
        <v>95.796582710819649</v>
      </c>
      <c r="AT11" s="1">
        <f t="shared" si="28"/>
        <v>93.446465025989326</v>
      </c>
      <c r="AU11" s="1">
        <f t="shared" ref="AU11:AW11" si="38">AT11*O11</f>
        <v>93.446465025989326</v>
      </c>
      <c r="AV11" s="1">
        <f t="shared" si="38"/>
        <v>93.596756815788225</v>
      </c>
      <c r="AW11" s="1">
        <f t="shared" si="38"/>
        <v>92.674113584211057</v>
      </c>
      <c r="AX11" s="1" t="b">
        <f t="shared" si="30"/>
        <v>1</v>
      </c>
      <c r="AY11" s="1" t="s">
        <v>22</v>
      </c>
      <c r="AZ11" s="1">
        <v>4</v>
      </c>
      <c r="BA11" s="1" t="s">
        <v>175</v>
      </c>
      <c r="BB11" s="1" t="s">
        <v>176</v>
      </c>
      <c r="BC11" s="1">
        <v>2.0992405491876117E-3</v>
      </c>
    </row>
    <row r="12" spans="1:55" x14ac:dyDescent="0.35">
      <c r="A12" s="1" t="s">
        <v>23</v>
      </c>
      <c r="B12" s="1">
        <v>0.97787961707812376</v>
      </c>
      <c r="C12" s="1">
        <v>1</v>
      </c>
      <c r="D12" s="1">
        <v>1.01784993785156</v>
      </c>
      <c r="E12" s="1">
        <v>1.0046871595009339</v>
      </c>
      <c r="F12" s="1">
        <v>1</v>
      </c>
      <c r="G12" s="1">
        <v>1</v>
      </c>
      <c r="H12" s="1">
        <v>1</v>
      </c>
      <c r="I12" s="1">
        <v>1.000056871735556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1.004875246541781</v>
      </c>
      <c r="S12" s="1">
        <f t="shared" si="0"/>
        <v>100</v>
      </c>
      <c r="T12" s="1">
        <f t="shared" si="3"/>
        <v>101.78499378515599</v>
      </c>
      <c r="U12" s="1">
        <f t="shared" si="4"/>
        <v>102.26207628582858</v>
      </c>
      <c r="V12" s="1">
        <f t="shared" si="5"/>
        <v>102.26207628582858</v>
      </c>
      <c r="W12" s="1">
        <f t="shared" si="6"/>
        <v>102.26207628582858</v>
      </c>
      <c r="X12" s="1">
        <f t="shared" si="7"/>
        <v>102.26207628582858</v>
      </c>
      <c r="Y12" s="1">
        <f t="shared" si="8"/>
        <v>102.26789210758852</v>
      </c>
      <c r="Z12" s="1">
        <f t="shared" si="9"/>
        <v>102.26789210758852</v>
      </c>
      <c r="AA12" s="1">
        <f t="shared" si="10"/>
        <v>102.26789210758852</v>
      </c>
      <c r="AB12" s="1">
        <f t="shared" si="11"/>
        <v>102.26789210758852</v>
      </c>
      <c r="AC12" s="1">
        <f t="shared" si="12"/>
        <v>102.26789210758852</v>
      </c>
      <c r="AD12" s="1">
        <f t="shared" si="13"/>
        <v>102.26789210758852</v>
      </c>
      <c r="AE12" s="1">
        <f t="shared" si="14"/>
        <v>102.03672096450013</v>
      </c>
      <c r="AF12" s="1">
        <f t="shared" si="15"/>
        <v>0.98003933343557037</v>
      </c>
      <c r="AH12" s="1" t="str">
        <f t="shared" si="16"/>
        <v>C1030.21435</v>
      </c>
      <c r="AI12" s="1">
        <f t="shared" si="17"/>
        <v>98.003933343557037</v>
      </c>
      <c r="AJ12" s="1">
        <f t="shared" si="18"/>
        <v>99.753297462947955</v>
      </c>
      <c r="AK12" s="1">
        <f t="shared" si="19"/>
        <v>100.22085707890089</v>
      </c>
      <c r="AL12" s="1">
        <f t="shared" si="20"/>
        <v>100.22085707890089</v>
      </c>
      <c r="AM12" s="1">
        <f t="shared" si="21"/>
        <v>100.22085707890089</v>
      </c>
      <c r="AN12" s="1">
        <f t="shared" si="22"/>
        <v>100.22085707890089</v>
      </c>
      <c r="AO12" s="1">
        <f t="shared" si="23"/>
        <v>100.22655681298188</v>
      </c>
      <c r="AP12" s="1">
        <f t="shared" si="24"/>
        <v>100.22655681298188</v>
      </c>
      <c r="AQ12" s="1">
        <f t="shared" si="25"/>
        <v>100.22655681298188</v>
      </c>
      <c r="AR12" s="1">
        <f t="shared" si="26"/>
        <v>100.22655681298188</v>
      </c>
      <c r="AS12" s="1">
        <f t="shared" si="27"/>
        <v>100.22655681298188</v>
      </c>
      <c r="AT12" s="1">
        <f t="shared" si="28"/>
        <v>100.22655681298188</v>
      </c>
      <c r="AU12" s="1">
        <f t="shared" ref="AU12:AW12" si="39">AT12*O12</f>
        <v>100.22655681298188</v>
      </c>
      <c r="AV12" s="1">
        <f t="shared" si="39"/>
        <v>100.22655681298188</v>
      </c>
      <c r="AW12" s="1">
        <f t="shared" si="39"/>
        <v>100.71518598747899</v>
      </c>
      <c r="AX12" s="1" t="b">
        <f t="shared" si="30"/>
        <v>1</v>
      </c>
      <c r="AY12" s="1" t="s">
        <v>23</v>
      </c>
      <c r="AZ12" s="1">
        <v>4</v>
      </c>
      <c r="BA12" s="1" t="s">
        <v>177</v>
      </c>
      <c r="BB12" s="1" t="s">
        <v>178</v>
      </c>
      <c r="BC12" s="1">
        <v>2.0992405491876117E-3</v>
      </c>
    </row>
    <row r="13" spans="1:55" x14ac:dyDescent="0.35">
      <c r="A13" s="1" t="s">
        <v>24</v>
      </c>
      <c r="B13" s="1">
        <v>0.99811215532966369</v>
      </c>
      <c r="C13" s="1">
        <v>1</v>
      </c>
      <c r="D13" s="1">
        <v>1.0014714668274294</v>
      </c>
      <c r="E13" s="1">
        <v>1.0033585076317566</v>
      </c>
      <c r="F13" s="1">
        <v>0.99769807878879091</v>
      </c>
      <c r="G13" s="1">
        <v>0.99885120179350528</v>
      </c>
      <c r="H13" s="1">
        <v>0.99166694447757087</v>
      </c>
      <c r="I13" s="1">
        <v>1.004814328526386</v>
      </c>
      <c r="J13" s="1">
        <v>1.0086280102320786</v>
      </c>
      <c r="K13" s="1">
        <v>0.99670435290688186</v>
      </c>
      <c r="L13" s="1">
        <v>1.0031561656291048</v>
      </c>
      <c r="M13" s="1">
        <v>0.96941412478557265</v>
      </c>
      <c r="N13" s="1">
        <v>1.0216463201477335</v>
      </c>
      <c r="O13" s="1">
        <v>1.0130317532808712</v>
      </c>
      <c r="P13" s="1">
        <v>0.99983611966222152</v>
      </c>
      <c r="Q13" s="1">
        <v>0.99736835235315036</v>
      </c>
      <c r="S13" s="1">
        <f t="shared" si="0"/>
        <v>100</v>
      </c>
      <c r="T13" s="1">
        <f t="shared" si="3"/>
        <v>100.14714668274294</v>
      </c>
      <c r="U13" s="1">
        <f t="shared" si="4"/>
        <v>100.48349163917558</v>
      </c>
      <c r="V13" s="1">
        <f t="shared" si="5"/>
        <v>100.25218655839501</v>
      </c>
      <c r="W13" s="1">
        <f t="shared" si="6"/>
        <v>100.13701702627955</v>
      </c>
      <c r="X13" s="1">
        <f t="shared" si="7"/>
        <v>99.302569703549139</v>
      </c>
      <c r="Y13" s="1">
        <f t="shared" si="8"/>
        <v>99.780644897616369</v>
      </c>
      <c r="Z13" s="1">
        <f t="shared" si="9"/>
        <v>100.64155332275641</v>
      </c>
      <c r="AA13" s="1">
        <f t="shared" si="10"/>
        <v>100.30987428010137</v>
      </c>
      <c r="AB13" s="1">
        <f t="shared" si="11"/>
        <v>100.62646885756405</v>
      </c>
      <c r="AC13" s="1">
        <f t="shared" si="12"/>
        <v>97.548720237818131</v>
      </c>
      <c r="AD13" s="1">
        <f t="shared" si="13"/>
        <v>99.660291066087638</v>
      </c>
      <c r="AE13" s="1">
        <f t="shared" si="14"/>
        <v>99.907497022673851</v>
      </c>
      <c r="AF13" s="1">
        <f t="shared" si="15"/>
        <v>1.0009258862456054</v>
      </c>
      <c r="AH13" s="1" t="str">
        <f t="shared" si="16"/>
        <v>C1030.21439</v>
      </c>
      <c r="AI13" s="1">
        <f t="shared" si="17"/>
        <v>100.09258862456053</v>
      </c>
      <c r="AJ13" s="1">
        <f t="shared" si="18"/>
        <v>100.23987154839313</v>
      </c>
      <c r="AK13" s="1">
        <f t="shared" si="19"/>
        <v>100.5765279219947</v>
      </c>
      <c r="AL13" s="1">
        <f t="shared" si="20"/>
        <v>100.34500867902129</v>
      </c>
      <c r="AM13" s="1">
        <f t="shared" si="21"/>
        <v>100.22973251302014</v>
      </c>
      <c r="AN13" s="1">
        <f t="shared" si="22"/>
        <v>99.394512586990928</v>
      </c>
      <c r="AO13" s="1">
        <f t="shared" si="23"/>
        <v>99.873030424304716</v>
      </c>
      <c r="AP13" s="1">
        <f t="shared" si="24"/>
        <v>100.73473595271432</v>
      </c>
      <c r="AQ13" s="1">
        <f t="shared" si="25"/>
        <v>100.40274981299572</v>
      </c>
      <c r="AR13" s="1">
        <f t="shared" si="26"/>
        <v>100.7196375210231</v>
      </c>
      <c r="AS13" s="1">
        <f t="shared" si="27"/>
        <v>97.639039256162732</v>
      </c>
      <c r="AT13" s="1">
        <f t="shared" si="28"/>
        <v>99.752565158818754</v>
      </c>
      <c r="AU13" s="1">
        <f t="shared" ref="AU13:AW13" si="40">AT13*O13</f>
        <v>101.05251597710252</v>
      </c>
      <c r="AV13" s="1">
        <f t="shared" si="40"/>
        <v>101.03595545665083</v>
      </c>
      <c r="AW13" s="1">
        <f t="shared" si="40"/>
        <v>100.77006442222613</v>
      </c>
      <c r="AX13" s="1" t="b">
        <f t="shared" si="30"/>
        <v>1</v>
      </c>
      <c r="AY13" s="1" t="s">
        <v>24</v>
      </c>
      <c r="AZ13" s="1">
        <v>4</v>
      </c>
      <c r="BA13" s="1" t="s">
        <v>179</v>
      </c>
      <c r="BB13" s="1" t="s">
        <v>180</v>
      </c>
      <c r="BC13" s="1">
        <v>2.0992405491876117E-3</v>
      </c>
    </row>
    <row r="14" spans="1:55" x14ac:dyDescent="0.35">
      <c r="A14" s="1" t="s">
        <v>25</v>
      </c>
      <c r="B14" s="1">
        <v>0.9993091536308405</v>
      </c>
      <c r="C14" s="1">
        <v>1</v>
      </c>
      <c r="D14" s="1">
        <v>1</v>
      </c>
      <c r="E14" s="1">
        <v>1</v>
      </c>
      <c r="F14" s="1">
        <v>1.0154409544381231</v>
      </c>
      <c r="G14" s="1">
        <v>1.0003352891963451</v>
      </c>
      <c r="H14" s="1">
        <v>1.000335064509319</v>
      </c>
      <c r="I14" s="1">
        <v>1</v>
      </c>
      <c r="J14" s="1">
        <v>1</v>
      </c>
      <c r="K14" s="1">
        <v>0.99091654853579358</v>
      </c>
      <c r="L14" s="1">
        <v>1</v>
      </c>
      <c r="M14" s="1">
        <v>0.94671805287172905</v>
      </c>
      <c r="N14" s="1">
        <v>1</v>
      </c>
      <c r="O14" s="1">
        <v>1.0192799814617881</v>
      </c>
      <c r="P14" s="1">
        <v>1</v>
      </c>
      <c r="Q14" s="1">
        <v>1</v>
      </c>
      <c r="S14" s="1">
        <f t="shared" si="0"/>
        <v>100</v>
      </c>
      <c r="T14" s="1">
        <f t="shared" si="3"/>
        <v>100</v>
      </c>
      <c r="U14" s="1">
        <f t="shared" si="4"/>
        <v>100</v>
      </c>
      <c r="V14" s="1">
        <f t="shared" si="5"/>
        <v>101.54409544381231</v>
      </c>
      <c r="W14" s="1">
        <f t="shared" si="6"/>
        <v>101.57814208196726</v>
      </c>
      <c r="X14" s="1">
        <f t="shared" si="7"/>
        <v>101.61217731230148</v>
      </c>
      <c r="Y14" s="1">
        <f t="shared" si="8"/>
        <v>101.61217731230148</v>
      </c>
      <c r="Z14" s="1">
        <f t="shared" si="9"/>
        <v>101.61217731230148</v>
      </c>
      <c r="AA14" s="1">
        <f t="shared" si="10"/>
        <v>100.68918803151286</v>
      </c>
      <c r="AB14" s="1">
        <f t="shared" si="11"/>
        <v>100.68918803151286</v>
      </c>
      <c r="AC14" s="1">
        <f t="shared" si="12"/>
        <v>95.324272038429257</v>
      </c>
      <c r="AD14" s="1">
        <f t="shared" si="13"/>
        <v>95.324272038429257</v>
      </c>
      <c r="AE14" s="1">
        <f t="shared" si="14"/>
        <v>99.998807466880677</v>
      </c>
      <c r="AF14" s="1">
        <f t="shared" si="15"/>
        <v>1.0000119254734083</v>
      </c>
      <c r="AH14" s="1" t="str">
        <f t="shared" si="16"/>
        <v>C1030.21491</v>
      </c>
      <c r="AI14" s="1">
        <f t="shared" si="17"/>
        <v>100.00119254734084</v>
      </c>
      <c r="AJ14" s="1">
        <f t="shared" si="18"/>
        <v>100.00119254734084</v>
      </c>
      <c r="AK14" s="1">
        <f t="shared" si="19"/>
        <v>100.00119254734084</v>
      </c>
      <c r="AL14" s="1">
        <f t="shared" si="20"/>
        <v>101.54530640522231</v>
      </c>
      <c r="AM14" s="1">
        <f t="shared" si="21"/>
        <v>101.57935344939952</v>
      </c>
      <c r="AN14" s="1">
        <f t="shared" si="22"/>
        <v>101.61338908561999</v>
      </c>
      <c r="AO14" s="1">
        <f t="shared" si="23"/>
        <v>101.61338908561999</v>
      </c>
      <c r="AP14" s="1">
        <f t="shared" si="24"/>
        <v>101.61338908561999</v>
      </c>
      <c r="AQ14" s="1">
        <f t="shared" si="25"/>
        <v>100.69038879774723</v>
      </c>
      <c r="AR14" s="1">
        <f t="shared" si="26"/>
        <v>100.69038879774723</v>
      </c>
      <c r="AS14" s="1">
        <f t="shared" si="27"/>
        <v>95.325408825500617</v>
      </c>
      <c r="AT14" s="1">
        <f t="shared" si="28"/>
        <v>95.325408825500617</v>
      </c>
      <c r="AU14" s="1">
        <f t="shared" ref="AU14:AW14" si="41">AT14*O14</f>
        <v>97.163280940493635</v>
      </c>
      <c r="AV14" s="1">
        <f t="shared" si="41"/>
        <v>97.163280940493635</v>
      </c>
      <c r="AW14" s="1">
        <f t="shared" si="41"/>
        <v>97.163280940493635</v>
      </c>
      <c r="AX14" s="1" t="b">
        <f t="shared" si="30"/>
        <v>1</v>
      </c>
      <c r="AY14" s="1" t="s">
        <v>25</v>
      </c>
      <c r="AZ14" s="1">
        <v>4</v>
      </c>
      <c r="BA14" s="1" t="s">
        <v>184</v>
      </c>
      <c r="BB14" s="1" t="s">
        <v>185</v>
      </c>
      <c r="BC14" s="1">
        <v>5.8597004907606038E-4</v>
      </c>
    </row>
    <row r="15" spans="1:55" x14ac:dyDescent="0.35">
      <c r="A15" s="1" t="s">
        <v>26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1.012356095879738</v>
      </c>
      <c r="N15" s="1">
        <v>1</v>
      </c>
      <c r="O15" s="1">
        <v>1</v>
      </c>
      <c r="P15" s="1">
        <v>1</v>
      </c>
      <c r="Q15" s="1">
        <v>1</v>
      </c>
      <c r="S15" s="1">
        <f t="shared" si="0"/>
        <v>100</v>
      </c>
      <c r="T15" s="1">
        <f t="shared" si="3"/>
        <v>100</v>
      </c>
      <c r="U15" s="1">
        <f t="shared" si="4"/>
        <v>100</v>
      </c>
      <c r="V15" s="1">
        <f t="shared" si="5"/>
        <v>100</v>
      </c>
      <c r="W15" s="1">
        <f t="shared" si="6"/>
        <v>100</v>
      </c>
      <c r="X15" s="1">
        <f t="shared" si="7"/>
        <v>100</v>
      </c>
      <c r="Y15" s="1">
        <f t="shared" si="8"/>
        <v>100</v>
      </c>
      <c r="Z15" s="1">
        <f t="shared" si="9"/>
        <v>100</v>
      </c>
      <c r="AA15" s="1">
        <f t="shared" si="10"/>
        <v>100</v>
      </c>
      <c r="AB15" s="1">
        <f t="shared" si="11"/>
        <v>100</v>
      </c>
      <c r="AC15" s="1">
        <f t="shared" si="12"/>
        <v>101.2356095879738</v>
      </c>
      <c r="AD15" s="1">
        <f t="shared" si="13"/>
        <v>101.2356095879738</v>
      </c>
      <c r="AE15" s="1">
        <f t="shared" si="14"/>
        <v>100.20593493132897</v>
      </c>
      <c r="AF15" s="1">
        <f t="shared" si="15"/>
        <v>0.99794488289071803</v>
      </c>
      <c r="AH15" s="1" t="str">
        <f t="shared" si="16"/>
        <v>C1030.21492</v>
      </c>
      <c r="AI15" s="1">
        <f t="shared" si="17"/>
        <v>99.794488289071808</v>
      </c>
      <c r="AJ15" s="1">
        <f t="shared" si="18"/>
        <v>99.794488289071808</v>
      </c>
      <c r="AK15" s="1">
        <f t="shared" si="19"/>
        <v>99.794488289071808</v>
      </c>
      <c r="AL15" s="1">
        <f t="shared" si="20"/>
        <v>99.794488289071808</v>
      </c>
      <c r="AM15" s="1">
        <f t="shared" si="21"/>
        <v>99.794488289071808</v>
      </c>
      <c r="AN15" s="1">
        <f t="shared" si="22"/>
        <v>99.794488289071808</v>
      </c>
      <c r="AO15" s="1">
        <f t="shared" si="23"/>
        <v>99.794488289071808</v>
      </c>
      <c r="AP15" s="1">
        <f t="shared" si="24"/>
        <v>99.794488289071808</v>
      </c>
      <c r="AQ15" s="1">
        <f t="shared" si="25"/>
        <v>99.794488289071808</v>
      </c>
      <c r="AR15" s="1">
        <f t="shared" si="26"/>
        <v>99.794488289071808</v>
      </c>
      <c r="AS15" s="1">
        <f t="shared" si="27"/>
        <v>101.02755855464096</v>
      </c>
      <c r="AT15" s="1">
        <f t="shared" si="28"/>
        <v>101.02755855464096</v>
      </c>
      <c r="AU15" s="1">
        <f t="shared" ref="AU15:AW15" si="42">AT15*O15</f>
        <v>101.02755855464096</v>
      </c>
      <c r="AV15" s="1">
        <f t="shared" si="42"/>
        <v>101.02755855464096</v>
      </c>
      <c r="AW15" s="1">
        <f t="shared" si="42"/>
        <v>101.02755855464096</v>
      </c>
      <c r="AX15" s="1" t="b">
        <f t="shared" si="30"/>
        <v>1</v>
      </c>
      <c r="AY15" s="1" t="s">
        <v>26</v>
      </c>
      <c r="AZ15" s="1">
        <v>4</v>
      </c>
      <c r="BA15" s="1" t="s">
        <v>186</v>
      </c>
      <c r="BB15" s="1" t="s">
        <v>187</v>
      </c>
      <c r="BC15" s="1">
        <v>5.8597004907606038E-4</v>
      </c>
    </row>
    <row r="16" spans="1:55" x14ac:dyDescent="0.35">
      <c r="A16" s="1" t="s">
        <v>27</v>
      </c>
      <c r="B16" s="1">
        <v>0.99963687344523211</v>
      </c>
      <c r="C16" s="1">
        <v>1</v>
      </c>
      <c r="D16" s="1">
        <v>0.99951312723074826</v>
      </c>
      <c r="E16" s="1">
        <v>0.99950714508589322</v>
      </c>
      <c r="F16" s="1">
        <v>0.99848408577755776</v>
      </c>
      <c r="G16" s="1">
        <v>0.999249130433569</v>
      </c>
      <c r="H16" s="1">
        <v>0.99982139165602824</v>
      </c>
      <c r="I16" s="1">
        <v>0.99936287045281602</v>
      </c>
      <c r="J16" s="1">
        <v>0.99887264723360536</v>
      </c>
      <c r="K16" s="1">
        <v>0.99946199448596795</v>
      </c>
      <c r="L16" s="1">
        <v>0.99987345842561004</v>
      </c>
      <c r="M16" s="1">
        <v>0.99945470357035093</v>
      </c>
      <c r="N16" s="1">
        <v>0.9995675978591243</v>
      </c>
      <c r="O16" s="1">
        <v>1.0003366526597475</v>
      </c>
      <c r="P16" s="1">
        <v>0.99970919379046175</v>
      </c>
      <c r="Q16" s="1">
        <v>1</v>
      </c>
      <c r="S16" s="1">
        <f t="shared" si="0"/>
        <v>100</v>
      </c>
      <c r="T16" s="1">
        <f t="shared" si="3"/>
        <v>99.951312723074821</v>
      </c>
      <c r="U16" s="1">
        <f t="shared" si="4"/>
        <v>99.902051227427833</v>
      </c>
      <c r="V16" s="1">
        <f t="shared" si="5"/>
        <v>99.750608287121025</v>
      </c>
      <c r="W16" s="1">
        <f t="shared" si="6"/>
        <v>99.675708591125243</v>
      </c>
      <c r="X16" s="1">
        <f t="shared" si="7"/>
        <v>99.657905677879569</v>
      </c>
      <c r="Y16" s="1">
        <f t="shared" si="8"/>
        <v>99.594410681561712</v>
      </c>
      <c r="Z16" s="1">
        <f t="shared" si="9"/>
        <v>99.482132647162416</v>
      </c>
      <c r="AA16" s="1">
        <f t="shared" si="10"/>
        <v>99.42861071125057</v>
      </c>
      <c r="AB16" s="1">
        <f t="shared" si="11"/>
        <v>99.416028858311762</v>
      </c>
      <c r="AC16" s="1">
        <f t="shared" si="12"/>
        <v>99.361817652725435</v>
      </c>
      <c r="AD16" s="1">
        <f t="shared" si="13"/>
        <v>99.318853390051089</v>
      </c>
      <c r="AE16" s="1">
        <f t="shared" si="14"/>
        <v>99.628286703974297</v>
      </c>
      <c r="AF16" s="1">
        <f t="shared" si="15"/>
        <v>1.0037310015892391</v>
      </c>
      <c r="AH16" s="1" t="str">
        <f t="shared" si="16"/>
        <v>C1030.21493</v>
      </c>
      <c r="AI16" s="1">
        <f t="shared" si="17"/>
        <v>100.3731001589239</v>
      </c>
      <c r="AJ16" s="1">
        <f t="shared" si="18"/>
        <v>100.32423122969115</v>
      </c>
      <c r="AK16" s="1">
        <f t="shared" si="19"/>
        <v>100.27478593932561</v>
      </c>
      <c r="AL16" s="1">
        <f t="shared" si="20"/>
        <v>100.12277796516784</v>
      </c>
      <c r="AM16" s="1">
        <f t="shared" si="21"/>
        <v>100.04759881828727</v>
      </c>
      <c r="AN16" s="1">
        <f t="shared" si="22"/>
        <v>100.02972948234398</v>
      </c>
      <c r="AO16" s="1">
        <f t="shared" si="23"/>
        <v>99.965997586093948</v>
      </c>
      <c r="AP16" s="1">
        <f t="shared" si="24"/>
        <v>99.85330064216987</v>
      </c>
      <c r="AQ16" s="1">
        <f t="shared" si="25"/>
        <v>99.799579015830076</v>
      </c>
      <c r="AR16" s="1">
        <f t="shared" si="26"/>
        <v>99.786950219977967</v>
      </c>
      <c r="AS16" s="1">
        <f t="shared" si="27"/>
        <v>99.732536752297435</v>
      </c>
      <c r="AT16" s="1">
        <f t="shared" si="28"/>
        <v>99.689412189890774</v>
      </c>
      <c r="AU16" s="1">
        <f t="shared" ref="AU16:AW16" si="43">AT16*O16</f>
        <v>99.722972895653157</v>
      </c>
      <c r="AV16" s="1">
        <f t="shared" si="43"/>
        <v>99.693972835901491</v>
      </c>
      <c r="AW16" s="1">
        <f t="shared" si="43"/>
        <v>99.693972835901491</v>
      </c>
      <c r="AX16" s="1" t="b">
        <f t="shared" si="30"/>
        <v>1</v>
      </c>
      <c r="AY16" s="1" t="s">
        <v>27</v>
      </c>
      <c r="AZ16" s="1">
        <v>4</v>
      </c>
      <c r="BA16" s="1" t="s">
        <v>188</v>
      </c>
      <c r="BB16" s="1" t="s">
        <v>189</v>
      </c>
      <c r="BC16" s="1">
        <v>5.8597004907606038E-4</v>
      </c>
    </row>
    <row r="17" spans="1:55" x14ac:dyDescent="0.35">
      <c r="A17" s="1" t="s">
        <v>28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0.9886768937954552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0.96666274218843073</v>
      </c>
      <c r="O17" s="1">
        <v>1</v>
      </c>
      <c r="P17" s="1">
        <v>1.0029806435588851</v>
      </c>
      <c r="Q17" s="1">
        <v>1</v>
      </c>
      <c r="S17" s="1">
        <f t="shared" si="0"/>
        <v>100</v>
      </c>
      <c r="T17" s="1">
        <f t="shared" si="3"/>
        <v>100</v>
      </c>
      <c r="U17" s="1">
        <f t="shared" si="4"/>
        <v>100</v>
      </c>
      <c r="V17" s="1">
        <f t="shared" si="5"/>
        <v>100</v>
      </c>
      <c r="W17" s="1">
        <f t="shared" si="6"/>
        <v>100</v>
      </c>
      <c r="X17" s="1">
        <f t="shared" si="7"/>
        <v>98.867689379545524</v>
      </c>
      <c r="Y17" s="1">
        <f t="shared" si="8"/>
        <v>98.867689379545524</v>
      </c>
      <c r="Z17" s="1">
        <f t="shared" si="9"/>
        <v>98.867689379545524</v>
      </c>
      <c r="AA17" s="1">
        <f t="shared" si="10"/>
        <v>98.867689379545524</v>
      </c>
      <c r="AB17" s="1">
        <f t="shared" si="11"/>
        <v>98.867689379545524</v>
      </c>
      <c r="AC17" s="1">
        <f t="shared" si="12"/>
        <v>98.867689379545524</v>
      </c>
      <c r="AD17" s="1">
        <f t="shared" si="13"/>
        <v>95.571711729465463</v>
      </c>
      <c r="AE17" s="1">
        <f t="shared" si="14"/>
        <v>99.064820667228204</v>
      </c>
      <c r="AF17" s="1">
        <f t="shared" si="15"/>
        <v>1.0094400749577208</v>
      </c>
      <c r="AH17" s="1" t="str">
        <f t="shared" si="16"/>
        <v>C1030.21494</v>
      </c>
      <c r="AI17" s="1">
        <f t="shared" si="17"/>
        <v>100.94400749577208</v>
      </c>
      <c r="AJ17" s="1">
        <f t="shared" si="18"/>
        <v>100.94400749577208</v>
      </c>
      <c r="AK17" s="1">
        <f t="shared" si="19"/>
        <v>100.94400749577208</v>
      </c>
      <c r="AL17" s="1">
        <f t="shared" si="20"/>
        <v>100.94400749577208</v>
      </c>
      <c r="AM17" s="1">
        <f t="shared" si="21"/>
        <v>100.94400749577208</v>
      </c>
      <c r="AN17" s="1">
        <f t="shared" si="22"/>
        <v>99.801007778185095</v>
      </c>
      <c r="AO17" s="1">
        <f t="shared" si="23"/>
        <v>99.801007778185095</v>
      </c>
      <c r="AP17" s="1">
        <f t="shared" si="24"/>
        <v>99.801007778185095</v>
      </c>
      <c r="AQ17" s="1">
        <f t="shared" si="25"/>
        <v>99.801007778185095</v>
      </c>
      <c r="AR17" s="1">
        <f t="shared" si="26"/>
        <v>99.801007778185095</v>
      </c>
      <c r="AS17" s="1">
        <f t="shared" si="27"/>
        <v>99.801007778185095</v>
      </c>
      <c r="AT17" s="1">
        <f t="shared" si="28"/>
        <v>96.473915852029307</v>
      </c>
      <c r="AU17" s="1">
        <f t="shared" ref="AU17:AW17" si="44">AT17*O17</f>
        <v>96.473915852029307</v>
      </c>
      <c r="AV17" s="1">
        <f t="shared" si="44"/>
        <v>96.761470207914073</v>
      </c>
      <c r="AW17" s="1">
        <f t="shared" si="44"/>
        <v>96.761470207914073</v>
      </c>
      <c r="AX17" s="1" t="b">
        <f t="shared" si="30"/>
        <v>1</v>
      </c>
      <c r="AY17" s="1" t="s">
        <v>28</v>
      </c>
      <c r="AZ17" s="1">
        <v>4</v>
      </c>
      <c r="BA17" s="1" t="s">
        <v>190</v>
      </c>
      <c r="BB17" s="1" t="s">
        <v>191</v>
      </c>
      <c r="BC17" s="1">
        <v>5.8597004907606038E-4</v>
      </c>
    </row>
    <row r="18" spans="1:55" x14ac:dyDescent="0.35">
      <c r="A18" s="1" t="s">
        <v>29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0.98201773606228882</v>
      </c>
      <c r="O18" s="1">
        <v>1</v>
      </c>
      <c r="P18" s="1">
        <v>1.0218536249909764</v>
      </c>
      <c r="Q18" s="1">
        <v>1.0237749328928014</v>
      </c>
      <c r="S18" s="1">
        <f t="shared" si="0"/>
        <v>100</v>
      </c>
      <c r="T18" s="1">
        <f t="shared" si="3"/>
        <v>100</v>
      </c>
      <c r="U18" s="1">
        <f t="shared" si="4"/>
        <v>100</v>
      </c>
      <c r="V18" s="1">
        <f t="shared" si="5"/>
        <v>100</v>
      </c>
      <c r="W18" s="1">
        <f t="shared" si="6"/>
        <v>100</v>
      </c>
      <c r="X18" s="1">
        <f t="shared" si="7"/>
        <v>100</v>
      </c>
      <c r="Y18" s="1">
        <f t="shared" si="8"/>
        <v>100</v>
      </c>
      <c r="Z18" s="1">
        <f t="shared" si="9"/>
        <v>100</v>
      </c>
      <c r="AA18" s="1">
        <f t="shared" si="10"/>
        <v>100</v>
      </c>
      <c r="AB18" s="1">
        <f t="shared" si="11"/>
        <v>100</v>
      </c>
      <c r="AC18" s="1">
        <f t="shared" si="12"/>
        <v>100</v>
      </c>
      <c r="AD18" s="1">
        <f t="shared" si="13"/>
        <v>98.201773606228883</v>
      </c>
      <c r="AE18" s="1">
        <f t="shared" si="14"/>
        <v>99.850147800519082</v>
      </c>
      <c r="AF18" s="1">
        <f t="shared" si="15"/>
        <v>1.0015007709330614</v>
      </c>
      <c r="AH18" s="1" t="str">
        <f t="shared" si="16"/>
        <v>C1030.21495</v>
      </c>
      <c r="AI18" s="1">
        <f t="shared" si="17"/>
        <v>100.15007709330615</v>
      </c>
      <c r="AJ18" s="1">
        <f t="shared" si="18"/>
        <v>100.15007709330615</v>
      </c>
      <c r="AK18" s="1">
        <f t="shared" si="19"/>
        <v>100.15007709330615</v>
      </c>
      <c r="AL18" s="1">
        <f t="shared" si="20"/>
        <v>100.15007709330615</v>
      </c>
      <c r="AM18" s="1">
        <f t="shared" si="21"/>
        <v>100.15007709330615</v>
      </c>
      <c r="AN18" s="1">
        <f t="shared" si="22"/>
        <v>100.15007709330615</v>
      </c>
      <c r="AO18" s="1">
        <f t="shared" si="23"/>
        <v>100.15007709330615</v>
      </c>
      <c r="AP18" s="1">
        <f t="shared" si="24"/>
        <v>100.15007709330615</v>
      </c>
      <c r="AQ18" s="1">
        <f t="shared" si="25"/>
        <v>100.15007709330615</v>
      </c>
      <c r="AR18" s="1">
        <f t="shared" si="26"/>
        <v>100.15007709330615</v>
      </c>
      <c r="AS18" s="1">
        <f t="shared" si="27"/>
        <v>100.15007709330615</v>
      </c>
      <c r="AT18" s="1">
        <f t="shared" si="28"/>
        <v>98.349151973632189</v>
      </c>
      <c r="AU18" s="1">
        <f t="shared" ref="AU18:AW18" si="45">AT18*O18</f>
        <v>98.349151973632189</v>
      </c>
      <c r="AV18" s="1">
        <f t="shared" si="45"/>
        <v>100.4984374590445</v>
      </c>
      <c r="AW18" s="1">
        <f t="shared" si="45"/>
        <v>102.88778106546468</v>
      </c>
      <c r="AX18" s="1" t="b">
        <f t="shared" si="30"/>
        <v>1</v>
      </c>
      <c r="AY18" s="1" t="s">
        <v>29</v>
      </c>
      <c r="AZ18" s="1">
        <v>4</v>
      </c>
      <c r="BA18" s="1" t="s">
        <v>192</v>
      </c>
      <c r="BB18" s="1" t="s">
        <v>193</v>
      </c>
      <c r="BC18" s="1">
        <v>5.8597004907606038E-4</v>
      </c>
    </row>
    <row r="19" spans="1:55" x14ac:dyDescent="0.35">
      <c r="A19" s="1" t="s">
        <v>30</v>
      </c>
      <c r="B19" s="1">
        <v>0.94491105747277915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S19" s="1">
        <f t="shared" si="0"/>
        <v>100</v>
      </c>
      <c r="T19" s="1">
        <f t="shared" si="3"/>
        <v>100</v>
      </c>
      <c r="U19" s="1">
        <f t="shared" si="4"/>
        <v>100</v>
      </c>
      <c r="V19" s="1">
        <f t="shared" si="5"/>
        <v>100</v>
      </c>
      <c r="W19" s="1">
        <f t="shared" si="6"/>
        <v>100</v>
      </c>
      <c r="X19" s="1">
        <f t="shared" si="7"/>
        <v>100</v>
      </c>
      <c r="Y19" s="1">
        <f t="shared" si="8"/>
        <v>100</v>
      </c>
      <c r="Z19" s="1">
        <f t="shared" si="9"/>
        <v>100</v>
      </c>
      <c r="AA19" s="1">
        <f t="shared" si="10"/>
        <v>100</v>
      </c>
      <c r="AB19" s="1">
        <f t="shared" si="11"/>
        <v>100</v>
      </c>
      <c r="AC19" s="1">
        <f t="shared" si="12"/>
        <v>100</v>
      </c>
      <c r="AD19" s="1">
        <f t="shared" si="13"/>
        <v>100</v>
      </c>
      <c r="AE19" s="1">
        <f t="shared" si="14"/>
        <v>100</v>
      </c>
      <c r="AF19" s="1">
        <f t="shared" si="15"/>
        <v>1</v>
      </c>
      <c r="AH19" s="1" t="str">
        <f t="shared" si="16"/>
        <v>C1030.21499</v>
      </c>
      <c r="AI19" s="1">
        <f t="shared" si="17"/>
        <v>100</v>
      </c>
      <c r="AJ19" s="1">
        <f t="shared" si="18"/>
        <v>100</v>
      </c>
      <c r="AK19" s="1">
        <f t="shared" si="19"/>
        <v>100</v>
      </c>
      <c r="AL19" s="1">
        <f t="shared" si="20"/>
        <v>100</v>
      </c>
      <c r="AM19" s="1">
        <f t="shared" si="21"/>
        <v>100</v>
      </c>
      <c r="AN19" s="1">
        <f t="shared" si="22"/>
        <v>100</v>
      </c>
      <c r="AO19" s="1">
        <f t="shared" si="23"/>
        <v>100</v>
      </c>
      <c r="AP19" s="1">
        <f t="shared" si="24"/>
        <v>100</v>
      </c>
      <c r="AQ19" s="1">
        <f t="shared" si="25"/>
        <v>100</v>
      </c>
      <c r="AR19" s="1">
        <f t="shared" si="26"/>
        <v>100</v>
      </c>
      <c r="AS19" s="1">
        <f t="shared" si="27"/>
        <v>100</v>
      </c>
      <c r="AT19" s="1">
        <f t="shared" si="28"/>
        <v>100</v>
      </c>
      <c r="AU19" s="1">
        <f t="shared" ref="AU19:AW19" si="46">AT19*O19</f>
        <v>100</v>
      </c>
      <c r="AV19" s="1">
        <f t="shared" si="46"/>
        <v>100</v>
      </c>
      <c r="AW19" s="1">
        <f t="shared" si="46"/>
        <v>100</v>
      </c>
      <c r="AX19" s="1" t="b">
        <f t="shared" si="30"/>
        <v>1</v>
      </c>
      <c r="AY19" s="1" t="s">
        <v>30</v>
      </c>
      <c r="AZ19" s="1">
        <v>4</v>
      </c>
      <c r="BA19" s="1" t="s">
        <v>194</v>
      </c>
      <c r="BB19" s="1" t="s">
        <v>195</v>
      </c>
      <c r="BC19" s="1">
        <v>5.8597004907606038E-4</v>
      </c>
    </row>
    <row r="20" spans="1:55" x14ac:dyDescent="0.35">
      <c r="A20" s="1" t="s">
        <v>31</v>
      </c>
      <c r="B20" s="1">
        <v>0.93891373671143641</v>
      </c>
      <c r="C20" s="1">
        <v>1</v>
      </c>
      <c r="D20" s="1">
        <v>1.0752318447401019</v>
      </c>
      <c r="E20" s="1">
        <v>1.0089257089727111</v>
      </c>
      <c r="F20" s="1">
        <v>1.0555556814035061</v>
      </c>
      <c r="G20" s="1">
        <v>0.97678241908420915</v>
      </c>
      <c r="H20" s="1">
        <v>0.98802952184387227</v>
      </c>
      <c r="I20" s="1">
        <v>1.0211574494842921</v>
      </c>
      <c r="J20" s="1">
        <v>1.016711235870922</v>
      </c>
      <c r="K20" s="1">
        <v>1.037722572043474</v>
      </c>
      <c r="L20" s="1">
        <v>1.0717049337512681</v>
      </c>
      <c r="M20" s="1">
        <v>1</v>
      </c>
      <c r="N20" s="1">
        <v>1.0433929269835329</v>
      </c>
      <c r="O20" s="1">
        <v>1.005110124669877</v>
      </c>
      <c r="P20" s="1">
        <v>0.92701976457589985</v>
      </c>
      <c r="Q20" s="1">
        <v>1.0156827699605859</v>
      </c>
      <c r="S20" s="1">
        <f t="shared" si="0"/>
        <v>100</v>
      </c>
      <c r="T20" s="1">
        <f t="shared" si="3"/>
        <v>107.52318447401019</v>
      </c>
      <c r="U20" s="1">
        <f t="shared" si="4"/>
        <v>108.48290512644434</v>
      </c>
      <c r="V20" s="1">
        <f t="shared" si="5"/>
        <v>114.50974684137586</v>
      </c>
      <c r="W20" s="1">
        <f t="shared" si="6"/>
        <v>111.85110752843948</v>
      </c>
      <c r="X20" s="1">
        <f t="shared" si="7"/>
        <v>110.51219628903161</v>
      </c>
      <c r="Y20" s="1">
        <f t="shared" si="8"/>
        <v>112.85035249941497</v>
      </c>
      <c r="Z20" s="1">
        <f t="shared" si="9"/>
        <v>114.73622135814939</v>
      </c>
      <c r="AA20" s="1">
        <f t="shared" si="10"/>
        <v>119.06436673432816</v>
      </c>
      <c r="AB20" s="1">
        <f t="shared" si="11"/>
        <v>127.60186926314985</v>
      </c>
      <c r="AC20" s="1">
        <f t="shared" si="12"/>
        <v>127.60186926314985</v>
      </c>
      <c r="AD20" s="1">
        <f t="shared" si="13"/>
        <v>133.13888785904803</v>
      </c>
      <c r="AE20" s="1">
        <f t="shared" si="14"/>
        <v>115.65605893637847</v>
      </c>
      <c r="AF20" s="1">
        <f t="shared" si="15"/>
        <v>0.86463260913126261</v>
      </c>
      <c r="AH20" s="1" t="str">
        <f t="shared" si="16"/>
        <v>C1040.21535</v>
      </c>
      <c r="AI20" s="1">
        <f t="shared" si="17"/>
        <v>86.463260913126263</v>
      </c>
      <c r="AJ20" s="1">
        <f t="shared" si="18"/>
        <v>92.968051533865506</v>
      </c>
      <c r="AK20" s="1">
        <f t="shared" si="19"/>
        <v>93.797857305616787</v>
      </c>
      <c r="AL20" s="1">
        <f t="shared" si="20"/>
        <v>99.008861182419167</v>
      </c>
      <c r="AM20" s="1">
        <f t="shared" si="21"/>
        <v>96.710114936536044</v>
      </c>
      <c r="AN20" s="1">
        <f t="shared" si="22"/>
        <v>95.552448618211642</v>
      </c>
      <c r="AO20" s="1">
        <f t="shared" si="23"/>
        <v>97.57409472295187</v>
      </c>
      <c r="AP20" s="1">
        <f t="shared" si="24"/>
        <v>99.204678434758804</v>
      </c>
      <c r="AQ20" s="1">
        <f t="shared" si="25"/>
        <v>102.94693406406367</v>
      </c>
      <c r="AR20" s="1">
        <f t="shared" si="26"/>
        <v>110.32873715102352</v>
      </c>
      <c r="AS20" s="1">
        <f t="shared" si="27"/>
        <v>110.32873715102352</v>
      </c>
      <c r="AT20" s="1">
        <f t="shared" si="28"/>
        <v>115.11622398640327</v>
      </c>
      <c r="AU20" s="1">
        <f t="shared" ref="AU20:AW20" si="47">AT20*O20</f>
        <v>115.70448224249928</v>
      </c>
      <c r="AV20" s="1">
        <f t="shared" si="47"/>
        <v>107.26034188881808</v>
      </c>
      <c r="AW20" s="1">
        <f t="shared" si="47"/>
        <v>108.94248115655421</v>
      </c>
      <c r="AX20" s="1" t="b">
        <f t="shared" si="30"/>
        <v>1</v>
      </c>
      <c r="AY20" s="1" t="s">
        <v>31</v>
      </c>
      <c r="AZ20" s="1">
        <v>4</v>
      </c>
      <c r="BA20" s="1" t="s">
        <v>196</v>
      </c>
      <c r="BB20" s="1" t="s">
        <v>197</v>
      </c>
      <c r="BC20" s="1">
        <v>1.4418600783660212E-2</v>
      </c>
    </row>
    <row r="21" spans="1:55" x14ac:dyDescent="0.35">
      <c r="A21" s="1" t="s">
        <v>32</v>
      </c>
      <c r="B21" s="1">
        <v>1.000704341753093</v>
      </c>
      <c r="C21" s="1">
        <v>1</v>
      </c>
      <c r="D21" s="1">
        <v>1.0024201791980309</v>
      </c>
      <c r="E21" s="1">
        <v>1.0160872809988619</v>
      </c>
      <c r="F21" s="1">
        <v>1.018755302078779</v>
      </c>
      <c r="G21" s="1">
        <v>1</v>
      </c>
      <c r="H21" s="1">
        <v>0.96401033965109328</v>
      </c>
      <c r="I21" s="1">
        <v>0.93780717550231762</v>
      </c>
      <c r="J21" s="1">
        <v>1</v>
      </c>
      <c r="K21" s="1">
        <v>1.040408823806912</v>
      </c>
      <c r="L21" s="1">
        <v>1.02201595353518</v>
      </c>
      <c r="M21" s="1">
        <v>1.021908810317518</v>
      </c>
      <c r="N21" s="1">
        <v>1.078827917087861</v>
      </c>
      <c r="O21" s="1">
        <v>1.074058900075278</v>
      </c>
      <c r="P21" s="1">
        <v>1</v>
      </c>
      <c r="Q21" s="1">
        <v>1.0791667744810649</v>
      </c>
      <c r="S21" s="1">
        <f t="shared" si="0"/>
        <v>100</v>
      </c>
      <c r="T21" s="1">
        <f t="shared" si="3"/>
        <v>100.24201791980309</v>
      </c>
      <c r="U21" s="1">
        <f t="shared" si="4"/>
        <v>101.85463942997191</v>
      </c>
      <c r="V21" s="1">
        <f t="shared" si="5"/>
        <v>103.76495396060615</v>
      </c>
      <c r="W21" s="1">
        <f t="shared" si="6"/>
        <v>103.76495396060615</v>
      </c>
      <c r="X21" s="1">
        <f t="shared" si="7"/>
        <v>100.03048851144399</v>
      </c>
      <c r="Y21" s="1">
        <f t="shared" si="8"/>
        <v>93.809309895034318</v>
      </c>
      <c r="Z21" s="1">
        <f t="shared" si="9"/>
        <v>93.809309895034318</v>
      </c>
      <c r="AA21" s="1">
        <f t="shared" si="10"/>
        <v>97.600033770030763</v>
      </c>
      <c r="AB21" s="1">
        <f t="shared" si="11"/>
        <v>99.748791578543759</v>
      </c>
      <c r="AC21" s="1">
        <f t="shared" si="12"/>
        <v>101.93416893263971</v>
      </c>
      <c r="AD21" s="1">
        <f t="shared" si="13"/>
        <v>109.96942714968185</v>
      </c>
      <c r="AE21" s="1">
        <f t="shared" si="14"/>
        <v>100.54400791694967</v>
      </c>
      <c r="AF21" s="1">
        <f t="shared" si="15"/>
        <v>0.99458935516675417</v>
      </c>
      <c r="AH21" s="1" t="str">
        <f t="shared" si="16"/>
        <v>C1040.21539</v>
      </c>
      <c r="AI21" s="1">
        <f t="shared" si="17"/>
        <v>99.45893551667541</v>
      </c>
      <c r="AJ21" s="1">
        <f t="shared" si="18"/>
        <v>99.699643963471175</v>
      </c>
      <c r="AK21" s="1">
        <f t="shared" si="19"/>
        <v>101.30354015139801</v>
      </c>
      <c r="AL21" s="1">
        <f t="shared" si="20"/>
        <v>103.20351864858721</v>
      </c>
      <c r="AM21" s="1">
        <f t="shared" si="21"/>
        <v>103.20351864858721</v>
      </c>
      <c r="AN21" s="1">
        <f t="shared" si="22"/>
        <v>99.489259065612487</v>
      </c>
      <c r="AO21" s="1">
        <f t="shared" si="23"/>
        <v>93.301741037140388</v>
      </c>
      <c r="AP21" s="1">
        <f t="shared" si="24"/>
        <v>93.301741037140388</v>
      </c>
      <c r="AQ21" s="1">
        <f t="shared" si="25"/>
        <v>97.071954651588328</v>
      </c>
      <c r="AR21" s="1">
        <f t="shared" si="26"/>
        <v>99.209086294766792</v>
      </c>
      <c r="AS21" s="1">
        <f t="shared" si="27"/>
        <v>101.38263934817311</v>
      </c>
      <c r="AT21" s="1">
        <f t="shared" si="28"/>
        <v>109.37442163685942</v>
      </c>
      <c r="AU21" s="1">
        <f t="shared" ref="AU21:AW21" si="48">AT21*O21</f>
        <v>117.47457099965493</v>
      </c>
      <c r="AV21" s="1">
        <f t="shared" si="48"/>
        <v>117.47457099965493</v>
      </c>
      <c r="AW21" s="1">
        <f t="shared" si="48"/>
        <v>126.77465386924446</v>
      </c>
      <c r="AX21" s="1" t="b">
        <f t="shared" si="30"/>
        <v>1</v>
      </c>
      <c r="AY21" s="1" t="s">
        <v>32</v>
      </c>
      <c r="AZ21" s="1">
        <v>4</v>
      </c>
      <c r="BA21" s="1" t="s">
        <v>198</v>
      </c>
      <c r="BB21" s="1" t="s">
        <v>199</v>
      </c>
      <c r="BC21" s="1">
        <v>1.4418600783660212E-2</v>
      </c>
    </row>
    <row r="22" spans="1:55" x14ac:dyDescent="0.35">
      <c r="A22" s="1" t="s">
        <v>33</v>
      </c>
      <c r="B22" s="1">
        <v>0.99033691510817456</v>
      </c>
      <c r="C22" s="1">
        <v>1</v>
      </c>
      <c r="D22" s="1">
        <v>1.0292293574015901</v>
      </c>
      <c r="E22" s="1">
        <v>1.020397226223027</v>
      </c>
      <c r="F22" s="1">
        <v>1</v>
      </c>
      <c r="G22" s="1">
        <v>0.98921891563370501</v>
      </c>
      <c r="H22" s="1">
        <v>0.98683314823087365</v>
      </c>
      <c r="I22" s="1">
        <v>0.95464230894822233</v>
      </c>
      <c r="J22" s="1">
        <v>1.02092909827294</v>
      </c>
      <c r="K22" s="1">
        <v>1.0308590105962701</v>
      </c>
      <c r="L22" s="1">
        <v>0.97796229805154378</v>
      </c>
      <c r="M22" s="1">
        <v>1.0034603709375329</v>
      </c>
      <c r="N22" s="1">
        <v>1</v>
      </c>
      <c r="O22" s="1">
        <v>1</v>
      </c>
      <c r="P22" s="1">
        <v>1</v>
      </c>
      <c r="Q22" s="1">
        <v>1.0678009768054939</v>
      </c>
      <c r="S22" s="1">
        <f t="shared" si="0"/>
        <v>100</v>
      </c>
      <c r="T22" s="1">
        <f t="shared" si="3"/>
        <v>102.92293574015901</v>
      </c>
      <c r="U22" s="1">
        <f t="shared" si="4"/>
        <v>105.0222781439891</v>
      </c>
      <c r="V22" s="1">
        <f t="shared" si="5"/>
        <v>105.0222781439891</v>
      </c>
      <c r="W22" s="1">
        <f t="shared" si="6"/>
        <v>103.89002410297826</v>
      </c>
      <c r="X22" s="1">
        <f t="shared" si="7"/>
        <v>102.52211955532339</v>
      </c>
      <c r="Y22" s="1">
        <f t="shared" si="8"/>
        <v>97.871952930559615</v>
      </c>
      <c r="Z22" s="1">
        <f t="shared" si="9"/>
        <v>99.920324651607856</v>
      </c>
      <c r="AA22" s="1">
        <f t="shared" si="10"/>
        <v>103.00376700881456</v>
      </c>
      <c r="AB22" s="1">
        <f t="shared" si="11"/>
        <v>100.73380069190608</v>
      </c>
      <c r="AC22" s="1">
        <f t="shared" si="12"/>
        <v>101.08237700824759</v>
      </c>
      <c r="AD22" s="1">
        <f t="shared" si="13"/>
        <v>101.08237700824759</v>
      </c>
      <c r="AE22" s="1">
        <f t="shared" si="14"/>
        <v>101.92285291548517</v>
      </c>
      <c r="AF22" s="1">
        <f t="shared" si="15"/>
        <v>0.98113423181865211</v>
      </c>
      <c r="AH22" s="1" t="str">
        <f t="shared" si="16"/>
        <v>C1040.21545</v>
      </c>
      <c r="AI22" s="1">
        <f t="shared" si="17"/>
        <v>98.113423181865215</v>
      </c>
      <c r="AJ22" s="1">
        <f t="shared" si="18"/>
        <v>100.98121549394141</v>
      </c>
      <c r="AK22" s="1">
        <f t="shared" si="19"/>
        <v>103.04095219064756</v>
      </c>
      <c r="AL22" s="1">
        <f t="shared" si="20"/>
        <v>103.04095219064756</v>
      </c>
      <c r="AM22" s="1">
        <f t="shared" si="21"/>
        <v>101.93005899189683</v>
      </c>
      <c r="AN22" s="1">
        <f t="shared" si="22"/>
        <v>100.58796101433222</v>
      </c>
      <c r="AO22" s="1">
        <f t="shared" si="23"/>
        <v>96.02552335511588</v>
      </c>
      <c r="AP22" s="1">
        <f t="shared" si="24"/>
        <v>98.035250970125603</v>
      </c>
      <c r="AQ22" s="1">
        <f t="shared" si="25"/>
        <v>101.0605218186207</v>
      </c>
      <c r="AR22" s="1">
        <f t="shared" si="26"/>
        <v>98.833380160026479</v>
      </c>
      <c r="AS22" s="1">
        <f t="shared" si="27"/>
        <v>99.175380316390388</v>
      </c>
      <c r="AT22" s="1">
        <f t="shared" si="28"/>
        <v>99.175380316390388</v>
      </c>
      <c r="AU22" s="1">
        <f t="shared" ref="AU22:AW22" si="49">AT22*O22</f>
        <v>99.175380316390388</v>
      </c>
      <c r="AV22" s="1">
        <f t="shared" si="49"/>
        <v>99.175380316390388</v>
      </c>
      <c r="AW22" s="1">
        <f t="shared" si="49"/>
        <v>105.89956797689801</v>
      </c>
      <c r="AX22" s="1" t="b">
        <f t="shared" si="30"/>
        <v>1</v>
      </c>
      <c r="AY22" s="1" t="s">
        <v>33</v>
      </c>
      <c r="AZ22" s="1">
        <v>4</v>
      </c>
      <c r="BA22" s="1" t="s">
        <v>200</v>
      </c>
      <c r="BB22" s="1" t="s">
        <v>201</v>
      </c>
      <c r="BC22" s="1">
        <v>1.4418600783660212E-2</v>
      </c>
    </row>
    <row r="23" spans="1:55" x14ac:dyDescent="0.35">
      <c r="A23" s="1" t="s">
        <v>34</v>
      </c>
      <c r="B23" s="1">
        <v>0.98413861216935383</v>
      </c>
      <c r="C23" s="1">
        <v>1</v>
      </c>
      <c r="D23" s="1">
        <v>0.99964350043994454</v>
      </c>
      <c r="E23" s="1">
        <v>0.99975766775442165</v>
      </c>
      <c r="F23" s="1">
        <v>0.999167942357712</v>
      </c>
      <c r="G23" s="1">
        <v>1.000090171017191</v>
      </c>
      <c r="H23" s="1">
        <v>0.99969481500535928</v>
      </c>
      <c r="I23" s="1">
        <v>0.99992330095615156</v>
      </c>
      <c r="J23" s="1">
        <v>0.99959990798546572</v>
      </c>
      <c r="K23" s="1">
        <v>1.001214614762137</v>
      </c>
      <c r="L23" s="1">
        <v>0.99756829358728183</v>
      </c>
      <c r="M23" s="1">
        <v>0.99340761649805609</v>
      </c>
      <c r="N23" s="1">
        <v>1.0079785591136541</v>
      </c>
      <c r="O23" s="1">
        <v>1.025809261509121</v>
      </c>
      <c r="P23" s="1">
        <v>1.002869708878493</v>
      </c>
      <c r="Q23" s="1">
        <v>1.025942441905358</v>
      </c>
      <c r="S23" s="1">
        <f t="shared" si="0"/>
        <v>100</v>
      </c>
      <c r="T23" s="1">
        <f t="shared" si="3"/>
        <v>99.964350043994457</v>
      </c>
      <c r="U23" s="1">
        <f t="shared" si="4"/>
        <v>99.94012545857052</v>
      </c>
      <c r="V23" s="1">
        <f t="shared" si="5"/>
        <v>99.856969513411499</v>
      </c>
      <c r="W23" s="1">
        <f t="shared" si="6"/>
        <v>99.865973717926138</v>
      </c>
      <c r="X23" s="1">
        <f t="shared" si="7"/>
        <v>99.835496121272243</v>
      </c>
      <c r="Y23" s="1">
        <f t="shared" si="8"/>
        <v>99.827838834177612</v>
      </c>
      <c r="Z23" s="1">
        <f t="shared" si="9"/>
        <v>99.787898513031848</v>
      </c>
      <c r="AA23" s="1">
        <f t="shared" si="10"/>
        <v>99.909102367648401</v>
      </c>
      <c r="AB23" s="1">
        <f t="shared" si="11"/>
        <v>99.666152762732068</v>
      </c>
      <c r="AC23" s="1">
        <f t="shared" si="12"/>
        <v>99.009115261556815</v>
      </c>
      <c r="AD23" s="1">
        <f t="shared" si="13"/>
        <v>99.799065340461738</v>
      </c>
      <c r="AE23" s="1">
        <f t="shared" si="14"/>
        <v>99.788507327898614</v>
      </c>
      <c r="AF23" s="1">
        <f t="shared" si="15"/>
        <v>1.002119409115986</v>
      </c>
      <c r="AH23" s="1" t="str">
        <f t="shared" si="16"/>
        <v>C1040.21549</v>
      </c>
      <c r="AI23" s="1">
        <f t="shared" si="17"/>
        <v>100.21194091159859</v>
      </c>
      <c r="AJ23" s="1">
        <f t="shared" si="18"/>
        <v>100.17621539875131</v>
      </c>
      <c r="AK23" s="1">
        <f t="shared" si="19"/>
        <v>100.15193947152019</v>
      </c>
      <c r="AL23" s="1">
        <f t="shared" si="20"/>
        <v>100.06860728489296</v>
      </c>
      <c r="AM23" s="1">
        <f t="shared" si="21"/>
        <v>100.07763057300073</v>
      </c>
      <c r="AN23" s="1">
        <f t="shared" si="22"/>
        <v>100.04708838185064</v>
      </c>
      <c r="AO23" s="1">
        <f t="shared" si="23"/>
        <v>100.03941486583194</v>
      </c>
      <c r="AP23" s="1">
        <f t="shared" si="24"/>
        <v>99.999389894805446</v>
      </c>
      <c r="AQ23" s="1">
        <f t="shared" si="25"/>
        <v>100.12085062997637</v>
      </c>
      <c r="AR23" s="1">
        <f t="shared" si="26"/>
        <v>99.877386115452651</v>
      </c>
      <c r="AS23" s="1">
        <f t="shared" si="27"/>
        <v>99.218956083007868</v>
      </c>
      <c r="AT23" s="1">
        <f t="shared" si="28"/>
        <v>100.01058038931119</v>
      </c>
      <c r="AU23" s="1">
        <f t="shared" ref="AU23:AW23" si="50">AT23*O23</f>
        <v>102.59177961225788</v>
      </c>
      <c r="AV23" s="1">
        <f t="shared" si="50"/>
        <v>102.88618815307157</v>
      </c>
      <c r="AW23" s="1">
        <f t="shared" si="50"/>
        <v>105.55530711209636</v>
      </c>
      <c r="AX23" s="1" t="b">
        <f t="shared" si="30"/>
        <v>1</v>
      </c>
      <c r="AY23" s="1" t="s">
        <v>34</v>
      </c>
      <c r="AZ23" s="1">
        <v>4</v>
      </c>
      <c r="BA23" s="1" t="s">
        <v>202</v>
      </c>
      <c r="BB23" s="1" t="s">
        <v>203</v>
      </c>
      <c r="BC23" s="1">
        <v>1.4418600783660212E-2</v>
      </c>
    </row>
    <row r="24" spans="1:55" x14ac:dyDescent="0.35">
      <c r="A24" s="1" t="s">
        <v>35</v>
      </c>
      <c r="B24" s="1">
        <v>0.998120930269082</v>
      </c>
      <c r="C24" s="1">
        <v>1</v>
      </c>
      <c r="D24" s="1">
        <v>1</v>
      </c>
      <c r="E24" s="1">
        <v>0.99040736019000675</v>
      </c>
      <c r="F24" s="1">
        <v>1.0146081822867363</v>
      </c>
      <c r="G24" s="1">
        <v>1</v>
      </c>
      <c r="H24" s="1">
        <v>0.99294224141337928</v>
      </c>
      <c r="I24" s="1">
        <v>1.0047082463369683</v>
      </c>
      <c r="J24" s="1">
        <v>1.008538040509162</v>
      </c>
      <c r="K24" s="1">
        <v>0.99322988595988981</v>
      </c>
      <c r="L24" s="1">
        <v>1.004492367282956</v>
      </c>
      <c r="M24" s="1">
        <v>0.99782713543821755</v>
      </c>
      <c r="N24" s="1">
        <v>1.0011147027400211</v>
      </c>
      <c r="O24" s="1">
        <v>0.9966196066587456</v>
      </c>
      <c r="P24" s="1">
        <v>1.0030148607447658</v>
      </c>
      <c r="Q24" s="1">
        <v>1.0024186187760011</v>
      </c>
      <c r="S24" s="1">
        <f t="shared" si="0"/>
        <v>100</v>
      </c>
      <c r="T24" s="1">
        <f t="shared" si="3"/>
        <v>100</v>
      </c>
      <c r="U24" s="1">
        <f t="shared" si="4"/>
        <v>99.040736019000676</v>
      </c>
      <c r="V24" s="1">
        <f t="shared" si="5"/>
        <v>100.48754114457877</v>
      </c>
      <c r="W24" s="1">
        <f t="shared" si="6"/>
        <v>100.48754114457877</v>
      </c>
      <c r="X24" s="1">
        <f t="shared" si="7"/>
        <v>99.778324338217217</v>
      </c>
      <c r="Y24" s="1">
        <f t="shared" si="8"/>
        <v>100.24810526829147</v>
      </c>
      <c r="Z24" s="1">
        <f t="shared" si="9"/>
        <v>101.10402765203887</v>
      </c>
      <c r="AA24" s="1">
        <f t="shared" si="10"/>
        <v>100.41954185492011</v>
      </c>
      <c r="AB24" s="1">
        <f t="shared" si="11"/>
        <v>100.87066331931858</v>
      </c>
      <c r="AC24" s="1">
        <f t="shared" si="12"/>
        <v>100.65148502966855</v>
      </c>
      <c r="AD24" s="1">
        <f t="shared" si="13"/>
        <v>100.76368151581832</v>
      </c>
      <c r="AE24" s="1">
        <f t="shared" si="14"/>
        <v>100.32097060720263</v>
      </c>
      <c r="AF24" s="1">
        <f t="shared" si="15"/>
        <v>0.99680056317976273</v>
      </c>
      <c r="AH24" s="1" t="str">
        <f t="shared" si="16"/>
        <v>C1050.22110</v>
      </c>
      <c r="AI24" s="1">
        <f t="shared" si="17"/>
        <v>99.680056317976266</v>
      </c>
      <c r="AJ24" s="1">
        <f t="shared" si="18"/>
        <v>99.680056317976266</v>
      </c>
      <c r="AK24" s="1">
        <f t="shared" si="19"/>
        <v>98.723861441478078</v>
      </c>
      <c r="AL24" s="1">
        <f t="shared" si="20"/>
        <v>100.1660376054657</v>
      </c>
      <c r="AM24" s="1">
        <f t="shared" si="21"/>
        <v>100.1660376054657</v>
      </c>
      <c r="AN24" s="1">
        <f t="shared" si="22"/>
        <v>99.459089893467947</v>
      </c>
      <c r="AO24" s="1">
        <f t="shared" si="23"/>
        <v>99.92736778913708</v>
      </c>
      <c r="AP24" s="1">
        <f t="shared" si="24"/>
        <v>100.78055170329465</v>
      </c>
      <c r="AQ24" s="1">
        <f t="shared" si="25"/>
        <v>100.09825587523812</v>
      </c>
      <c r="AR24" s="1">
        <f t="shared" si="26"/>
        <v>100.54793400501299</v>
      </c>
      <c r="AS24" s="1">
        <f t="shared" si="27"/>
        <v>100.32945696245307</v>
      </c>
      <c r="AT24" s="1">
        <f t="shared" si="28"/>
        <v>100.44129448303394</v>
      </c>
      <c r="AU24" s="1">
        <f t="shared" ref="AU24:AW24" si="51">AT24*O24</f>
        <v>100.10176339997652</v>
      </c>
      <c r="AV24" s="1">
        <f t="shared" si="51"/>
        <v>100.40355627693293</v>
      </c>
      <c r="AW24" s="1">
        <f t="shared" si="51"/>
        <v>100.64639420332161</v>
      </c>
      <c r="AX24" s="1" t="b">
        <f t="shared" si="30"/>
        <v>1</v>
      </c>
      <c r="AY24" s="1" t="s">
        <v>35</v>
      </c>
      <c r="AZ24" s="1">
        <v>4</v>
      </c>
      <c r="BA24" s="1" t="s">
        <v>212</v>
      </c>
      <c r="BB24" s="1" t="s">
        <v>213</v>
      </c>
      <c r="BC24" s="1">
        <v>3.2766524750225986E-3</v>
      </c>
    </row>
    <row r="25" spans="1:55" x14ac:dyDescent="0.35">
      <c r="A25" s="1" t="s">
        <v>36</v>
      </c>
      <c r="B25" s="1">
        <v>1.0018204320228314</v>
      </c>
      <c r="C25" s="1">
        <v>1</v>
      </c>
      <c r="D25" s="1">
        <v>1</v>
      </c>
      <c r="E25" s="1">
        <v>1.0027382542774002</v>
      </c>
      <c r="F25" s="1">
        <v>0.99624114174207568</v>
      </c>
      <c r="G25" s="1">
        <v>1.0000002254333769</v>
      </c>
      <c r="H25" s="1">
        <v>0.99997871827104956</v>
      </c>
      <c r="I25" s="1">
        <v>0.99971012294414274</v>
      </c>
      <c r="J25" s="1">
        <v>0.99933060975263399</v>
      </c>
      <c r="K25" s="1">
        <v>1.0006305537191795</v>
      </c>
      <c r="L25" s="1">
        <v>0.99988086194216041</v>
      </c>
      <c r="M25" s="1">
        <v>1.0000411759904002</v>
      </c>
      <c r="N25" s="1">
        <v>1</v>
      </c>
      <c r="O25" s="1">
        <v>0.99995882570499228</v>
      </c>
      <c r="P25" s="1">
        <v>1</v>
      </c>
      <c r="Q25" s="1">
        <v>1.0075508058610789</v>
      </c>
      <c r="S25" s="1">
        <f t="shared" si="0"/>
        <v>100</v>
      </c>
      <c r="T25" s="1">
        <f t="shared" si="3"/>
        <v>100</v>
      </c>
      <c r="U25" s="1">
        <f t="shared" si="4"/>
        <v>100.27382542774002</v>
      </c>
      <c r="V25" s="1">
        <f t="shared" si="5"/>
        <v>99.896910330977292</v>
      </c>
      <c r="W25" s="1">
        <f t="shared" si="6"/>
        <v>99.896932851075121</v>
      </c>
      <c r="X25" s="1">
        <f t="shared" si="7"/>
        <v>99.89480687162721</v>
      </c>
      <c r="Y25" s="1">
        <f t="shared" si="8"/>
        <v>99.865849659115838</v>
      </c>
      <c r="Z25" s="1">
        <f t="shared" si="9"/>
        <v>99.799000433309104</v>
      </c>
      <c r="AA25" s="1">
        <f t="shared" si="10"/>
        <v>99.861929064202727</v>
      </c>
      <c r="AB25" s="1">
        <f t="shared" si="11"/>
        <v>99.8500317079219</v>
      </c>
      <c r="AC25" s="1">
        <f t="shared" si="12"/>
        <v>99.854143131868966</v>
      </c>
      <c r="AD25" s="1">
        <f t="shared" si="13"/>
        <v>99.854143131868966</v>
      </c>
      <c r="AE25" s="1">
        <f t="shared" si="14"/>
        <v>99.920631050808922</v>
      </c>
      <c r="AF25" s="1">
        <f t="shared" si="15"/>
        <v>1.0007943199352967</v>
      </c>
      <c r="AH25" s="1" t="str">
        <f t="shared" si="16"/>
        <v>C1050.22120</v>
      </c>
      <c r="AI25" s="1">
        <f t="shared" si="17"/>
        <v>100.07943199352967</v>
      </c>
      <c r="AJ25" s="1">
        <f t="shared" si="18"/>
        <v>100.07943199352967</v>
      </c>
      <c r="AK25" s="1">
        <f t="shared" si="19"/>
        <v>100.35347492626573</v>
      </c>
      <c r="AL25" s="1">
        <f t="shared" si="20"/>
        <v>99.976260438327728</v>
      </c>
      <c r="AM25" s="1">
        <f t="shared" si="21"/>
        <v>99.976282976313726</v>
      </c>
      <c r="AN25" s="1">
        <f t="shared" si="22"/>
        <v>99.974155308157947</v>
      </c>
      <c r="AO25" s="1">
        <f t="shared" si="23"/>
        <v>99.94517509435542</v>
      </c>
      <c r="AP25" s="1">
        <f t="shared" si="24"/>
        <v>99.878272768875959</v>
      </c>
      <c r="AQ25" s="1">
        <f t="shared" si="25"/>
        <v>99.941251385235603</v>
      </c>
      <c r="AR25" s="1">
        <f t="shared" si="26"/>
        <v>99.929344578647502</v>
      </c>
      <c r="AS25" s="1">
        <f t="shared" si="27"/>
        <v>99.933459268380574</v>
      </c>
      <c r="AT25" s="1">
        <f t="shared" si="28"/>
        <v>99.933459268380574</v>
      </c>
      <c r="AU25" s="1">
        <f t="shared" ref="AU25:AW25" si="52">AT25*O25</f>
        <v>99.929344578647516</v>
      </c>
      <c r="AV25" s="1">
        <f t="shared" si="52"/>
        <v>99.929344578647516</v>
      </c>
      <c r="AW25" s="1">
        <f t="shared" si="52"/>
        <v>100.68389165938574</v>
      </c>
      <c r="AX25" s="1" t="b">
        <f t="shared" si="30"/>
        <v>1</v>
      </c>
      <c r="AY25" s="1" t="s">
        <v>36</v>
      </c>
      <c r="AZ25" s="1">
        <v>4</v>
      </c>
      <c r="BA25" s="1" t="s">
        <v>214</v>
      </c>
      <c r="BB25" s="1" t="s">
        <v>215</v>
      </c>
      <c r="BC25" s="1">
        <v>3.2766524750225986E-3</v>
      </c>
    </row>
    <row r="26" spans="1:55" x14ac:dyDescent="0.35">
      <c r="A26" s="1" t="s">
        <v>37</v>
      </c>
      <c r="B26" s="1">
        <v>1.0001559568327605</v>
      </c>
      <c r="C26" s="1">
        <v>1</v>
      </c>
      <c r="D26" s="1">
        <v>0.99942603589708456</v>
      </c>
      <c r="E26" s="1">
        <v>1.0059855817016587</v>
      </c>
      <c r="F26" s="1">
        <v>0.99466377796021554</v>
      </c>
      <c r="G26" s="1">
        <v>0.9994403990316405</v>
      </c>
      <c r="H26" s="1">
        <v>1.0004885092993014</v>
      </c>
      <c r="I26" s="1">
        <v>1.0000343367579911</v>
      </c>
      <c r="J26" s="1">
        <v>1.0001578005984606</v>
      </c>
      <c r="K26" s="1">
        <v>1.0003579682856263</v>
      </c>
      <c r="L26" s="1">
        <v>1.0027279271718454</v>
      </c>
      <c r="M26" s="1">
        <v>0.9990609132523206</v>
      </c>
      <c r="N26" s="1">
        <v>0.9998273258413285</v>
      </c>
      <c r="O26" s="1">
        <v>1.0000414003190541</v>
      </c>
      <c r="P26" s="1">
        <v>0.9999719186396292</v>
      </c>
      <c r="Q26" s="1">
        <v>1.0202994123543594</v>
      </c>
      <c r="S26" s="1">
        <f t="shared" si="0"/>
        <v>100</v>
      </c>
      <c r="T26" s="1">
        <f t="shared" si="3"/>
        <v>99.942603589708455</v>
      </c>
      <c r="U26" s="1">
        <f t="shared" si="4"/>
        <v>100.54081820897115</v>
      </c>
      <c r="V26" s="1">
        <f t="shared" si="5"/>
        <v>100.00431007894647</v>
      </c>
      <c r="W26" s="1">
        <f t="shared" si="6"/>
        <v>99.948347570186172</v>
      </c>
      <c r="X26" s="1">
        <f t="shared" si="7"/>
        <v>99.997173267424017</v>
      </c>
      <c r="Y26" s="1">
        <f t="shared" si="8"/>
        <v>100.0006068461623</v>
      </c>
      <c r="Z26" s="1">
        <f t="shared" si="9"/>
        <v>100.01638700176905</v>
      </c>
      <c r="AA26" s="1">
        <f t="shared" si="10"/>
        <v>100.05218969635861</v>
      </c>
      <c r="AB26" s="1">
        <f t="shared" si="11"/>
        <v>100.32512478323395</v>
      </c>
      <c r="AC26" s="1">
        <f t="shared" si="12"/>
        <v>100.23091078809072</v>
      </c>
      <c r="AD26" s="1">
        <f t="shared" si="13"/>
        <v>100.21360349989752</v>
      </c>
      <c r="AE26" s="1">
        <f t="shared" si="14"/>
        <v>100.10600627756237</v>
      </c>
      <c r="AF26" s="1">
        <f t="shared" si="15"/>
        <v>0.99894105976749836</v>
      </c>
      <c r="AH26" s="1" t="str">
        <f t="shared" si="16"/>
        <v>C1050.22251</v>
      </c>
      <c r="AI26" s="1">
        <f t="shared" si="17"/>
        <v>99.894105976749842</v>
      </c>
      <c r="AJ26" s="1">
        <f t="shared" si="18"/>
        <v>99.836770345826352</v>
      </c>
      <c r="AK26" s="1">
        <f t="shared" si="19"/>
        <v>100.43435149156103</v>
      </c>
      <c r="AL26" s="1">
        <f t="shared" si="20"/>
        <v>99.898411491580305</v>
      </c>
      <c r="AM26" s="1">
        <f t="shared" si="21"/>
        <v>99.842508243772045</v>
      </c>
      <c r="AN26" s="1">
        <f t="shared" si="22"/>
        <v>99.891282237514702</v>
      </c>
      <c r="AO26" s="1">
        <f t="shared" si="23"/>
        <v>99.894712180298313</v>
      </c>
      <c r="AP26" s="1">
        <f t="shared" si="24"/>
        <v>99.910475625663423</v>
      </c>
      <c r="AQ26" s="1">
        <f t="shared" si="25"/>
        <v>99.946240407339246</v>
      </c>
      <c r="AR26" s="1">
        <f t="shared" si="26"/>
        <v>100.21888647227023</v>
      </c>
      <c r="AS26" s="1">
        <f t="shared" si="27"/>
        <v>100.12477224411694</v>
      </c>
      <c r="AT26" s="1">
        <f t="shared" si="28"/>
        <v>100.1074832833075</v>
      </c>
      <c r="AU26" s="1">
        <f t="shared" ref="AU26:AW26" si="53">AT26*O26</f>
        <v>100.11162776505513</v>
      </c>
      <c r="AV26" s="1">
        <f t="shared" si="53"/>
        <v>100.10881649435855</v>
      </c>
      <c r="AW26" s="1">
        <f t="shared" si="53"/>
        <v>102.14096664068443</v>
      </c>
      <c r="AX26" s="1" t="b">
        <f t="shared" si="30"/>
        <v>1</v>
      </c>
      <c r="AY26" s="1" t="s">
        <v>37</v>
      </c>
      <c r="AZ26" s="1">
        <v>4</v>
      </c>
      <c r="BA26" s="1" t="s">
        <v>204</v>
      </c>
      <c r="BB26" s="1" t="s">
        <v>205</v>
      </c>
      <c r="BC26" s="1">
        <v>3.2766524750225986E-3</v>
      </c>
    </row>
    <row r="27" spans="1:55" x14ac:dyDescent="0.35">
      <c r="A27" s="1" t="s">
        <v>38</v>
      </c>
      <c r="B27" s="1">
        <v>1</v>
      </c>
      <c r="C27" s="1">
        <v>1</v>
      </c>
      <c r="D27" s="1">
        <v>0.98975947808111975</v>
      </c>
      <c r="E27" s="1">
        <v>1</v>
      </c>
      <c r="F27" s="1">
        <v>1.0210999054770771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S27" s="1">
        <f t="shared" si="0"/>
        <v>100</v>
      </c>
      <c r="T27" s="1">
        <f t="shared" si="3"/>
        <v>98.975947808111968</v>
      </c>
      <c r="U27" s="1">
        <f t="shared" si="4"/>
        <v>98.975947808111968</v>
      </c>
      <c r="V27" s="1">
        <f t="shared" si="5"/>
        <v>101.06433095136724</v>
      </c>
      <c r="W27" s="1">
        <f t="shared" si="6"/>
        <v>101.06433095136724</v>
      </c>
      <c r="X27" s="1">
        <f t="shared" si="7"/>
        <v>101.06433095136724</v>
      </c>
      <c r="Y27" s="1">
        <f t="shared" si="8"/>
        <v>101.06433095136724</v>
      </c>
      <c r="Z27" s="1">
        <f t="shared" si="9"/>
        <v>101.06433095136724</v>
      </c>
      <c r="AA27" s="1">
        <f t="shared" si="10"/>
        <v>101.06433095136724</v>
      </c>
      <c r="AB27" s="1">
        <f t="shared" si="11"/>
        <v>101.06433095136724</v>
      </c>
      <c r="AC27" s="1">
        <f t="shared" si="12"/>
        <v>101.06433095136724</v>
      </c>
      <c r="AD27" s="1">
        <f t="shared" si="13"/>
        <v>101.06433095136724</v>
      </c>
      <c r="AE27" s="1">
        <f t="shared" si="14"/>
        <v>100.62757284821076</v>
      </c>
      <c r="AF27" s="1">
        <f t="shared" si="15"/>
        <v>0.99376341065924934</v>
      </c>
      <c r="AH27" s="1" t="str">
        <f t="shared" si="16"/>
        <v>C1050.22260</v>
      </c>
      <c r="AI27" s="1">
        <f t="shared" si="17"/>
        <v>99.376341065924933</v>
      </c>
      <c r="AJ27" s="1">
        <f t="shared" si="18"/>
        <v>98.3586754670212</v>
      </c>
      <c r="AK27" s="1">
        <f t="shared" si="19"/>
        <v>98.3586754670212</v>
      </c>
      <c r="AL27" s="1">
        <f t="shared" si="20"/>
        <v>100.43403422222585</v>
      </c>
      <c r="AM27" s="1">
        <f t="shared" si="21"/>
        <v>100.43403422222585</v>
      </c>
      <c r="AN27" s="1">
        <f t="shared" si="22"/>
        <v>100.43403422222585</v>
      </c>
      <c r="AO27" s="1">
        <f t="shared" si="23"/>
        <v>100.43403422222585</v>
      </c>
      <c r="AP27" s="1">
        <f t="shared" si="24"/>
        <v>100.43403422222585</v>
      </c>
      <c r="AQ27" s="1">
        <f t="shared" si="25"/>
        <v>100.43403422222585</v>
      </c>
      <c r="AR27" s="1">
        <f t="shared" si="26"/>
        <v>100.43403422222585</v>
      </c>
      <c r="AS27" s="1">
        <f t="shared" si="27"/>
        <v>100.43403422222585</v>
      </c>
      <c r="AT27" s="1">
        <f t="shared" si="28"/>
        <v>100.43403422222585</v>
      </c>
      <c r="AU27" s="1">
        <f t="shared" ref="AU27:AW27" si="54">AT27*O27</f>
        <v>100.43403422222585</v>
      </c>
      <c r="AV27" s="1">
        <f t="shared" si="54"/>
        <v>100.43403422222585</v>
      </c>
      <c r="AW27" s="1">
        <f t="shared" si="54"/>
        <v>100.43403422222585</v>
      </c>
      <c r="AX27" s="1" t="b">
        <f t="shared" si="30"/>
        <v>1</v>
      </c>
      <c r="AY27" s="1" t="s">
        <v>38</v>
      </c>
      <c r="AZ27" s="1">
        <v>4</v>
      </c>
      <c r="BA27" s="1" t="s">
        <v>206</v>
      </c>
      <c r="BB27" s="1" t="s">
        <v>207</v>
      </c>
      <c r="BC27" s="1">
        <v>3.2766524750225986E-3</v>
      </c>
    </row>
    <row r="28" spans="1:55" x14ac:dyDescent="0.35">
      <c r="A28" s="1" t="s">
        <v>39</v>
      </c>
      <c r="B28" s="1">
        <v>0.99992436132565743</v>
      </c>
      <c r="C28" s="1">
        <v>1</v>
      </c>
      <c r="D28" s="1">
        <v>0.99945123555569604</v>
      </c>
      <c r="E28" s="1">
        <v>0.98449091480402284</v>
      </c>
      <c r="F28" s="1">
        <v>1.0136971380677888</v>
      </c>
      <c r="G28" s="1">
        <v>1</v>
      </c>
      <c r="H28" s="1">
        <v>1</v>
      </c>
      <c r="I28" s="1">
        <v>1</v>
      </c>
      <c r="J28" s="1">
        <v>1.0180280678180942</v>
      </c>
      <c r="K28" s="1">
        <v>1</v>
      </c>
      <c r="L28" s="1">
        <v>0.99972364214170373</v>
      </c>
      <c r="M28" s="1">
        <v>1.0002764342530743</v>
      </c>
      <c r="N28" s="1">
        <v>1</v>
      </c>
      <c r="O28" s="1">
        <v>1</v>
      </c>
      <c r="P28" s="1">
        <v>1</v>
      </c>
      <c r="Q28" s="1">
        <v>1</v>
      </c>
      <c r="S28" s="1">
        <f t="shared" si="0"/>
        <v>100</v>
      </c>
      <c r="T28" s="1">
        <f t="shared" si="3"/>
        <v>99.945123555569609</v>
      </c>
      <c r="U28" s="1">
        <f t="shared" si="4"/>
        <v>98.395066119423817</v>
      </c>
      <c r="V28" s="1">
        <f t="shared" si="5"/>
        <v>99.742796925250772</v>
      </c>
      <c r="W28" s="1">
        <f t="shared" si="6"/>
        <v>99.742796925250772</v>
      </c>
      <c r="X28" s="1">
        <f t="shared" si="7"/>
        <v>99.742796925250772</v>
      </c>
      <c r="Y28" s="1">
        <f t="shared" si="8"/>
        <v>99.742796925250772</v>
      </c>
      <c r="Z28" s="1">
        <f t="shared" si="9"/>
        <v>101.5409668325856</v>
      </c>
      <c r="AA28" s="1">
        <f t="shared" si="10"/>
        <v>101.5409668325856</v>
      </c>
      <c r="AB28" s="1">
        <f t="shared" si="11"/>
        <v>101.51290518846241</v>
      </c>
      <c r="AC28" s="1">
        <f t="shared" si="12"/>
        <v>101.5409668325856</v>
      </c>
      <c r="AD28" s="1">
        <f t="shared" si="13"/>
        <v>101.5409668325856</v>
      </c>
      <c r="AE28" s="1">
        <f t="shared" si="14"/>
        <v>100.41567915790012</v>
      </c>
      <c r="AF28" s="1">
        <f t="shared" si="15"/>
        <v>0.99586041580970164</v>
      </c>
      <c r="AH28" s="1" t="str">
        <f t="shared" si="16"/>
        <v>C1050.22270</v>
      </c>
      <c r="AI28" s="1">
        <f t="shared" si="17"/>
        <v>99.586041580970161</v>
      </c>
      <c r="AJ28" s="1">
        <f t="shared" si="18"/>
        <v>99.531392302201553</v>
      </c>
      <c r="AK28" s="1">
        <f t="shared" si="19"/>
        <v>97.987751459312491</v>
      </c>
      <c r="AL28" s="1">
        <f t="shared" si="20"/>
        <v>99.329903220002862</v>
      </c>
      <c r="AM28" s="1">
        <f t="shared" si="21"/>
        <v>99.329903220002862</v>
      </c>
      <c r="AN28" s="1">
        <f t="shared" si="22"/>
        <v>99.329903220002862</v>
      </c>
      <c r="AO28" s="1">
        <f t="shared" si="23"/>
        <v>99.329903220002862</v>
      </c>
      <c r="AP28" s="1">
        <f t="shared" si="24"/>
        <v>101.12062945161782</v>
      </c>
      <c r="AQ28" s="1">
        <f t="shared" si="25"/>
        <v>101.12062945161782</v>
      </c>
      <c r="AR28" s="1">
        <f t="shared" si="26"/>
        <v>101.092683971033</v>
      </c>
      <c r="AS28" s="1">
        <f t="shared" si="27"/>
        <v>101.12062945161782</v>
      </c>
      <c r="AT28" s="1">
        <f t="shared" si="28"/>
        <v>101.12062945161782</v>
      </c>
      <c r="AU28" s="1">
        <f t="shared" ref="AU28:AW28" si="55">AT28*O28</f>
        <v>101.12062945161782</v>
      </c>
      <c r="AV28" s="1">
        <f t="shared" si="55"/>
        <v>101.12062945161782</v>
      </c>
      <c r="AW28" s="1">
        <f t="shared" si="55"/>
        <v>101.12062945161782</v>
      </c>
      <c r="AX28" s="1" t="b">
        <f t="shared" si="30"/>
        <v>1</v>
      </c>
      <c r="AY28" s="1" t="s">
        <v>39</v>
      </c>
      <c r="AZ28" s="1">
        <v>4</v>
      </c>
      <c r="BA28" s="1" t="s">
        <v>208</v>
      </c>
      <c r="BB28" s="1" t="s">
        <v>209</v>
      </c>
      <c r="BC28" s="1">
        <v>3.2766524750225986E-3</v>
      </c>
    </row>
    <row r="29" spans="1:55" x14ac:dyDescent="0.35">
      <c r="A29" s="1" t="s">
        <v>40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0.9920634920634912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1.0285714285714289</v>
      </c>
      <c r="Q29" s="1">
        <v>1</v>
      </c>
      <c r="S29" s="1">
        <f t="shared" si="0"/>
        <v>100</v>
      </c>
      <c r="T29" s="1">
        <f t="shared" si="3"/>
        <v>100</v>
      </c>
      <c r="U29" s="1">
        <f t="shared" si="4"/>
        <v>100</v>
      </c>
      <c r="V29" s="1">
        <f t="shared" si="5"/>
        <v>100</v>
      </c>
      <c r="W29" s="1">
        <f t="shared" si="6"/>
        <v>100</v>
      </c>
      <c r="X29" s="1">
        <f t="shared" si="7"/>
        <v>99.206349206349117</v>
      </c>
      <c r="Y29" s="1">
        <f t="shared" si="8"/>
        <v>99.206349206349117</v>
      </c>
      <c r="Z29" s="1">
        <f t="shared" si="9"/>
        <v>99.206349206349117</v>
      </c>
      <c r="AA29" s="1">
        <f t="shared" si="10"/>
        <v>99.206349206349117</v>
      </c>
      <c r="AB29" s="1">
        <f t="shared" si="11"/>
        <v>99.206349206349117</v>
      </c>
      <c r="AC29" s="1">
        <f t="shared" si="12"/>
        <v>99.206349206349117</v>
      </c>
      <c r="AD29" s="1">
        <f t="shared" si="13"/>
        <v>99.206349206349117</v>
      </c>
      <c r="AE29" s="1">
        <f t="shared" si="14"/>
        <v>99.53703703703701</v>
      </c>
      <c r="AF29" s="1">
        <f t="shared" si="15"/>
        <v>1.004651162790698</v>
      </c>
      <c r="AH29" s="1" t="str">
        <f t="shared" si="16"/>
        <v>C1050.22290</v>
      </c>
      <c r="AI29" s="1">
        <f t="shared" si="17"/>
        <v>100.4651162790698</v>
      </c>
      <c r="AJ29" s="1">
        <f t="shared" si="18"/>
        <v>100.4651162790698</v>
      </c>
      <c r="AK29" s="1">
        <f t="shared" si="19"/>
        <v>100.4651162790698</v>
      </c>
      <c r="AL29" s="1">
        <f t="shared" si="20"/>
        <v>100.4651162790698</v>
      </c>
      <c r="AM29" s="1">
        <f t="shared" si="21"/>
        <v>100.4651162790698</v>
      </c>
      <c r="AN29" s="1">
        <f t="shared" si="22"/>
        <v>99.667774086378685</v>
      </c>
      <c r="AO29" s="1">
        <f t="shared" si="23"/>
        <v>99.667774086378685</v>
      </c>
      <c r="AP29" s="1">
        <f t="shared" si="24"/>
        <v>99.667774086378685</v>
      </c>
      <c r="AQ29" s="1">
        <f t="shared" si="25"/>
        <v>99.667774086378685</v>
      </c>
      <c r="AR29" s="1">
        <f t="shared" si="26"/>
        <v>99.667774086378685</v>
      </c>
      <c r="AS29" s="1">
        <f t="shared" si="27"/>
        <v>99.667774086378685</v>
      </c>
      <c r="AT29" s="1">
        <f t="shared" si="28"/>
        <v>99.667774086378685</v>
      </c>
      <c r="AU29" s="1">
        <f t="shared" ref="AU29:AW29" si="56">AT29*O29</f>
        <v>99.667774086378685</v>
      </c>
      <c r="AV29" s="1">
        <f t="shared" si="56"/>
        <v>102.51542477456097</v>
      </c>
      <c r="AW29" s="1">
        <f t="shared" si="56"/>
        <v>102.51542477456097</v>
      </c>
      <c r="AX29" s="1" t="b">
        <f t="shared" si="30"/>
        <v>1</v>
      </c>
      <c r="AY29" s="1" t="s">
        <v>40</v>
      </c>
      <c r="AZ29" s="1">
        <v>4</v>
      </c>
      <c r="BA29" s="1" t="s">
        <v>210</v>
      </c>
      <c r="BB29" s="1" t="s">
        <v>211</v>
      </c>
      <c r="BC29" s="1">
        <v>3.2766524750225986E-3</v>
      </c>
    </row>
    <row r="30" spans="1:55" x14ac:dyDescent="0.35">
      <c r="A30" s="1" t="s">
        <v>41</v>
      </c>
      <c r="B30" s="1">
        <v>1.0104221084375222</v>
      </c>
      <c r="C30" s="1">
        <v>1</v>
      </c>
      <c r="D30" s="1">
        <v>0.98227784234837856</v>
      </c>
      <c r="E30" s="1">
        <v>1.000049298625024</v>
      </c>
      <c r="F30" s="1">
        <v>0.98825891571619706</v>
      </c>
      <c r="G30" s="1">
        <v>1</v>
      </c>
      <c r="H30" s="1">
        <v>0.96663569547426942</v>
      </c>
      <c r="I30" s="1">
        <v>0.99731603195272434</v>
      </c>
      <c r="J30" s="1">
        <v>1.0013294987018146</v>
      </c>
      <c r="K30" s="1">
        <v>1.0102547843654119</v>
      </c>
      <c r="L30" s="1">
        <v>0.9983501334219812</v>
      </c>
      <c r="M30" s="1">
        <v>0.99283172179322354</v>
      </c>
      <c r="N30" s="1">
        <v>1.0014001177705143</v>
      </c>
      <c r="O30" s="1">
        <v>0.99956262437402277</v>
      </c>
      <c r="P30" s="1">
        <v>1</v>
      </c>
      <c r="Q30" s="1">
        <v>1</v>
      </c>
      <c r="S30" s="1">
        <f t="shared" si="0"/>
        <v>100</v>
      </c>
      <c r="T30" s="1">
        <f t="shared" si="3"/>
        <v>98.227784234837856</v>
      </c>
      <c r="U30" s="1">
        <f t="shared" si="4"/>
        <v>98.232626729539788</v>
      </c>
      <c r="V30" s="1">
        <f t="shared" si="5"/>
        <v>97.079269179688907</v>
      </c>
      <c r="W30" s="1">
        <f t="shared" si="6"/>
        <v>97.079269179688907</v>
      </c>
      <c r="X30" s="1">
        <f t="shared" si="7"/>
        <v>93.840286879642392</v>
      </c>
      <c r="Y30" s="1">
        <f t="shared" si="8"/>
        <v>93.588422548110245</v>
      </c>
      <c r="Z30" s="1">
        <f t="shared" si="9"/>
        <v>93.712848234392837</v>
      </c>
      <c r="AA30" s="1">
        <f t="shared" si="10"/>
        <v>94.673853285305114</v>
      </c>
      <c r="AB30" s="1">
        <f t="shared" si="11"/>
        <v>94.517654058957433</v>
      </c>
      <c r="AC30" s="1">
        <f t="shared" si="12"/>
        <v>93.840125219210975</v>
      </c>
      <c r="AD30" s="1">
        <f t="shared" si="13"/>
        <v>93.971512446117686</v>
      </c>
      <c r="AE30" s="1">
        <f t="shared" si="14"/>
        <v>95.730304332957658</v>
      </c>
      <c r="AF30" s="1">
        <f t="shared" si="15"/>
        <v>1.0446012962853644</v>
      </c>
      <c r="AH30" s="1" t="str">
        <f t="shared" si="16"/>
        <v>C1061.23110</v>
      </c>
      <c r="AI30" s="1">
        <f t="shared" si="17"/>
        <v>104.46012962853644</v>
      </c>
      <c r="AJ30" s="1">
        <f t="shared" si="18"/>
        <v>102.6088707429507</v>
      </c>
      <c r="AK30" s="1">
        <f t="shared" si="19"/>
        <v>102.61392921919359</v>
      </c>
      <c r="AL30" s="1">
        <f t="shared" si="20"/>
        <v>101.40913042753886</v>
      </c>
      <c r="AM30" s="1">
        <f t="shared" si="21"/>
        <v>101.40913042753886</v>
      </c>
      <c r="AN30" s="1">
        <f t="shared" si="22"/>
        <v>98.025685318264905</v>
      </c>
      <c r="AO30" s="1">
        <f t="shared" si="23"/>
        <v>97.762587511058385</v>
      </c>
      <c r="AP30" s="1">
        <f t="shared" si="24"/>
        <v>97.892562744240379</v>
      </c>
      <c r="AQ30" s="1">
        <f t="shared" si="25"/>
        <v>98.896429866160119</v>
      </c>
      <c r="AR30" s="1">
        <f t="shared" si="26"/>
        <v>98.733263951838566</v>
      </c>
      <c r="AS30" s="1">
        <f t="shared" si="27"/>
        <v>98.025516447568691</v>
      </c>
      <c r="AT30" s="1">
        <f t="shared" si="28"/>
        <v>98.162763715110785</v>
      </c>
      <c r="AU30" s="1">
        <f t="shared" ref="AU30:AW30" si="57">AT30*O30</f>
        <v>98.119829714883238</v>
      </c>
      <c r="AV30" s="1">
        <f t="shared" si="57"/>
        <v>98.119829714883238</v>
      </c>
      <c r="AW30" s="1">
        <f t="shared" si="57"/>
        <v>98.119829714883238</v>
      </c>
      <c r="AX30" s="1" t="b">
        <f t="shared" si="30"/>
        <v>1</v>
      </c>
      <c r="AY30" s="1" t="s">
        <v>41</v>
      </c>
      <c r="AZ30" s="1">
        <v>4</v>
      </c>
      <c r="BA30" s="1" t="s">
        <v>216</v>
      </c>
      <c r="BB30" s="1" t="s">
        <v>217</v>
      </c>
      <c r="BC30" s="1">
        <v>9.5533525192419855E-3</v>
      </c>
    </row>
    <row r="31" spans="1:55" x14ac:dyDescent="0.35">
      <c r="A31" s="1" t="s">
        <v>42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0.97181998013908077</v>
      </c>
      <c r="J31" s="1">
        <v>1</v>
      </c>
      <c r="K31" s="1">
        <v>1</v>
      </c>
      <c r="L31" s="1">
        <v>0.97693120311136905</v>
      </c>
      <c r="M31" s="1">
        <v>1</v>
      </c>
      <c r="N31" s="1">
        <v>1</v>
      </c>
      <c r="O31" s="1">
        <v>1</v>
      </c>
      <c r="P31" s="1">
        <v>1</v>
      </c>
      <c r="Q31" s="1">
        <v>1.0226005891303398</v>
      </c>
      <c r="S31" s="1">
        <f t="shared" si="0"/>
        <v>100</v>
      </c>
      <c r="T31" s="1">
        <f t="shared" si="3"/>
        <v>100</v>
      </c>
      <c r="U31" s="1">
        <f t="shared" si="4"/>
        <v>100</v>
      </c>
      <c r="V31" s="1">
        <f t="shared" si="5"/>
        <v>100</v>
      </c>
      <c r="W31" s="1">
        <f t="shared" si="6"/>
        <v>100</v>
      </c>
      <c r="X31" s="1">
        <f t="shared" si="7"/>
        <v>100</v>
      </c>
      <c r="Y31" s="1">
        <f t="shared" si="8"/>
        <v>97.181998013908071</v>
      </c>
      <c r="Z31" s="1">
        <f t="shared" si="9"/>
        <v>97.181998013908071</v>
      </c>
      <c r="AA31" s="1">
        <f t="shared" si="10"/>
        <v>97.181998013908071</v>
      </c>
      <c r="AB31" s="1">
        <f t="shared" si="11"/>
        <v>94.940126240493896</v>
      </c>
      <c r="AC31" s="1">
        <f t="shared" si="12"/>
        <v>94.940126240493896</v>
      </c>
      <c r="AD31" s="1">
        <f t="shared" si="13"/>
        <v>94.940126240493896</v>
      </c>
      <c r="AE31" s="1">
        <f t="shared" si="14"/>
        <v>98.030531063600463</v>
      </c>
      <c r="AF31" s="1">
        <f t="shared" si="15"/>
        <v>1.020090362818924</v>
      </c>
      <c r="AH31" s="1" t="str">
        <f t="shared" si="16"/>
        <v>C1061.23130</v>
      </c>
      <c r="AI31" s="1">
        <f t="shared" si="17"/>
        <v>102.00903628189239</v>
      </c>
      <c r="AJ31" s="1">
        <f t="shared" si="18"/>
        <v>102.00903628189239</v>
      </c>
      <c r="AK31" s="1">
        <f t="shared" si="19"/>
        <v>102.00903628189239</v>
      </c>
      <c r="AL31" s="1">
        <f t="shared" si="20"/>
        <v>102.00903628189239</v>
      </c>
      <c r="AM31" s="1">
        <f t="shared" si="21"/>
        <v>102.00903628189239</v>
      </c>
      <c r="AN31" s="1">
        <f t="shared" si="22"/>
        <v>102.00903628189239</v>
      </c>
      <c r="AO31" s="1">
        <f t="shared" si="23"/>
        <v>99.13441961347543</v>
      </c>
      <c r="AP31" s="1">
        <f t="shared" si="24"/>
        <v>99.13441961347543</v>
      </c>
      <c r="AQ31" s="1">
        <f t="shared" si="25"/>
        <v>99.13441961347543</v>
      </c>
      <c r="AR31" s="1">
        <f t="shared" si="26"/>
        <v>96.847507822739857</v>
      </c>
      <c r="AS31" s="1">
        <f t="shared" si="27"/>
        <v>96.847507822739857</v>
      </c>
      <c r="AT31" s="1">
        <f t="shared" si="28"/>
        <v>96.847507822739857</v>
      </c>
      <c r="AU31" s="1">
        <f t="shared" ref="AU31:AW31" si="58">AT31*O31</f>
        <v>96.847507822739857</v>
      </c>
      <c r="AV31" s="1">
        <f t="shared" si="58"/>
        <v>96.847507822739857</v>
      </c>
      <c r="AW31" s="1">
        <f t="shared" si="58"/>
        <v>99.036318555338966</v>
      </c>
      <c r="AX31" s="1" t="b">
        <f t="shared" si="30"/>
        <v>1</v>
      </c>
      <c r="AY31" s="1" t="s">
        <v>42</v>
      </c>
      <c r="AZ31" s="1">
        <v>4</v>
      </c>
      <c r="BA31" s="1" t="s">
        <v>218</v>
      </c>
      <c r="BB31" s="1" t="s">
        <v>219</v>
      </c>
      <c r="BC31" s="1">
        <v>4.4107683930440563E-3</v>
      </c>
    </row>
    <row r="32" spans="1:55" x14ac:dyDescent="0.35">
      <c r="A32" s="1" t="s">
        <v>43</v>
      </c>
      <c r="B32" s="1">
        <v>1</v>
      </c>
      <c r="C32" s="1">
        <v>1</v>
      </c>
      <c r="D32" s="1">
        <v>1.001962505930017</v>
      </c>
      <c r="E32" s="1">
        <v>1</v>
      </c>
      <c r="F32" s="1">
        <v>1.0200162032956179</v>
      </c>
      <c r="G32" s="1">
        <v>0.98006505339065741</v>
      </c>
      <c r="H32" s="1">
        <v>1</v>
      </c>
      <c r="I32" s="1">
        <v>1</v>
      </c>
      <c r="J32" s="1">
        <v>1</v>
      </c>
      <c r="K32" s="1">
        <v>1.020242271478103</v>
      </c>
      <c r="L32" s="1">
        <v>1.0000962129884561</v>
      </c>
      <c r="M32" s="1">
        <v>1</v>
      </c>
      <c r="N32" s="1">
        <v>1</v>
      </c>
      <c r="O32" s="1">
        <v>1</v>
      </c>
      <c r="P32" s="1">
        <v>1.0404714798363159</v>
      </c>
      <c r="Q32" s="1">
        <v>0.961102749454812</v>
      </c>
      <c r="S32" s="1">
        <f t="shared" si="0"/>
        <v>100</v>
      </c>
      <c r="T32" s="1">
        <f t="shared" si="3"/>
        <v>100.19625059300171</v>
      </c>
      <c r="U32" s="1">
        <f t="shared" si="4"/>
        <v>100.19625059300171</v>
      </c>
      <c r="V32" s="1">
        <f t="shared" si="5"/>
        <v>102.2017991143299</v>
      </c>
      <c r="W32" s="1">
        <f t="shared" si="6"/>
        <v>100.16441170560698</v>
      </c>
      <c r="X32" s="1">
        <f t="shared" si="7"/>
        <v>100.16441170560698</v>
      </c>
      <c r="Y32" s="1">
        <f t="shared" si="8"/>
        <v>100.16441170560698</v>
      </c>
      <c r="Z32" s="1">
        <f t="shared" si="9"/>
        <v>100.16441170560698</v>
      </c>
      <c r="AA32" s="1">
        <f t="shared" si="10"/>
        <v>102.19196691979636</v>
      </c>
      <c r="AB32" s="1">
        <f t="shared" si="11"/>
        <v>102.20179911432992</v>
      </c>
      <c r="AC32" s="1">
        <f t="shared" si="12"/>
        <v>102.20179911432992</v>
      </c>
      <c r="AD32" s="1">
        <f t="shared" si="13"/>
        <v>102.20179911432992</v>
      </c>
      <c r="AE32" s="1">
        <f t="shared" si="14"/>
        <v>101.00410928212897</v>
      </c>
      <c r="AF32" s="1">
        <f t="shared" si="15"/>
        <v>0.99005872840951203</v>
      </c>
      <c r="AH32" s="1" t="str">
        <f t="shared" si="16"/>
        <v>C1061.23140A</v>
      </c>
      <c r="AI32" s="1">
        <f t="shared" si="17"/>
        <v>99.005872840951199</v>
      </c>
      <c r="AJ32" s="1">
        <f t="shared" si="18"/>
        <v>99.200172453508088</v>
      </c>
      <c r="AK32" s="1">
        <f t="shared" si="19"/>
        <v>99.200172453508088</v>
      </c>
      <c r="AL32" s="1">
        <f t="shared" si="20"/>
        <v>101.18578327229785</v>
      </c>
      <c r="AM32" s="1">
        <f t="shared" si="21"/>
        <v>99.168650085140087</v>
      </c>
      <c r="AN32" s="1">
        <f t="shared" si="22"/>
        <v>99.168650085140087</v>
      </c>
      <c r="AO32" s="1">
        <f t="shared" si="23"/>
        <v>99.168650085140087</v>
      </c>
      <c r="AP32" s="1">
        <f t="shared" si="24"/>
        <v>99.168650085140087</v>
      </c>
      <c r="AQ32" s="1">
        <f t="shared" si="25"/>
        <v>101.17604882228051</v>
      </c>
      <c r="AR32" s="1">
        <f t="shared" si="26"/>
        <v>101.18578327229787</v>
      </c>
      <c r="AS32" s="1">
        <f t="shared" si="27"/>
        <v>101.18578327229787</v>
      </c>
      <c r="AT32" s="1">
        <f t="shared" si="28"/>
        <v>101.18578327229787</v>
      </c>
      <c r="AU32" s="1">
        <f t="shared" ref="AU32:AW32" si="59">AT32*O32</f>
        <v>101.18578327229787</v>
      </c>
      <c r="AV32" s="1">
        <f t="shared" si="59"/>
        <v>105.28092165972451</v>
      </c>
      <c r="AW32" s="1">
        <f t="shared" si="59"/>
        <v>101.1857832722979</v>
      </c>
      <c r="AX32" s="1" t="b">
        <f t="shared" si="30"/>
        <v>1</v>
      </c>
      <c r="AY32" s="1" t="s">
        <v>43</v>
      </c>
      <c r="AZ32" s="1">
        <v>4</v>
      </c>
      <c r="BA32" s="1" t="s">
        <v>220</v>
      </c>
      <c r="BB32" s="1" t="s">
        <v>221</v>
      </c>
      <c r="BC32" s="1">
        <v>4.4107683930440563E-3</v>
      </c>
    </row>
    <row r="33" spans="1:55" x14ac:dyDescent="0.35">
      <c r="A33" s="1" t="s">
        <v>44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S33" s="1">
        <f t="shared" si="0"/>
        <v>100</v>
      </c>
      <c r="T33" s="1">
        <f t="shared" si="3"/>
        <v>100</v>
      </c>
      <c r="U33" s="1">
        <f t="shared" si="4"/>
        <v>100</v>
      </c>
      <c r="V33" s="1">
        <f t="shared" si="5"/>
        <v>100</v>
      </c>
      <c r="W33" s="1">
        <f t="shared" si="6"/>
        <v>100</v>
      </c>
      <c r="X33" s="1">
        <f t="shared" si="7"/>
        <v>100</v>
      </c>
      <c r="Y33" s="1">
        <f t="shared" si="8"/>
        <v>100</v>
      </c>
      <c r="Z33" s="1">
        <f t="shared" si="9"/>
        <v>100</v>
      </c>
      <c r="AA33" s="1">
        <f t="shared" si="10"/>
        <v>100</v>
      </c>
      <c r="AB33" s="1">
        <f t="shared" si="11"/>
        <v>100</v>
      </c>
      <c r="AC33" s="1">
        <f t="shared" si="12"/>
        <v>100</v>
      </c>
      <c r="AD33" s="1">
        <f t="shared" si="13"/>
        <v>100</v>
      </c>
      <c r="AE33" s="1">
        <f t="shared" si="14"/>
        <v>100</v>
      </c>
      <c r="AF33" s="1">
        <f t="shared" si="15"/>
        <v>1</v>
      </c>
      <c r="AH33" s="1" t="str">
        <f t="shared" si="16"/>
        <v>C1061.23140B</v>
      </c>
      <c r="AI33" s="1">
        <f t="shared" si="17"/>
        <v>100</v>
      </c>
      <c r="AJ33" s="1">
        <f t="shared" si="18"/>
        <v>100</v>
      </c>
      <c r="AK33" s="1">
        <f t="shared" si="19"/>
        <v>100</v>
      </c>
      <c r="AL33" s="1">
        <f t="shared" si="20"/>
        <v>100</v>
      </c>
      <c r="AM33" s="1">
        <f t="shared" si="21"/>
        <v>100</v>
      </c>
      <c r="AN33" s="1">
        <f t="shared" si="22"/>
        <v>100</v>
      </c>
      <c r="AO33" s="1">
        <f t="shared" si="23"/>
        <v>100</v>
      </c>
      <c r="AP33" s="1">
        <f t="shared" si="24"/>
        <v>100</v>
      </c>
      <c r="AQ33" s="1">
        <f t="shared" si="25"/>
        <v>100</v>
      </c>
      <c r="AR33" s="1">
        <f t="shared" si="26"/>
        <v>100</v>
      </c>
      <c r="AS33" s="1">
        <f t="shared" si="27"/>
        <v>100</v>
      </c>
      <c r="AT33" s="1">
        <f t="shared" si="28"/>
        <v>100</v>
      </c>
      <c r="AU33" s="1">
        <f t="shared" ref="AU33:AW33" si="60">AT33*O33</f>
        <v>100</v>
      </c>
      <c r="AV33" s="1">
        <f t="shared" si="60"/>
        <v>100</v>
      </c>
      <c r="AW33" s="1">
        <f t="shared" si="60"/>
        <v>100</v>
      </c>
      <c r="AX33" s="1" t="b">
        <f t="shared" si="30"/>
        <v>1</v>
      </c>
      <c r="AY33" s="1" t="s">
        <v>44</v>
      </c>
      <c r="AZ33" s="1">
        <v>4</v>
      </c>
      <c r="BA33" s="1" t="s">
        <v>222</v>
      </c>
      <c r="BB33" s="1" t="s">
        <v>223</v>
      </c>
      <c r="BC33" s="1">
        <v>1.5020950094052901E-3</v>
      </c>
    </row>
    <row r="34" spans="1:55" x14ac:dyDescent="0.35">
      <c r="A34" s="1" t="s">
        <v>45</v>
      </c>
      <c r="B34" s="1">
        <v>1.0032320055288582</v>
      </c>
      <c r="C34" s="1">
        <v>1</v>
      </c>
      <c r="D34" s="1">
        <v>1.0032087575867321</v>
      </c>
      <c r="E34" s="1">
        <v>0.99697284529867269</v>
      </c>
      <c r="F34" s="1">
        <v>1.0189242283573423</v>
      </c>
      <c r="G34" s="1">
        <v>1.0120223353398416</v>
      </c>
      <c r="H34" s="1">
        <v>1.0001268730633979</v>
      </c>
      <c r="I34" s="1">
        <v>1.0098389437834783</v>
      </c>
      <c r="J34" s="1">
        <v>1.0069731665947248</v>
      </c>
      <c r="K34" s="1">
        <v>1.0034254063004255</v>
      </c>
      <c r="L34" s="1">
        <v>1.0023610246662016</v>
      </c>
      <c r="M34" s="1">
        <v>1.0016054546489883</v>
      </c>
      <c r="N34" s="1">
        <v>0.99744824759034312</v>
      </c>
      <c r="O34" s="1">
        <v>0.99537186784759812</v>
      </c>
      <c r="P34" s="1">
        <v>0.9971069111302665</v>
      </c>
      <c r="Q34" s="1">
        <v>0.99894217622211745</v>
      </c>
      <c r="S34" s="1">
        <f t="shared" si="0"/>
        <v>100</v>
      </c>
      <c r="T34" s="1">
        <f t="shared" si="3"/>
        <v>100.32087575867321</v>
      </c>
      <c r="U34" s="1">
        <f t="shared" si="4"/>
        <v>100.01718894797907</v>
      </c>
      <c r="V34" s="1">
        <f t="shared" si="5"/>
        <v>101.90993707129007</v>
      </c>
      <c r="W34" s="1">
        <f t="shared" si="6"/>
        <v>103.13513250922328</v>
      </c>
      <c r="X34" s="1">
        <f t="shared" si="7"/>
        <v>103.14821757942867</v>
      </c>
      <c r="Y34" s="1">
        <f t="shared" si="8"/>
        <v>104.16308709355866</v>
      </c>
      <c r="Z34" s="1">
        <f t="shared" si="9"/>
        <v>104.88943365288287</v>
      </c>
      <c r="AA34" s="1">
        <f t="shared" si="10"/>
        <v>105.24872257976553</v>
      </c>
      <c r="AB34" s="1">
        <f t="shared" si="11"/>
        <v>105.49721740986256</v>
      </c>
      <c r="AC34" s="1">
        <f t="shared" si="12"/>
        <v>105.66658840800855</v>
      </c>
      <c r="AD34" s="1">
        <f t="shared" si="13"/>
        <v>105.39695343641819</v>
      </c>
      <c r="AE34" s="1">
        <f t="shared" si="14"/>
        <v>103.28277953725757</v>
      </c>
      <c r="AF34" s="1">
        <f t="shared" si="15"/>
        <v>0.96821561588518867</v>
      </c>
      <c r="AH34" s="1" t="str">
        <f t="shared" si="16"/>
        <v>C1061.23161</v>
      </c>
      <c r="AI34" s="1">
        <f t="shared" si="17"/>
        <v>96.821561588518861</v>
      </c>
      <c r="AJ34" s="1">
        <f t="shared" si="18"/>
        <v>97.132238508825282</v>
      </c>
      <c r="AK34" s="1">
        <f t="shared" si="19"/>
        <v>96.838204196372843</v>
      </c>
      <c r="AL34" s="1">
        <f t="shared" si="20"/>
        <v>98.670792486299945</v>
      </c>
      <c r="AM34" s="1">
        <f t="shared" si="21"/>
        <v>99.857045841818163</v>
      </c>
      <c r="AN34" s="1">
        <f t="shared" si="22"/>
        <v>99.869715011125976</v>
      </c>
      <c r="AO34" s="1">
        <f t="shared" si="23"/>
        <v>100.85232752279245</v>
      </c>
      <c r="AP34" s="1">
        <f t="shared" si="24"/>
        <v>101.55558760407463</v>
      </c>
      <c r="AQ34" s="1">
        <f t="shared" si="25"/>
        <v>101.90345675369704</v>
      </c>
      <c r="AR34" s="1">
        <f t="shared" si="26"/>
        <v>102.14405332866373</v>
      </c>
      <c r="AS34" s="1">
        <f t="shared" si="27"/>
        <v>102.30804097394673</v>
      </c>
      <c r="AT34" s="1">
        <f t="shared" si="28"/>
        <v>102.04697618386419</v>
      </c>
      <c r="AU34" s="1">
        <f t="shared" ref="AU34:AW34" si="61">AT34*O34</f>
        <v>101.57468929233225</v>
      </c>
      <c r="AV34" s="1">
        <f t="shared" si="61"/>
        <v>101.28082468929396</v>
      </c>
      <c r="AW34" s="1">
        <f t="shared" si="61"/>
        <v>101.17368742469408</v>
      </c>
      <c r="AX34" s="1" t="b">
        <f t="shared" si="30"/>
        <v>1</v>
      </c>
      <c r="AY34" s="1" t="s">
        <v>45</v>
      </c>
      <c r="AZ34" s="1">
        <v>4</v>
      </c>
      <c r="BA34" s="1" t="s">
        <v>224</v>
      </c>
      <c r="BB34" s="1" t="s">
        <v>225</v>
      </c>
      <c r="BC34" s="1">
        <v>6.0083800376211603E-3</v>
      </c>
    </row>
    <row r="35" spans="1:55" x14ac:dyDescent="0.35">
      <c r="A35" s="1" t="s">
        <v>46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1.0334724928195305</v>
      </c>
      <c r="P35" s="1">
        <v>1.0089356677447512</v>
      </c>
      <c r="Q35" s="1">
        <v>1</v>
      </c>
      <c r="S35" s="1">
        <f t="shared" si="0"/>
        <v>100</v>
      </c>
      <c r="T35" s="1">
        <f t="shared" si="3"/>
        <v>100</v>
      </c>
      <c r="U35" s="1">
        <f t="shared" si="4"/>
        <v>100</v>
      </c>
      <c r="V35" s="1">
        <f t="shared" si="5"/>
        <v>100</v>
      </c>
      <c r="W35" s="1">
        <f t="shared" si="6"/>
        <v>100</v>
      </c>
      <c r="X35" s="1">
        <f t="shared" si="7"/>
        <v>100</v>
      </c>
      <c r="Y35" s="1">
        <f t="shared" si="8"/>
        <v>100</v>
      </c>
      <c r="Z35" s="1">
        <f t="shared" si="9"/>
        <v>100</v>
      </c>
      <c r="AA35" s="1">
        <f t="shared" si="10"/>
        <v>100</v>
      </c>
      <c r="AB35" s="1">
        <f t="shared" si="11"/>
        <v>100</v>
      </c>
      <c r="AC35" s="1">
        <f t="shared" si="12"/>
        <v>100</v>
      </c>
      <c r="AD35" s="1">
        <f t="shared" si="13"/>
        <v>100</v>
      </c>
      <c r="AE35" s="1">
        <f t="shared" si="14"/>
        <v>100</v>
      </c>
      <c r="AF35" s="1">
        <f t="shared" si="15"/>
        <v>1</v>
      </c>
      <c r="AH35" s="1" t="str">
        <f t="shared" si="16"/>
        <v>C1071.23420</v>
      </c>
      <c r="AI35" s="1">
        <f t="shared" si="17"/>
        <v>100</v>
      </c>
      <c r="AJ35" s="1">
        <f t="shared" si="18"/>
        <v>100</v>
      </c>
      <c r="AK35" s="1">
        <f t="shared" si="19"/>
        <v>100</v>
      </c>
      <c r="AL35" s="1">
        <f t="shared" si="20"/>
        <v>100</v>
      </c>
      <c r="AM35" s="1">
        <f t="shared" si="21"/>
        <v>100</v>
      </c>
      <c r="AN35" s="1">
        <f t="shared" si="22"/>
        <v>100</v>
      </c>
      <c r="AO35" s="1">
        <f t="shared" si="23"/>
        <v>100</v>
      </c>
      <c r="AP35" s="1">
        <f t="shared" si="24"/>
        <v>100</v>
      </c>
      <c r="AQ35" s="1">
        <f t="shared" si="25"/>
        <v>100</v>
      </c>
      <c r="AR35" s="1">
        <f t="shared" si="26"/>
        <v>100</v>
      </c>
      <c r="AS35" s="1">
        <f t="shared" si="27"/>
        <v>100</v>
      </c>
      <c r="AT35" s="1">
        <f t="shared" si="28"/>
        <v>100</v>
      </c>
      <c r="AU35" s="1">
        <f t="shared" ref="AU35:AW35" si="62">AT35*O35</f>
        <v>103.34724928195304</v>
      </c>
      <c r="AV35" s="1">
        <f t="shared" si="62"/>
        <v>104.27072596387055</v>
      </c>
      <c r="AW35" s="1">
        <f t="shared" si="62"/>
        <v>104.27072596387055</v>
      </c>
      <c r="AX35" s="1" t="b">
        <f t="shared" si="30"/>
        <v>1</v>
      </c>
      <c r="AY35" s="1" t="s">
        <v>46</v>
      </c>
      <c r="AZ35" s="1">
        <v>4</v>
      </c>
      <c r="BA35" s="1" t="s">
        <v>228</v>
      </c>
      <c r="BB35" s="1" t="s">
        <v>229</v>
      </c>
      <c r="BC35" s="1">
        <v>5.8037199813530133E-3</v>
      </c>
    </row>
    <row r="36" spans="1:55" x14ac:dyDescent="0.35">
      <c r="A36" s="1" t="s">
        <v>47</v>
      </c>
      <c r="B36" s="1">
        <v>0.99998602561497418</v>
      </c>
      <c r="C36" s="1">
        <v>1</v>
      </c>
      <c r="D36" s="1">
        <v>1.0034475653374832</v>
      </c>
      <c r="E36" s="1">
        <v>1.0010747199079746</v>
      </c>
      <c r="F36" s="1">
        <v>1</v>
      </c>
      <c r="G36" s="1">
        <v>1.0003483725016991</v>
      </c>
      <c r="H36" s="1">
        <v>1.0020914728862123</v>
      </c>
      <c r="I36" s="1">
        <v>0.99994812872939431</v>
      </c>
      <c r="J36" s="1">
        <v>1</v>
      </c>
      <c r="K36" s="1">
        <v>1</v>
      </c>
      <c r="L36" s="1">
        <v>1.0022476497233663</v>
      </c>
      <c r="M36" s="1">
        <v>1.0040991508424995</v>
      </c>
      <c r="N36" s="1">
        <v>0.99861231392636518</v>
      </c>
      <c r="O36" s="1">
        <v>1.0042701181873579</v>
      </c>
      <c r="P36" s="1">
        <v>1.005451236993878</v>
      </c>
      <c r="Q36" s="1">
        <v>1.0053006226752286</v>
      </c>
      <c r="S36" s="1">
        <f t="shared" si="0"/>
        <v>100</v>
      </c>
      <c r="T36" s="1">
        <f t="shared" si="3"/>
        <v>100.34475653374832</v>
      </c>
      <c r="U36" s="1">
        <f t="shared" si="4"/>
        <v>100.45259904125601</v>
      </c>
      <c r="V36" s="1">
        <f t="shared" si="5"/>
        <v>100.45259904125601</v>
      </c>
      <c r="W36" s="1">
        <f t="shared" si="6"/>
        <v>100.48759396448618</v>
      </c>
      <c r="X36" s="1">
        <f t="shared" si="7"/>
        <v>100.69776104266361</v>
      </c>
      <c r="Y36" s="1">
        <f t="shared" si="8"/>
        <v>100.69253772185118</v>
      </c>
      <c r="Z36" s="1">
        <f t="shared" si="9"/>
        <v>100.69253772185118</v>
      </c>
      <c r="AA36" s="1">
        <f t="shared" si="10"/>
        <v>100.69253772185118</v>
      </c>
      <c r="AB36" s="1">
        <f t="shared" si="11"/>
        <v>100.91885927640675</v>
      </c>
      <c r="AC36" s="1">
        <f t="shared" si="12"/>
        <v>101.33254090343371</v>
      </c>
      <c r="AD36" s="1">
        <f t="shared" si="13"/>
        <v>101.19192314761598</v>
      </c>
      <c r="AE36" s="1">
        <f t="shared" si="14"/>
        <v>100.6630205097017</v>
      </c>
      <c r="AF36" s="1">
        <f t="shared" si="15"/>
        <v>0.99341346498103744</v>
      </c>
      <c r="AH36" s="1" t="str">
        <f t="shared" si="16"/>
        <v>C1071.23430</v>
      </c>
      <c r="AI36" s="1">
        <f t="shared" si="17"/>
        <v>99.341346498103746</v>
      </c>
      <c r="AJ36" s="1">
        <f t="shared" si="18"/>
        <v>99.683832280869524</v>
      </c>
      <c r="AK36" s="1">
        <f t="shared" si="19"/>
        <v>99.790964479924966</v>
      </c>
      <c r="AL36" s="1">
        <f t="shared" si="20"/>
        <v>99.790964479924966</v>
      </c>
      <c r="AM36" s="1">
        <f t="shared" si="21"/>
        <v>99.825728907867799</v>
      </c>
      <c r="AN36" s="1">
        <f t="shared" si="22"/>
        <v>100.03451171322499</v>
      </c>
      <c r="AO36" s="1">
        <f t="shared" si="23"/>
        <v>100.029322795998</v>
      </c>
      <c r="AP36" s="1">
        <f t="shared" si="24"/>
        <v>100.029322795998</v>
      </c>
      <c r="AQ36" s="1">
        <f t="shared" si="25"/>
        <v>100.029322795998</v>
      </c>
      <c r="AR36" s="1">
        <f t="shared" si="26"/>
        <v>100.25415367570895</v>
      </c>
      <c r="AS36" s="1">
        <f t="shared" si="27"/>
        <v>100.66511057421279</v>
      </c>
      <c r="AT36" s="1">
        <f t="shared" si="28"/>
        <v>100.52541900216804</v>
      </c>
      <c r="AU36" s="1">
        <f t="shared" ref="AU36:AW36" si="63">AT36*O36</f>
        <v>100.95467442214097</v>
      </c>
      <c r="AV36" s="1">
        <f t="shared" si="63"/>
        <v>101.50500227805584</v>
      </c>
      <c r="AW36" s="1">
        <f t="shared" si="63"/>
        <v>102.04304199478003</v>
      </c>
      <c r="AX36" s="1" t="b">
        <f t="shared" si="30"/>
        <v>1</v>
      </c>
      <c r="AY36" s="1" t="s">
        <v>47</v>
      </c>
      <c r="AZ36" s="1">
        <v>4</v>
      </c>
      <c r="BA36" s="1" t="s">
        <v>230</v>
      </c>
      <c r="BB36" s="1" t="s">
        <v>231</v>
      </c>
      <c r="BC36" s="1">
        <v>5.8037199813530133E-3</v>
      </c>
    </row>
    <row r="37" spans="1:55" x14ac:dyDescent="0.35">
      <c r="A37" s="1" t="s">
        <v>48</v>
      </c>
      <c r="B37" s="1">
        <v>0.99904688606779446</v>
      </c>
      <c r="C37" s="1">
        <v>1</v>
      </c>
      <c r="D37" s="1">
        <v>1</v>
      </c>
      <c r="E37" s="1">
        <v>0.99995286852768861</v>
      </c>
      <c r="F37" s="1">
        <v>1.0092052779609448</v>
      </c>
      <c r="G37" s="1">
        <v>0.99990589558388387</v>
      </c>
      <c r="H37" s="1">
        <v>1.0013872007102893</v>
      </c>
      <c r="I37" s="1">
        <v>1.0015967176859162</v>
      </c>
      <c r="J37" s="1">
        <v>1.0005164934502333</v>
      </c>
      <c r="K37" s="1">
        <v>1.0000853424770828</v>
      </c>
      <c r="L37" s="1">
        <v>0.99982913252367689</v>
      </c>
      <c r="M37" s="1">
        <v>1</v>
      </c>
      <c r="N37" s="1">
        <v>0.99711206791330853</v>
      </c>
      <c r="O37" s="1">
        <v>1.0070080802011223</v>
      </c>
      <c r="P37" s="1">
        <v>1.0054044617164508</v>
      </c>
      <c r="Q37" s="1">
        <v>1.0013013426388249</v>
      </c>
      <c r="S37" s="1">
        <f t="shared" si="0"/>
        <v>100</v>
      </c>
      <c r="T37" s="1">
        <f t="shared" si="3"/>
        <v>100</v>
      </c>
      <c r="U37" s="1">
        <f t="shared" si="4"/>
        <v>99.995286852768857</v>
      </c>
      <c r="V37" s="1">
        <f t="shared" si="5"/>
        <v>100.91577126303301</v>
      </c>
      <c r="W37" s="1">
        <f t="shared" si="6"/>
        <v>100.90627464330139</v>
      </c>
      <c r="X37" s="1">
        <f t="shared" si="7"/>
        <v>101.04625189915922</v>
      </c>
      <c r="Y37" s="1">
        <f t="shared" si="8"/>
        <v>101.20759423666215</v>
      </c>
      <c r="Z37" s="1">
        <f t="shared" si="9"/>
        <v>101.25986729619925</v>
      </c>
      <c r="AA37" s="1">
        <f t="shared" si="10"/>
        <v>101.26850906410338</v>
      </c>
      <c r="AB37" s="1">
        <f t="shared" si="11"/>
        <v>101.25120556952859</v>
      </c>
      <c r="AC37" s="1">
        <f t="shared" si="12"/>
        <v>101.25120556952859</v>
      </c>
      <c r="AD37" s="1">
        <f t="shared" si="13"/>
        <v>100.95879896414816</v>
      </c>
      <c r="AE37" s="1">
        <f t="shared" si="14"/>
        <v>100.83839711320273</v>
      </c>
      <c r="AF37" s="1">
        <f t="shared" si="15"/>
        <v>0.99168573542217719</v>
      </c>
      <c r="AH37" s="1" t="str">
        <f t="shared" si="16"/>
        <v>C1071.23490A</v>
      </c>
      <c r="AI37" s="1">
        <f t="shared" si="17"/>
        <v>99.168573542217715</v>
      </c>
      <c r="AJ37" s="1">
        <f t="shared" si="18"/>
        <v>99.168573542217715</v>
      </c>
      <c r="AK37" s="1">
        <f t="shared" si="19"/>
        <v>99.163899581339649</v>
      </c>
      <c r="AL37" s="1">
        <f t="shared" si="20"/>
        <v>100.0767308406771</v>
      </c>
      <c r="AM37" s="1">
        <f t="shared" si="21"/>
        <v>100.06731317835452</v>
      </c>
      <c r="AN37" s="1">
        <f t="shared" si="22"/>
        <v>100.20612662627228</v>
      </c>
      <c r="AO37" s="1">
        <f t="shared" si="23"/>
        <v>100.3661275208936</v>
      </c>
      <c r="AP37" s="1">
        <f t="shared" si="24"/>
        <v>100.41796596838341</v>
      </c>
      <c r="AQ37" s="1">
        <f t="shared" si="25"/>
        <v>100.42653588634278</v>
      </c>
      <c r="AR37" s="1">
        <f t="shared" si="26"/>
        <v>100.4093762576</v>
      </c>
      <c r="AS37" s="1">
        <f t="shared" si="27"/>
        <v>100.4093762576</v>
      </c>
      <c r="AT37" s="1">
        <f t="shared" si="28"/>
        <v>100.11940079810101</v>
      </c>
      <c r="AU37" s="1">
        <f t="shared" ref="AU37:AW37" si="64">AT37*O37</f>
        <v>100.82104558858241</v>
      </c>
      <c r="AV37" s="1">
        <f t="shared" si="64"/>
        <v>101.36592906967844</v>
      </c>
      <c r="AW37" s="1">
        <f t="shared" si="64"/>
        <v>101.49784087530091</v>
      </c>
      <c r="AX37" s="1" t="b">
        <f t="shared" si="30"/>
        <v>1</v>
      </c>
      <c r="AY37" s="1" t="s">
        <v>48</v>
      </c>
      <c r="AZ37" s="1">
        <v>4</v>
      </c>
      <c r="BA37" s="1" t="s">
        <v>226</v>
      </c>
      <c r="BB37" s="1" t="s">
        <v>227</v>
      </c>
      <c r="BC37" s="1">
        <v>4.7088206281350853E-2</v>
      </c>
    </row>
    <row r="38" spans="1:55" x14ac:dyDescent="0.35">
      <c r="A38" s="1" t="s">
        <v>49</v>
      </c>
      <c r="B38" s="1">
        <v>1</v>
      </c>
      <c r="C38" s="1">
        <v>1</v>
      </c>
      <c r="D38" s="1">
        <v>1</v>
      </c>
      <c r="E38" s="1">
        <v>1</v>
      </c>
      <c r="F38" s="1">
        <v>1.0118335831597387</v>
      </c>
      <c r="G38" s="1">
        <v>1</v>
      </c>
      <c r="H38" s="1">
        <v>1.0147560381950309</v>
      </c>
      <c r="I38" s="1">
        <v>1</v>
      </c>
      <c r="J38" s="1">
        <v>1</v>
      </c>
      <c r="K38" s="1">
        <v>1</v>
      </c>
      <c r="L38" s="1">
        <v>1</v>
      </c>
      <c r="M38" s="1">
        <v>1.0031931509390073</v>
      </c>
      <c r="N38" s="1">
        <v>1</v>
      </c>
      <c r="O38" s="1">
        <v>1</v>
      </c>
      <c r="P38" s="1">
        <v>1.0190066498243116</v>
      </c>
      <c r="Q38" s="1">
        <v>1.0272379157589153</v>
      </c>
      <c r="S38" s="1">
        <f t="shared" si="0"/>
        <v>100</v>
      </c>
      <c r="T38" s="1">
        <f t="shared" si="3"/>
        <v>100</v>
      </c>
      <c r="U38" s="1">
        <f t="shared" si="4"/>
        <v>100</v>
      </c>
      <c r="V38" s="1">
        <f t="shared" si="5"/>
        <v>101.18335831597388</v>
      </c>
      <c r="W38" s="1">
        <f t="shared" si="6"/>
        <v>101.18335831597388</v>
      </c>
      <c r="X38" s="1">
        <f t="shared" si="7"/>
        <v>102.67642381598588</v>
      </c>
      <c r="Y38" s="1">
        <f t="shared" si="8"/>
        <v>102.67642381598588</v>
      </c>
      <c r="Z38" s="1">
        <f t="shared" si="9"/>
        <v>102.67642381598588</v>
      </c>
      <c r="AA38" s="1">
        <f t="shared" si="10"/>
        <v>102.67642381598588</v>
      </c>
      <c r="AB38" s="1">
        <f t="shared" si="11"/>
        <v>102.67642381598588</v>
      </c>
      <c r="AC38" s="1">
        <f t="shared" si="12"/>
        <v>103.00428513510781</v>
      </c>
      <c r="AD38" s="1">
        <f t="shared" si="13"/>
        <v>103.00428513510781</v>
      </c>
      <c r="AE38" s="1">
        <f t="shared" si="14"/>
        <v>101.81311716517439</v>
      </c>
      <c r="AF38" s="1">
        <f t="shared" si="15"/>
        <v>0.98219171344854395</v>
      </c>
      <c r="AH38" s="1" t="str">
        <f t="shared" si="16"/>
        <v>C1071.23490B</v>
      </c>
      <c r="AI38" s="1">
        <f t="shared" si="17"/>
        <v>98.219171344854388</v>
      </c>
      <c r="AJ38" s="1">
        <f t="shared" si="18"/>
        <v>98.219171344854388</v>
      </c>
      <c r="AK38" s="1">
        <f t="shared" si="19"/>
        <v>98.219171344854388</v>
      </c>
      <c r="AL38" s="1">
        <f t="shared" si="20"/>
        <v>99.381456076844358</v>
      </c>
      <c r="AM38" s="1">
        <f t="shared" si="21"/>
        <v>99.381456076844358</v>
      </c>
      <c r="AN38" s="1">
        <f t="shared" si="22"/>
        <v>100.84793263859206</v>
      </c>
      <c r="AO38" s="1">
        <f t="shared" si="23"/>
        <v>100.84793263859206</v>
      </c>
      <c r="AP38" s="1">
        <f t="shared" si="24"/>
        <v>100.84793263859206</v>
      </c>
      <c r="AQ38" s="1">
        <f t="shared" si="25"/>
        <v>100.84793263859206</v>
      </c>
      <c r="AR38" s="1">
        <f t="shared" si="26"/>
        <v>100.84793263859206</v>
      </c>
      <c r="AS38" s="1">
        <f t="shared" si="27"/>
        <v>101.16995530939393</v>
      </c>
      <c r="AT38" s="1">
        <f t="shared" si="28"/>
        <v>101.16995530939393</v>
      </c>
      <c r="AU38" s="1">
        <f t="shared" ref="AU38:AW38" si="65">AT38*O38</f>
        <v>101.16995530939393</v>
      </c>
      <c r="AV38" s="1">
        <f t="shared" si="65"/>
        <v>103.09285722270083</v>
      </c>
      <c r="AW38" s="1">
        <f t="shared" si="65"/>
        <v>105.90089178307863</v>
      </c>
      <c r="AX38" s="1" t="b">
        <f t="shared" si="30"/>
        <v>1</v>
      </c>
      <c r="AY38" s="1" t="s">
        <v>49</v>
      </c>
      <c r="AZ38" s="1">
        <v>4</v>
      </c>
      <c r="BA38" s="1" t="s">
        <v>232</v>
      </c>
      <c r="BB38" s="1" t="s">
        <v>227</v>
      </c>
      <c r="BC38" s="1">
        <v>5.5199028623794631E-2</v>
      </c>
    </row>
    <row r="39" spans="1:55" x14ac:dyDescent="0.35">
      <c r="A39" s="1" t="s">
        <v>50</v>
      </c>
      <c r="B39" s="1">
        <v>1.046803571611616</v>
      </c>
      <c r="C39" s="1">
        <v>1</v>
      </c>
      <c r="D39" s="1">
        <v>0.9818925002394151</v>
      </c>
      <c r="E39" s="1">
        <v>0.97856949139203808</v>
      </c>
      <c r="F39" s="1">
        <v>0.97887816163330565</v>
      </c>
      <c r="G39" s="1">
        <v>1.0560086138430751</v>
      </c>
      <c r="H39" s="1">
        <v>1.0202654577260311</v>
      </c>
      <c r="I39" s="1">
        <v>1.011853501028688</v>
      </c>
      <c r="J39" s="1">
        <v>1</v>
      </c>
      <c r="K39" s="1">
        <v>1</v>
      </c>
      <c r="L39" s="1">
        <v>1.0248618421961611</v>
      </c>
      <c r="M39" s="1">
        <v>1.049382022403468</v>
      </c>
      <c r="N39" s="1">
        <v>0.93053676049080891</v>
      </c>
      <c r="O39" s="1">
        <v>1</v>
      </c>
      <c r="P39" s="1">
        <v>1</v>
      </c>
      <c r="Q39" s="1">
        <v>1</v>
      </c>
      <c r="S39" s="1">
        <f t="shared" si="0"/>
        <v>100</v>
      </c>
      <c r="T39" s="1">
        <f t="shared" si="3"/>
        <v>98.189250023941511</v>
      </c>
      <c r="U39" s="1">
        <f t="shared" si="4"/>
        <v>96.085004456094111</v>
      </c>
      <c r="V39" s="1">
        <f t="shared" si="5"/>
        <v>94.055512522509389</v>
      </c>
      <c r="W39" s="1">
        <f t="shared" si="6"/>
        <v>99.32343140319513</v>
      </c>
      <c r="X39" s="1">
        <f t="shared" si="7"/>
        <v>101.33626620350093</v>
      </c>
      <c r="Y39" s="1">
        <f t="shared" si="8"/>
        <v>102.53745573918752</v>
      </c>
      <c r="Z39" s="1">
        <f t="shared" si="9"/>
        <v>102.53745573918752</v>
      </c>
      <c r="AA39" s="1">
        <f t="shared" si="10"/>
        <v>102.53745573918752</v>
      </c>
      <c r="AB39" s="1">
        <f t="shared" si="11"/>
        <v>105.08672578297104</v>
      </c>
      <c r="AC39" s="1">
        <f t="shared" si="12"/>
        <v>110.27612082989282</v>
      </c>
      <c r="AD39" s="1">
        <f t="shared" si="13"/>
        <v>102.61598423654148</v>
      </c>
      <c r="AE39" s="1">
        <f t="shared" si="14"/>
        <v>101.21505522301742</v>
      </c>
      <c r="AF39" s="1">
        <f t="shared" si="15"/>
        <v>0.98799531136607932</v>
      </c>
      <c r="AH39" s="1" t="str">
        <f t="shared" si="16"/>
        <v>C1072.23511</v>
      </c>
      <c r="AI39" s="1">
        <f t="shared" si="17"/>
        <v>98.799531136607925</v>
      </c>
      <c r="AJ39" s="1">
        <f t="shared" si="18"/>
        <v>97.01051865020591</v>
      </c>
      <c r="AK39" s="1">
        <f t="shared" si="19"/>
        <v>94.931533895209824</v>
      </c>
      <c r="AL39" s="1">
        <f t="shared" si="20"/>
        <v>92.926405380372842</v>
      </c>
      <c r="AM39" s="1">
        <f t="shared" si="21"/>
        <v>98.131084535147195</v>
      </c>
      <c r="AN39" s="1">
        <f t="shared" si="22"/>
        <v>100.1197558804038</v>
      </c>
      <c r="AO39" s="1">
        <f t="shared" si="23"/>
        <v>101.30652550972415</v>
      </c>
      <c r="AP39" s="1">
        <f t="shared" si="24"/>
        <v>101.30652550972415</v>
      </c>
      <c r="AQ39" s="1">
        <f t="shared" si="25"/>
        <v>101.30652550972415</v>
      </c>
      <c r="AR39" s="1">
        <f t="shared" si="26"/>
        <v>103.82519236038827</v>
      </c>
      <c r="AS39" s="1">
        <f t="shared" si="27"/>
        <v>108.95229033557334</v>
      </c>
      <c r="AT39" s="1">
        <f t="shared" si="28"/>
        <v>101.38411129691849</v>
      </c>
      <c r="AU39" s="1">
        <f t="shared" ref="AU39:AW39" si="66">AT39*O39</f>
        <v>101.38411129691849</v>
      </c>
      <c r="AV39" s="1">
        <f t="shared" si="66"/>
        <v>101.38411129691849</v>
      </c>
      <c r="AW39" s="1">
        <f t="shared" si="66"/>
        <v>101.38411129691849</v>
      </c>
      <c r="AX39" s="1" t="b">
        <f t="shared" si="30"/>
        <v>1</v>
      </c>
      <c r="AY39" s="1" t="s">
        <v>50</v>
      </c>
      <c r="AZ39" s="1">
        <v>4</v>
      </c>
      <c r="BA39" s="1" t="s">
        <v>233</v>
      </c>
      <c r="BB39" s="1" t="s">
        <v>234</v>
      </c>
      <c r="BC39" s="1">
        <v>1.9753154992302752E-2</v>
      </c>
    </row>
    <row r="40" spans="1:55" x14ac:dyDescent="0.35">
      <c r="A40" s="1" t="s">
        <v>51</v>
      </c>
      <c r="B40" s="1">
        <v>1</v>
      </c>
      <c r="C40" s="1">
        <v>1</v>
      </c>
      <c r="D40" s="1">
        <v>1.000669396589406</v>
      </c>
      <c r="E40" s="1">
        <v>0.99807323200703169</v>
      </c>
      <c r="F40" s="1">
        <v>1.0000665991196547</v>
      </c>
      <c r="G40" s="1">
        <v>1.0010933955777492</v>
      </c>
      <c r="H40" s="1">
        <v>0.99793042463709403</v>
      </c>
      <c r="I40" s="1">
        <v>0.99869159921273398</v>
      </c>
      <c r="J40" s="1">
        <v>0.99792041447013768</v>
      </c>
      <c r="K40" s="1">
        <v>0.99874191575507931</v>
      </c>
      <c r="L40" s="1">
        <v>1.0029826120452139</v>
      </c>
      <c r="M40" s="1">
        <v>0.99998690919560873</v>
      </c>
      <c r="N40" s="1">
        <v>0.9981650912275275</v>
      </c>
      <c r="O40" s="1">
        <v>1.0011668975227992</v>
      </c>
      <c r="P40" s="1">
        <v>0.99832841064684097</v>
      </c>
      <c r="Q40" s="1">
        <v>1.0008677245314004</v>
      </c>
      <c r="S40" s="1">
        <f t="shared" si="0"/>
        <v>100</v>
      </c>
      <c r="T40" s="1">
        <f t="shared" si="3"/>
        <v>100.0669396589406</v>
      </c>
      <c r="U40" s="1">
        <f t="shared" si="4"/>
        <v>99.87413388245146</v>
      </c>
      <c r="V40" s="1">
        <f t="shared" si="5"/>
        <v>99.8807854118443</v>
      </c>
      <c r="W40" s="1">
        <f t="shared" si="6"/>
        <v>99.989994620915738</v>
      </c>
      <c r="X40" s="1">
        <f t="shared" si="7"/>
        <v>99.783057791511183</v>
      </c>
      <c r="Y40" s="1">
        <f t="shared" si="8"/>
        <v>99.652501560140962</v>
      </c>
      <c r="Z40" s="1">
        <f t="shared" si="9"/>
        <v>99.445265659881912</v>
      </c>
      <c r="AA40" s="1">
        <f t="shared" si="10"/>
        <v>99.320155137923265</v>
      </c>
      <c r="AB40" s="1">
        <f t="shared" si="11"/>
        <v>99.616388628970142</v>
      </c>
      <c r="AC40" s="1">
        <f t="shared" si="12"/>
        <v>99.615084570312433</v>
      </c>
      <c r="AD40" s="1">
        <f t="shared" si="13"/>
        <v>99.432299977763776</v>
      </c>
      <c r="AE40" s="1">
        <f t="shared" si="14"/>
        <v>99.723050575054643</v>
      </c>
      <c r="AF40" s="1">
        <f t="shared" si="15"/>
        <v>1.0027771856491385</v>
      </c>
      <c r="AH40" s="1" t="str">
        <f t="shared" si="16"/>
        <v>C1072.23520</v>
      </c>
      <c r="AI40" s="1">
        <f t="shared" si="17"/>
        <v>100.27771856491385</v>
      </c>
      <c r="AJ40" s="1">
        <f t="shared" si="18"/>
        <v>100.34484412771462</v>
      </c>
      <c r="AK40" s="1">
        <f t="shared" si="19"/>
        <v>100.15150289378994</v>
      </c>
      <c r="AL40" s="1">
        <f t="shared" si="20"/>
        <v>100.15817289571476</v>
      </c>
      <c r="AM40" s="1">
        <f t="shared" si="21"/>
        <v>100.26768539903438</v>
      </c>
      <c r="AN40" s="1">
        <f t="shared" si="22"/>
        <v>100.06017386763693</v>
      </c>
      <c r="AO40" s="1">
        <f t="shared" si="23"/>
        <v>99.929255057374547</v>
      </c>
      <c r="AP40" s="1">
        <f t="shared" si="24"/>
        <v>99.721443624547305</v>
      </c>
      <c r="AQ40" s="1">
        <f t="shared" si="25"/>
        <v>99.595985647442518</v>
      </c>
      <c r="AR40" s="1">
        <f t="shared" si="26"/>
        <v>99.893041833889527</v>
      </c>
      <c r="AS40" s="1">
        <f t="shared" si="27"/>
        <v>99.891734153618827</v>
      </c>
      <c r="AT40" s="1">
        <f t="shared" si="28"/>
        <v>99.708441934322863</v>
      </c>
      <c r="AU40" s="1">
        <f t="shared" ref="AU40:AW40" si="67">AT40*O40</f>
        <v>99.824791468218194</v>
      </c>
      <c r="AV40" s="1">
        <f t="shared" si="67"/>
        <v>99.657925409618599</v>
      </c>
      <c r="AW40" s="1">
        <f t="shared" si="67"/>
        <v>99.744401036244994</v>
      </c>
      <c r="AX40" s="1" t="b">
        <f t="shared" si="30"/>
        <v>1</v>
      </c>
      <c r="AY40" s="1" t="s">
        <v>51</v>
      </c>
      <c r="AZ40" s="1">
        <v>4</v>
      </c>
      <c r="BA40" s="1" t="s">
        <v>235</v>
      </c>
      <c r="BB40" s="1" t="s">
        <v>236</v>
      </c>
      <c r="BC40" s="1">
        <v>1.9753154992302752E-2</v>
      </c>
    </row>
    <row r="41" spans="1:55" x14ac:dyDescent="0.35">
      <c r="A41" s="1" t="s">
        <v>52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1.032258557698259</v>
      </c>
      <c r="H41" s="1">
        <v>1</v>
      </c>
      <c r="I41" s="1">
        <v>1</v>
      </c>
      <c r="J41" s="1">
        <v>1</v>
      </c>
      <c r="K41" s="1">
        <v>1.032084022177358</v>
      </c>
      <c r="L41" s="1">
        <v>1</v>
      </c>
      <c r="M41" s="1">
        <v>1</v>
      </c>
      <c r="N41" s="1">
        <v>1.0339078862458579</v>
      </c>
      <c r="O41" s="1">
        <v>1.004024161128124</v>
      </c>
      <c r="P41" s="1">
        <v>1</v>
      </c>
      <c r="Q41" s="1">
        <v>1</v>
      </c>
      <c r="S41" s="1">
        <f t="shared" si="0"/>
        <v>100</v>
      </c>
      <c r="T41" s="1">
        <f t="shared" si="3"/>
        <v>100</v>
      </c>
      <c r="U41" s="1">
        <f t="shared" si="4"/>
        <v>100</v>
      </c>
      <c r="V41" s="1">
        <f t="shared" si="5"/>
        <v>100</v>
      </c>
      <c r="W41" s="1">
        <f t="shared" si="6"/>
        <v>103.2258557698259</v>
      </c>
      <c r="X41" s="1">
        <f t="shared" si="7"/>
        <v>103.2258557698259</v>
      </c>
      <c r="Y41" s="1">
        <f t="shared" si="8"/>
        <v>103.2258557698259</v>
      </c>
      <c r="Z41" s="1">
        <f t="shared" si="9"/>
        <v>103.2258557698259</v>
      </c>
      <c r="AA41" s="1">
        <f t="shared" si="10"/>
        <v>106.53775641562174</v>
      </c>
      <c r="AB41" s="1">
        <f t="shared" si="11"/>
        <v>106.53775641562174</v>
      </c>
      <c r="AC41" s="1">
        <f t="shared" si="12"/>
        <v>106.53775641562174</v>
      </c>
      <c r="AD41" s="1">
        <f t="shared" si="13"/>
        <v>110.15022654105157</v>
      </c>
      <c r="AE41" s="1">
        <f t="shared" si="14"/>
        <v>103.55557657226836</v>
      </c>
      <c r="AF41" s="1">
        <f t="shared" si="15"/>
        <v>0.96566504006873033</v>
      </c>
      <c r="AH41" s="1" t="str">
        <f t="shared" si="16"/>
        <v>C1073.23650</v>
      </c>
      <c r="AI41" s="1">
        <f t="shared" si="17"/>
        <v>96.566504006873032</v>
      </c>
      <c r="AJ41" s="1">
        <f t="shared" si="18"/>
        <v>96.566504006873032</v>
      </c>
      <c r="AK41" s="1">
        <f t="shared" si="19"/>
        <v>96.566504006873032</v>
      </c>
      <c r="AL41" s="1">
        <f t="shared" si="20"/>
        <v>96.566504006873032</v>
      </c>
      <c r="AM41" s="1">
        <f t="shared" si="21"/>
        <v>99.6816001480979</v>
      </c>
      <c r="AN41" s="1">
        <f t="shared" si="22"/>
        <v>99.6816001480979</v>
      </c>
      <c r="AO41" s="1">
        <f t="shared" si="23"/>
        <v>99.6816001480979</v>
      </c>
      <c r="AP41" s="1">
        <f t="shared" si="24"/>
        <v>99.6816001480979</v>
      </c>
      <c r="AQ41" s="1">
        <f t="shared" si="25"/>
        <v>102.879786817924</v>
      </c>
      <c r="AR41" s="1">
        <f t="shared" si="26"/>
        <v>102.879786817924</v>
      </c>
      <c r="AS41" s="1">
        <f t="shared" si="27"/>
        <v>102.879786817924</v>
      </c>
      <c r="AT41" s="1">
        <f t="shared" si="28"/>
        <v>106.36822292634429</v>
      </c>
      <c r="AU41" s="1">
        <f t="shared" ref="AU41:AW41" si="68">AT41*O41</f>
        <v>106.79626579431211</v>
      </c>
      <c r="AV41" s="1">
        <f t="shared" si="68"/>
        <v>106.79626579431211</v>
      </c>
      <c r="AW41" s="1">
        <f t="shared" si="68"/>
        <v>106.79626579431211</v>
      </c>
      <c r="AX41" s="1" t="b">
        <f t="shared" si="30"/>
        <v>1</v>
      </c>
      <c r="AY41" s="1" t="s">
        <v>52</v>
      </c>
      <c r="AZ41" s="1">
        <v>4</v>
      </c>
      <c r="BA41" s="1" t="s">
        <v>237</v>
      </c>
      <c r="BB41" s="1" t="s">
        <v>238</v>
      </c>
      <c r="BC41" s="1">
        <v>2.1737283216333335E-3</v>
      </c>
    </row>
    <row r="42" spans="1:55" x14ac:dyDescent="0.35">
      <c r="A42" s="1" t="s">
        <v>53</v>
      </c>
      <c r="B42" s="1">
        <v>1</v>
      </c>
      <c r="C42" s="1">
        <v>1</v>
      </c>
      <c r="D42" s="1">
        <v>1</v>
      </c>
      <c r="E42" s="1">
        <v>1</v>
      </c>
      <c r="F42" s="1">
        <v>1.0030654866886792</v>
      </c>
      <c r="G42" s="1">
        <v>1.0047836306707818</v>
      </c>
      <c r="H42" s="1">
        <v>1.0120300274417302</v>
      </c>
      <c r="I42" s="1">
        <v>1</v>
      </c>
      <c r="J42" s="1">
        <v>1</v>
      </c>
      <c r="K42" s="1">
        <v>1.0103114593179361</v>
      </c>
      <c r="L42" s="1">
        <v>1.007886549706599</v>
      </c>
      <c r="M42" s="1">
        <v>1</v>
      </c>
      <c r="N42" s="1">
        <v>0.98863341063895649</v>
      </c>
      <c r="O42" s="1">
        <v>1.001988686571837</v>
      </c>
      <c r="P42" s="1">
        <v>0.99996722171168029</v>
      </c>
      <c r="Q42" s="1">
        <v>0.98509201094270171</v>
      </c>
      <c r="S42" s="1">
        <f t="shared" si="0"/>
        <v>100</v>
      </c>
      <c r="T42" s="1">
        <f t="shared" si="3"/>
        <v>100</v>
      </c>
      <c r="U42" s="1">
        <f t="shared" si="4"/>
        <v>100</v>
      </c>
      <c r="V42" s="1">
        <f t="shared" si="5"/>
        <v>100.30654866886792</v>
      </c>
      <c r="W42" s="1">
        <f t="shared" si="6"/>
        <v>100.78637815156058</v>
      </c>
      <c r="X42" s="1">
        <f t="shared" si="7"/>
        <v>101.99884104647646</v>
      </c>
      <c r="Y42" s="1">
        <f t="shared" si="8"/>
        <v>101.99884104647646</v>
      </c>
      <c r="Z42" s="1">
        <f t="shared" si="9"/>
        <v>101.99884104647646</v>
      </c>
      <c r="AA42" s="1">
        <f t="shared" si="10"/>
        <v>103.05059794640383</v>
      </c>
      <c r="AB42" s="1">
        <f t="shared" si="11"/>
        <v>103.86331160940288</v>
      </c>
      <c r="AC42" s="1">
        <f t="shared" si="12"/>
        <v>103.86331160940288</v>
      </c>
      <c r="AD42" s="1">
        <f t="shared" si="13"/>
        <v>102.6827399966607</v>
      </c>
      <c r="AE42" s="1">
        <f t="shared" si="14"/>
        <v>101.71245092681067</v>
      </c>
      <c r="AF42" s="1">
        <f t="shared" si="15"/>
        <v>0.98316380235451306</v>
      </c>
      <c r="AH42" s="1" t="str">
        <f t="shared" si="16"/>
        <v>C1073.23660</v>
      </c>
      <c r="AI42" s="1">
        <f t="shared" si="17"/>
        <v>98.316380235451305</v>
      </c>
      <c r="AJ42" s="1">
        <f t="shared" si="18"/>
        <v>98.316380235451305</v>
      </c>
      <c r="AK42" s="1">
        <f t="shared" si="19"/>
        <v>98.316380235451305</v>
      </c>
      <c r="AL42" s="1">
        <f t="shared" si="20"/>
        <v>98.617767790342199</v>
      </c>
      <c r="AM42" s="1">
        <f t="shared" si="21"/>
        <v>99.089518769028118</v>
      </c>
      <c r="AN42" s="1">
        <f t="shared" si="22"/>
        <v>100.28156839900737</v>
      </c>
      <c r="AO42" s="1">
        <f t="shared" si="23"/>
        <v>100.28156839900737</v>
      </c>
      <c r="AP42" s="1">
        <f t="shared" si="24"/>
        <v>100.28156839900737</v>
      </c>
      <c r="AQ42" s="1">
        <f t="shared" si="25"/>
        <v>101.31561771189256</v>
      </c>
      <c r="AR42" s="1">
        <f t="shared" si="26"/>
        <v>102.11464836703217</v>
      </c>
      <c r="AS42" s="1">
        <f t="shared" si="27"/>
        <v>102.11464836703217</v>
      </c>
      <c r="AT42" s="1">
        <f t="shared" si="28"/>
        <v>100.95395309129677</v>
      </c>
      <c r="AU42" s="1">
        <f t="shared" ref="AU42:AW42" si="69">AT42*O42</f>
        <v>101.1547188621833</v>
      </c>
      <c r="AV42" s="1">
        <f t="shared" si="69"/>
        <v>101.15140318364354</v>
      </c>
      <c r="AW42" s="1">
        <f t="shared" si="69"/>
        <v>99.643439171851412</v>
      </c>
      <c r="AX42" s="1" t="b">
        <f t="shared" si="30"/>
        <v>1</v>
      </c>
      <c r="AY42" s="1" t="s">
        <v>53</v>
      </c>
      <c r="AZ42" s="1">
        <v>4</v>
      </c>
      <c r="BA42" s="1" t="s">
        <v>239</v>
      </c>
      <c r="BB42" s="1" t="s">
        <v>240</v>
      </c>
      <c r="BC42" s="1">
        <v>2.1737283216333335E-3</v>
      </c>
    </row>
    <row r="43" spans="1:55" x14ac:dyDescent="0.35">
      <c r="A43" s="1" t="s">
        <v>54</v>
      </c>
      <c r="B43" s="1">
        <v>1</v>
      </c>
      <c r="C43" s="1">
        <v>1</v>
      </c>
      <c r="D43" s="1">
        <v>1</v>
      </c>
      <c r="E43" s="1">
        <v>1.0070371243680858</v>
      </c>
      <c r="F43" s="1">
        <v>1</v>
      </c>
      <c r="G43" s="1">
        <v>1</v>
      </c>
      <c r="H43" s="1">
        <v>1.0183309863354446</v>
      </c>
      <c r="I43" s="1">
        <v>1</v>
      </c>
      <c r="J43" s="1">
        <v>1</v>
      </c>
      <c r="K43" s="1">
        <v>1</v>
      </c>
      <c r="L43" s="1">
        <v>1</v>
      </c>
      <c r="M43" s="1">
        <v>1.0002159613814305</v>
      </c>
      <c r="N43" s="1">
        <v>1</v>
      </c>
      <c r="O43" s="1">
        <v>1.0081085157866361</v>
      </c>
      <c r="P43" s="1">
        <v>1</v>
      </c>
      <c r="Q43" s="1">
        <v>1</v>
      </c>
      <c r="S43" s="1">
        <f t="shared" si="0"/>
        <v>100</v>
      </c>
      <c r="T43" s="1">
        <f t="shared" si="3"/>
        <v>100</v>
      </c>
      <c r="U43" s="1">
        <f t="shared" si="4"/>
        <v>100.70371243680857</v>
      </c>
      <c r="V43" s="1">
        <f t="shared" si="5"/>
        <v>100.70371243680857</v>
      </c>
      <c r="W43" s="1">
        <f t="shared" si="6"/>
        <v>100.70371243680857</v>
      </c>
      <c r="X43" s="1">
        <f t="shared" si="7"/>
        <v>102.54971081341625</v>
      </c>
      <c r="Y43" s="1">
        <f t="shared" si="8"/>
        <v>102.54971081341625</v>
      </c>
      <c r="Z43" s="1">
        <f t="shared" si="9"/>
        <v>102.54971081341625</v>
      </c>
      <c r="AA43" s="1">
        <f t="shared" si="10"/>
        <v>102.54971081341625</v>
      </c>
      <c r="AB43" s="1">
        <f t="shared" si="11"/>
        <v>102.54971081341625</v>
      </c>
      <c r="AC43" s="1">
        <f t="shared" si="12"/>
        <v>102.57185759062882</v>
      </c>
      <c r="AD43" s="1">
        <f t="shared" si="13"/>
        <v>102.57185759062882</v>
      </c>
      <c r="AE43" s="1">
        <f t="shared" si="14"/>
        <v>101.66695054656371</v>
      </c>
      <c r="AF43" s="1">
        <f t="shared" si="15"/>
        <v>0.98360381089821081</v>
      </c>
      <c r="AH43" s="1" t="str">
        <f t="shared" si="16"/>
        <v>C1073.23670</v>
      </c>
      <c r="AI43" s="1">
        <f t="shared" si="17"/>
        <v>98.360381089821075</v>
      </c>
      <c r="AJ43" s="1">
        <f t="shared" si="18"/>
        <v>98.360381089821075</v>
      </c>
      <c r="AK43" s="1">
        <f t="shared" si="19"/>
        <v>99.052555324442466</v>
      </c>
      <c r="AL43" s="1">
        <f t="shared" si="20"/>
        <v>99.052555324442466</v>
      </c>
      <c r="AM43" s="1">
        <f t="shared" si="21"/>
        <v>99.052555324442466</v>
      </c>
      <c r="AN43" s="1">
        <f t="shared" si="22"/>
        <v>100.86828636258569</v>
      </c>
      <c r="AO43" s="1">
        <f t="shared" si="23"/>
        <v>100.86828636258569</v>
      </c>
      <c r="AP43" s="1">
        <f t="shared" si="24"/>
        <v>100.86828636258569</v>
      </c>
      <c r="AQ43" s="1">
        <f t="shared" si="25"/>
        <v>100.86828636258569</v>
      </c>
      <c r="AR43" s="1">
        <f t="shared" si="26"/>
        <v>100.86828636258569</v>
      </c>
      <c r="AS43" s="1">
        <f t="shared" si="27"/>
        <v>100.89007001705109</v>
      </c>
      <c r="AT43" s="1">
        <f t="shared" si="28"/>
        <v>100.89007001705109</v>
      </c>
      <c r="AU43" s="1">
        <f t="shared" ref="AU43:AW43" si="70">AT43*O43</f>
        <v>101.70813874249916</v>
      </c>
      <c r="AV43" s="1">
        <f t="shared" si="70"/>
        <v>101.70813874249916</v>
      </c>
      <c r="AW43" s="1">
        <f t="shared" si="70"/>
        <v>101.70813874249916</v>
      </c>
      <c r="AX43" s="1" t="b">
        <f t="shared" si="30"/>
        <v>1</v>
      </c>
      <c r="AY43" s="1" t="s">
        <v>54</v>
      </c>
      <c r="AZ43" s="1">
        <v>4</v>
      </c>
      <c r="BA43" s="1" t="s">
        <v>241</v>
      </c>
      <c r="BB43" s="1" t="s">
        <v>242</v>
      </c>
      <c r="BC43" s="1">
        <v>2.1737283216333335E-3</v>
      </c>
    </row>
    <row r="44" spans="1:55" x14ac:dyDescent="0.35">
      <c r="A44" s="1" t="s">
        <v>55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S44" s="1">
        <f t="shared" si="0"/>
        <v>100</v>
      </c>
      <c r="T44" s="1">
        <f t="shared" si="3"/>
        <v>100</v>
      </c>
      <c r="U44" s="1">
        <f t="shared" si="4"/>
        <v>100</v>
      </c>
      <c r="V44" s="1">
        <f t="shared" si="5"/>
        <v>100</v>
      </c>
      <c r="W44" s="1">
        <f t="shared" si="6"/>
        <v>100</v>
      </c>
      <c r="X44" s="1">
        <f t="shared" si="7"/>
        <v>100</v>
      </c>
      <c r="Y44" s="1">
        <f t="shared" si="8"/>
        <v>100</v>
      </c>
      <c r="Z44" s="1">
        <f t="shared" si="9"/>
        <v>100</v>
      </c>
      <c r="AA44" s="1">
        <f t="shared" si="10"/>
        <v>100</v>
      </c>
      <c r="AB44" s="1">
        <f t="shared" si="11"/>
        <v>100</v>
      </c>
      <c r="AC44" s="1">
        <f t="shared" si="12"/>
        <v>100</v>
      </c>
      <c r="AD44" s="1">
        <f t="shared" si="13"/>
        <v>100</v>
      </c>
      <c r="AE44" s="1">
        <f t="shared" si="14"/>
        <v>100</v>
      </c>
      <c r="AF44" s="1">
        <f t="shared" si="15"/>
        <v>1</v>
      </c>
      <c r="AH44" s="1" t="str">
        <f t="shared" si="16"/>
        <v>C1074.23710</v>
      </c>
      <c r="AI44" s="1">
        <f t="shared" si="17"/>
        <v>100</v>
      </c>
      <c r="AJ44" s="1">
        <f t="shared" si="18"/>
        <v>100</v>
      </c>
      <c r="AK44" s="1">
        <f t="shared" si="19"/>
        <v>100</v>
      </c>
      <c r="AL44" s="1">
        <f t="shared" si="20"/>
        <v>100</v>
      </c>
      <c r="AM44" s="1">
        <f t="shared" si="21"/>
        <v>100</v>
      </c>
      <c r="AN44" s="1">
        <f t="shared" si="22"/>
        <v>100</v>
      </c>
      <c r="AO44" s="1">
        <f t="shared" si="23"/>
        <v>100</v>
      </c>
      <c r="AP44" s="1">
        <f t="shared" si="24"/>
        <v>100</v>
      </c>
      <c r="AQ44" s="1">
        <f t="shared" si="25"/>
        <v>100</v>
      </c>
      <c r="AR44" s="1">
        <f t="shared" si="26"/>
        <v>100</v>
      </c>
      <c r="AS44" s="1">
        <f t="shared" si="27"/>
        <v>100</v>
      </c>
      <c r="AT44" s="1">
        <f t="shared" si="28"/>
        <v>100</v>
      </c>
      <c r="AU44" s="1">
        <f t="shared" ref="AU44:AW44" si="71">AT44*O44</f>
        <v>100</v>
      </c>
      <c r="AV44" s="1">
        <f t="shared" si="71"/>
        <v>100</v>
      </c>
      <c r="AW44" s="1">
        <f t="shared" si="71"/>
        <v>100</v>
      </c>
      <c r="AX44" s="1" t="b">
        <f t="shared" si="30"/>
        <v>1</v>
      </c>
      <c r="AY44" s="1" t="s">
        <v>55</v>
      </c>
      <c r="AZ44" s="1">
        <v>4</v>
      </c>
      <c r="BA44" s="1" t="s">
        <v>243</v>
      </c>
      <c r="BB44" s="1" t="s">
        <v>244</v>
      </c>
      <c r="BC44" s="1">
        <v>4.6279761451362483E-3</v>
      </c>
    </row>
    <row r="45" spans="1:55" x14ac:dyDescent="0.35">
      <c r="A45" s="1" t="s">
        <v>56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1.0215686371748984</v>
      </c>
      <c r="N45" s="1">
        <v>1.0029241825745847</v>
      </c>
      <c r="O45" s="1">
        <v>1.0345962882634061</v>
      </c>
      <c r="P45" s="1">
        <v>1.0126278572712624</v>
      </c>
      <c r="Q45" s="1">
        <v>1</v>
      </c>
      <c r="S45" s="1">
        <f t="shared" si="0"/>
        <v>100</v>
      </c>
      <c r="T45" s="1">
        <f t="shared" si="3"/>
        <v>100</v>
      </c>
      <c r="U45" s="1">
        <f t="shared" si="4"/>
        <v>100</v>
      </c>
      <c r="V45" s="1">
        <f t="shared" si="5"/>
        <v>100</v>
      </c>
      <c r="W45" s="1">
        <f t="shared" si="6"/>
        <v>100</v>
      </c>
      <c r="X45" s="1">
        <f t="shared" si="7"/>
        <v>100</v>
      </c>
      <c r="Y45" s="1">
        <f t="shared" si="8"/>
        <v>100</v>
      </c>
      <c r="Z45" s="1">
        <f t="shared" si="9"/>
        <v>100</v>
      </c>
      <c r="AA45" s="1">
        <f t="shared" si="10"/>
        <v>100</v>
      </c>
      <c r="AB45" s="1">
        <f t="shared" si="11"/>
        <v>100</v>
      </c>
      <c r="AC45" s="1">
        <f t="shared" si="12"/>
        <v>102.15686371748984</v>
      </c>
      <c r="AD45" s="1">
        <f t="shared" si="13"/>
        <v>102.45558903824676</v>
      </c>
      <c r="AE45" s="1">
        <f t="shared" si="14"/>
        <v>100.38437106297805</v>
      </c>
      <c r="AF45" s="1">
        <f t="shared" si="15"/>
        <v>0.9961710069116545</v>
      </c>
      <c r="AH45" s="1" t="str">
        <f t="shared" si="16"/>
        <v>C1079.23911</v>
      </c>
      <c r="AI45" s="1">
        <f t="shared" si="17"/>
        <v>99.617100691165447</v>
      </c>
      <c r="AJ45" s="1">
        <f t="shared" si="18"/>
        <v>99.617100691165447</v>
      </c>
      <c r="AK45" s="1">
        <f t="shared" si="19"/>
        <v>99.617100691165447</v>
      </c>
      <c r="AL45" s="1">
        <f t="shared" si="20"/>
        <v>99.617100691165447</v>
      </c>
      <c r="AM45" s="1">
        <f t="shared" si="21"/>
        <v>99.617100691165447</v>
      </c>
      <c r="AN45" s="1">
        <f t="shared" si="22"/>
        <v>99.617100691165447</v>
      </c>
      <c r="AO45" s="1">
        <f t="shared" si="23"/>
        <v>99.617100691165447</v>
      </c>
      <c r="AP45" s="1">
        <f t="shared" si="24"/>
        <v>99.617100691165447</v>
      </c>
      <c r="AQ45" s="1">
        <f t="shared" si="25"/>
        <v>99.617100691165447</v>
      </c>
      <c r="AR45" s="1">
        <f t="shared" si="26"/>
        <v>99.617100691165447</v>
      </c>
      <c r="AS45" s="1">
        <f t="shared" si="27"/>
        <v>101.76570579238852</v>
      </c>
      <c r="AT45" s="1">
        <f t="shared" si="28"/>
        <v>102.06328729595694</v>
      </c>
      <c r="AU45" s="1">
        <f t="shared" ref="AU45:AW45" si="72">AT45*O45</f>
        <v>105.59429820435869</v>
      </c>
      <c r="AV45" s="1">
        <f t="shared" si="72"/>
        <v>106.92772793074245</v>
      </c>
      <c r="AW45" s="1">
        <f t="shared" si="72"/>
        <v>106.92772793074245</v>
      </c>
      <c r="AX45" s="1" t="b">
        <f t="shared" si="30"/>
        <v>1</v>
      </c>
      <c r="AY45" s="1" t="s">
        <v>56</v>
      </c>
      <c r="AZ45" s="1">
        <v>4</v>
      </c>
      <c r="BA45" s="1" t="s">
        <v>245</v>
      </c>
      <c r="BB45" s="1" t="s">
        <v>246</v>
      </c>
      <c r="BC45" s="1">
        <v>7.4112532157244284E-3</v>
      </c>
    </row>
    <row r="46" spans="1:55" x14ac:dyDescent="0.35">
      <c r="A46" s="1" t="s">
        <v>57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1.063241106719367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1.048327137546468</v>
      </c>
      <c r="N46" s="1">
        <v>1</v>
      </c>
      <c r="O46" s="1">
        <v>1</v>
      </c>
      <c r="P46" s="1">
        <v>1</v>
      </c>
      <c r="Q46" s="1">
        <v>1</v>
      </c>
      <c r="S46" s="1">
        <f t="shared" si="0"/>
        <v>100</v>
      </c>
      <c r="T46" s="1">
        <f t="shared" si="3"/>
        <v>100</v>
      </c>
      <c r="U46" s="1">
        <f t="shared" si="4"/>
        <v>100</v>
      </c>
      <c r="V46" s="1">
        <f t="shared" si="5"/>
        <v>100</v>
      </c>
      <c r="W46" s="1">
        <f t="shared" si="6"/>
        <v>106.32411067193669</v>
      </c>
      <c r="X46" s="1">
        <f t="shared" si="7"/>
        <v>106.32411067193669</v>
      </c>
      <c r="Y46" s="1">
        <f t="shared" si="8"/>
        <v>106.32411067193669</v>
      </c>
      <c r="Z46" s="1">
        <f t="shared" si="9"/>
        <v>106.32411067193669</v>
      </c>
      <c r="AA46" s="1">
        <f t="shared" si="10"/>
        <v>106.32411067193669</v>
      </c>
      <c r="AB46" s="1">
        <f t="shared" si="11"/>
        <v>106.32411067193669</v>
      </c>
      <c r="AC46" s="1">
        <f t="shared" si="12"/>
        <v>111.46245059288526</v>
      </c>
      <c r="AD46" s="1">
        <f t="shared" si="13"/>
        <v>111.46245059288526</v>
      </c>
      <c r="AE46" s="1">
        <f t="shared" si="14"/>
        <v>105.0724637681159</v>
      </c>
      <c r="AF46" s="1">
        <f t="shared" si="15"/>
        <v>0.95172413793103494</v>
      </c>
      <c r="AH46" s="1" t="str">
        <f t="shared" si="16"/>
        <v>C1079.23912</v>
      </c>
      <c r="AI46" s="1">
        <f t="shared" si="17"/>
        <v>95.172413793103487</v>
      </c>
      <c r="AJ46" s="1">
        <f t="shared" si="18"/>
        <v>95.172413793103487</v>
      </c>
      <c r="AK46" s="1">
        <f t="shared" si="19"/>
        <v>95.172413793103487</v>
      </c>
      <c r="AL46" s="1">
        <f t="shared" si="20"/>
        <v>95.172413793103487</v>
      </c>
      <c r="AM46" s="1">
        <f t="shared" si="21"/>
        <v>101.1912225705329</v>
      </c>
      <c r="AN46" s="1">
        <f t="shared" si="22"/>
        <v>101.1912225705329</v>
      </c>
      <c r="AO46" s="1">
        <f t="shared" si="23"/>
        <v>101.1912225705329</v>
      </c>
      <c r="AP46" s="1">
        <f t="shared" si="24"/>
        <v>101.1912225705329</v>
      </c>
      <c r="AQ46" s="1">
        <f t="shared" si="25"/>
        <v>101.1912225705329</v>
      </c>
      <c r="AR46" s="1">
        <f t="shared" si="26"/>
        <v>101.1912225705329</v>
      </c>
      <c r="AS46" s="1">
        <f t="shared" si="27"/>
        <v>106.08150470219429</v>
      </c>
      <c r="AT46" s="1">
        <f t="shared" si="28"/>
        <v>106.08150470219429</v>
      </c>
      <c r="AU46" s="1">
        <f t="shared" ref="AU46:AW46" si="73">AT46*O46</f>
        <v>106.08150470219429</v>
      </c>
      <c r="AV46" s="1">
        <f t="shared" si="73"/>
        <v>106.08150470219429</v>
      </c>
      <c r="AW46" s="1">
        <f t="shared" si="73"/>
        <v>106.08150470219429</v>
      </c>
      <c r="AX46" s="1" t="b">
        <f t="shared" si="30"/>
        <v>1</v>
      </c>
      <c r="AY46" s="1" t="s">
        <v>57</v>
      </c>
      <c r="AZ46" s="1">
        <v>4</v>
      </c>
      <c r="BA46" s="1" t="s">
        <v>247</v>
      </c>
      <c r="BB46" s="1" t="s">
        <v>248</v>
      </c>
      <c r="BC46" s="1">
        <v>2.9645012862897714E-3</v>
      </c>
    </row>
    <row r="47" spans="1:55" x14ac:dyDescent="0.35">
      <c r="A47" s="1" t="s">
        <v>58</v>
      </c>
      <c r="B47" s="1">
        <v>1</v>
      </c>
      <c r="C47" s="1">
        <v>1</v>
      </c>
      <c r="D47" s="1">
        <v>1</v>
      </c>
      <c r="E47" s="1">
        <v>1</v>
      </c>
      <c r="F47" s="1">
        <v>1.0163170163170161</v>
      </c>
      <c r="G47" s="1">
        <v>0.99885321100917435</v>
      </c>
      <c r="H47" s="1">
        <v>1.0028702640642939</v>
      </c>
      <c r="I47" s="1">
        <v>1</v>
      </c>
      <c r="J47" s="1">
        <v>1.0005724098454489</v>
      </c>
      <c r="K47" s="1">
        <v>1.0005720823798629</v>
      </c>
      <c r="L47" s="1">
        <v>1</v>
      </c>
      <c r="M47" s="1">
        <v>1</v>
      </c>
      <c r="N47" s="1">
        <v>1</v>
      </c>
      <c r="O47" s="1">
        <v>1</v>
      </c>
      <c r="P47" s="1">
        <v>1.000571755288737</v>
      </c>
      <c r="Q47" s="1">
        <v>1</v>
      </c>
      <c r="S47" s="1">
        <f t="shared" si="0"/>
        <v>100</v>
      </c>
      <c r="T47" s="1">
        <f t="shared" si="3"/>
        <v>100</v>
      </c>
      <c r="U47" s="1">
        <f t="shared" si="4"/>
        <v>100</v>
      </c>
      <c r="V47" s="1">
        <f t="shared" si="5"/>
        <v>101.63170163170162</v>
      </c>
      <c r="W47" s="1">
        <f t="shared" si="6"/>
        <v>101.5151515151515</v>
      </c>
      <c r="X47" s="1">
        <f t="shared" si="7"/>
        <v>101.80652680652679</v>
      </c>
      <c r="Y47" s="1">
        <f t="shared" si="8"/>
        <v>101.80652680652679</v>
      </c>
      <c r="Z47" s="1">
        <f t="shared" si="9"/>
        <v>101.86480186480181</v>
      </c>
      <c r="AA47" s="1">
        <f t="shared" si="10"/>
        <v>101.92307692307689</v>
      </c>
      <c r="AB47" s="1">
        <f t="shared" si="11"/>
        <v>101.92307692307689</v>
      </c>
      <c r="AC47" s="1">
        <f t="shared" si="12"/>
        <v>101.92307692307689</v>
      </c>
      <c r="AD47" s="1">
        <f t="shared" si="13"/>
        <v>101.92307692307689</v>
      </c>
      <c r="AE47" s="1">
        <f t="shared" si="14"/>
        <v>101.35975135975134</v>
      </c>
      <c r="AF47" s="1">
        <f t="shared" si="15"/>
        <v>0.98658489842851682</v>
      </c>
      <c r="AH47" s="1" t="str">
        <f t="shared" si="16"/>
        <v>C1079.23921</v>
      </c>
      <c r="AI47" s="1">
        <f t="shared" si="17"/>
        <v>98.658489842851679</v>
      </c>
      <c r="AJ47" s="1">
        <f t="shared" si="18"/>
        <v>98.658489842851679</v>
      </c>
      <c r="AK47" s="1">
        <f t="shared" si="19"/>
        <v>98.658489842851679</v>
      </c>
      <c r="AL47" s="1">
        <f t="shared" si="20"/>
        <v>100.26830203142967</v>
      </c>
      <c r="AM47" s="1">
        <f t="shared" si="21"/>
        <v>100.15331544653124</v>
      </c>
      <c r="AN47" s="1">
        <f t="shared" si="22"/>
        <v>100.44078190877731</v>
      </c>
      <c r="AO47" s="1">
        <f t="shared" si="23"/>
        <v>100.44078190877731</v>
      </c>
      <c r="AP47" s="1">
        <f t="shared" si="24"/>
        <v>100.49827520122648</v>
      </c>
      <c r="AQ47" s="1">
        <f t="shared" si="25"/>
        <v>100.55576849367573</v>
      </c>
      <c r="AR47" s="1">
        <f t="shared" si="26"/>
        <v>100.55576849367573</v>
      </c>
      <c r="AS47" s="1">
        <f t="shared" si="27"/>
        <v>100.55576849367573</v>
      </c>
      <c r="AT47" s="1">
        <f t="shared" si="28"/>
        <v>100.55576849367573</v>
      </c>
      <c r="AU47" s="1">
        <f t="shared" ref="AU47:AW47" si="74">AT47*O47</f>
        <v>100.55576849367573</v>
      </c>
      <c r="AV47" s="1">
        <f t="shared" si="74"/>
        <v>100.61326178612499</v>
      </c>
      <c r="AW47" s="1">
        <f t="shared" si="74"/>
        <v>100.61326178612499</v>
      </c>
      <c r="AX47" s="1" t="b">
        <f t="shared" si="30"/>
        <v>1</v>
      </c>
      <c r="AY47" s="1" t="s">
        <v>58</v>
      </c>
      <c r="AZ47" s="1">
        <v>4</v>
      </c>
      <c r="BA47" s="1" t="s">
        <v>249</v>
      </c>
      <c r="BB47" s="1" t="s">
        <v>250</v>
      </c>
      <c r="BC47" s="1">
        <v>2.9645012862897714E-3</v>
      </c>
    </row>
    <row r="48" spans="1:55" x14ac:dyDescent="0.35">
      <c r="A48" s="1" t="s">
        <v>59</v>
      </c>
      <c r="B48" s="1">
        <v>1</v>
      </c>
      <c r="C48" s="1">
        <v>1</v>
      </c>
      <c r="D48" s="1">
        <v>1.003979955040011</v>
      </c>
      <c r="E48" s="1">
        <v>1</v>
      </c>
      <c r="F48" s="1">
        <v>1.0023468468542327</v>
      </c>
      <c r="G48" s="1">
        <v>0.99987826402378577</v>
      </c>
      <c r="H48" s="1">
        <v>1.0004860280992995</v>
      </c>
      <c r="I48" s="1">
        <v>1.0036612777110823</v>
      </c>
      <c r="J48" s="1">
        <v>1</v>
      </c>
      <c r="K48" s="1">
        <v>1</v>
      </c>
      <c r="L48" s="1">
        <v>1.0001208678520677</v>
      </c>
      <c r="M48" s="1">
        <v>1</v>
      </c>
      <c r="N48" s="1">
        <v>1.0160910189861754</v>
      </c>
      <c r="O48" s="1">
        <v>0.9868574277058737</v>
      </c>
      <c r="P48" s="1">
        <v>1</v>
      </c>
      <c r="Q48" s="1">
        <v>1</v>
      </c>
      <c r="S48" s="1">
        <f t="shared" si="0"/>
        <v>100</v>
      </c>
      <c r="T48" s="1">
        <f t="shared" si="3"/>
        <v>100.3979955040011</v>
      </c>
      <c r="U48" s="1">
        <f t="shared" si="4"/>
        <v>100.3979955040011</v>
      </c>
      <c r="V48" s="1">
        <f t="shared" si="5"/>
        <v>100.63361422392093</v>
      </c>
      <c r="W48" s="1">
        <f t="shared" si="6"/>
        <v>100.62136349265342</v>
      </c>
      <c r="X48" s="1">
        <f t="shared" si="7"/>
        <v>100.67026830270068</v>
      </c>
      <c r="Y48" s="1">
        <f t="shared" si="8"/>
        <v>101.03885011220602</v>
      </c>
      <c r="Z48" s="1">
        <f t="shared" si="9"/>
        <v>101.03885011220602</v>
      </c>
      <c r="AA48" s="1">
        <f t="shared" si="10"/>
        <v>101.03885011220602</v>
      </c>
      <c r="AB48" s="1">
        <f t="shared" si="11"/>
        <v>101.05106246099447</v>
      </c>
      <c r="AC48" s="1">
        <f t="shared" si="12"/>
        <v>101.05106246099447</v>
      </c>
      <c r="AD48" s="1">
        <f t="shared" si="13"/>
        <v>102.67707702562753</v>
      </c>
      <c r="AE48" s="1">
        <f t="shared" si="14"/>
        <v>100.88474910929263</v>
      </c>
      <c r="AF48" s="1">
        <f t="shared" si="15"/>
        <v>0.99123010051465621</v>
      </c>
      <c r="AH48" s="1" t="str">
        <f t="shared" si="16"/>
        <v>C1079.23992</v>
      </c>
      <c r="AI48" s="1">
        <f t="shared" si="17"/>
        <v>99.123010051465627</v>
      </c>
      <c r="AJ48" s="1">
        <f t="shared" si="18"/>
        <v>99.517515174901021</v>
      </c>
      <c r="AK48" s="1">
        <f t="shared" si="19"/>
        <v>99.517515174901021</v>
      </c>
      <c r="AL48" s="1">
        <f t="shared" si="20"/>
        <v>99.751067542330276</v>
      </c>
      <c r="AM48" s="1">
        <f t="shared" si="21"/>
        <v>99.73892424874461</v>
      </c>
      <c r="AN48" s="1">
        <f t="shared" si="22"/>
        <v>99.787400168523405</v>
      </c>
      <c r="AO48" s="1">
        <f t="shared" si="23"/>
        <v>100.15274955260726</v>
      </c>
      <c r="AP48" s="1">
        <f t="shared" si="24"/>
        <v>100.15274955260726</v>
      </c>
      <c r="AQ48" s="1">
        <f t="shared" si="25"/>
        <v>100.15274955260726</v>
      </c>
      <c r="AR48" s="1">
        <f t="shared" si="26"/>
        <v>100.16485480032435</v>
      </c>
      <c r="AS48" s="1">
        <f t="shared" si="27"/>
        <v>100.16485480032435</v>
      </c>
      <c r="AT48" s="1">
        <f t="shared" si="28"/>
        <v>101.77660938066387</v>
      </c>
      <c r="AU48" s="1">
        <f t="shared" ref="AU48:AW48" si="75">AT48*O48</f>
        <v>100.43900293402744</v>
      </c>
      <c r="AV48" s="1">
        <f t="shared" si="75"/>
        <v>100.43900293402744</v>
      </c>
      <c r="AW48" s="1">
        <f t="shared" si="75"/>
        <v>100.43900293402744</v>
      </c>
      <c r="AX48" s="1" t="b">
        <f t="shared" si="30"/>
        <v>1</v>
      </c>
      <c r="AY48" s="1" t="s">
        <v>59</v>
      </c>
      <c r="AZ48" s="1">
        <v>4</v>
      </c>
      <c r="BA48" s="1" t="s">
        <v>251</v>
      </c>
      <c r="BB48" s="1" t="s">
        <v>252</v>
      </c>
      <c r="BC48" s="1">
        <v>4.4467519294346574E-3</v>
      </c>
    </row>
    <row r="49" spans="1:55" x14ac:dyDescent="0.35">
      <c r="A49" s="1" t="s">
        <v>60</v>
      </c>
      <c r="B49" s="1">
        <v>1.0005228345877646</v>
      </c>
      <c r="C49" s="1">
        <v>1</v>
      </c>
      <c r="D49" s="1">
        <v>0.99990293003127872</v>
      </c>
      <c r="E49" s="1">
        <v>0.9999390085866352</v>
      </c>
      <c r="F49" s="1">
        <v>1.0012488846707981</v>
      </c>
      <c r="G49" s="1">
        <v>0.99834939307275117</v>
      </c>
      <c r="H49" s="1">
        <v>1.0005522276649021</v>
      </c>
      <c r="I49" s="1">
        <v>1.0018175492546044</v>
      </c>
      <c r="J49" s="1">
        <v>1.0010379433601875</v>
      </c>
      <c r="K49" s="1">
        <v>0.99885379147686837</v>
      </c>
      <c r="L49" s="1">
        <v>0.99979407506779761</v>
      </c>
      <c r="M49" s="1">
        <v>0.99987818200290202</v>
      </c>
      <c r="N49" s="1">
        <v>0.99274878934937827</v>
      </c>
      <c r="O49" s="1">
        <v>1.0049133413314146</v>
      </c>
      <c r="P49" s="1">
        <v>1.0187415983896366</v>
      </c>
      <c r="Q49" s="1">
        <v>1.0036987683464824</v>
      </c>
      <c r="S49" s="1">
        <f t="shared" si="0"/>
        <v>100</v>
      </c>
      <c r="T49" s="1">
        <f t="shared" si="3"/>
        <v>99.990293003127874</v>
      </c>
      <c r="U49" s="1">
        <f t="shared" si="4"/>
        <v>99.98419445383486</v>
      </c>
      <c r="V49" s="1">
        <f t="shared" si="5"/>
        <v>100.10906318161035</v>
      </c>
      <c r="W49" s="1">
        <f t="shared" si="6"/>
        <v>99.943822468442391</v>
      </c>
      <c r="X49" s="1">
        <f t="shared" si="7"/>
        <v>99.999014212145539</v>
      </c>
      <c r="Y49" s="1">
        <f t="shared" si="8"/>
        <v>100.180767345888</v>
      </c>
      <c r="Z49" s="1">
        <f t="shared" si="9"/>
        <v>100.28474930817315</v>
      </c>
      <c r="AA49" s="1">
        <f t="shared" si="10"/>
        <v>100.169802073776</v>
      </c>
      <c r="AB49" s="1">
        <f t="shared" si="11"/>
        <v>100.14917461407522</v>
      </c>
      <c r="AC49" s="1">
        <f t="shared" si="12"/>
        <v>100.13697464221272</v>
      </c>
      <c r="AD49" s="1">
        <f t="shared" si="13"/>
        <v>99.410860345166071</v>
      </c>
      <c r="AE49" s="1">
        <f t="shared" si="14"/>
        <v>100.02989297070435</v>
      </c>
      <c r="AF49" s="1">
        <f t="shared" si="15"/>
        <v>0.99970115962522221</v>
      </c>
      <c r="AH49" s="1" t="str">
        <f t="shared" si="16"/>
        <v>C1079.23995</v>
      </c>
      <c r="AI49" s="1">
        <f t="shared" si="17"/>
        <v>99.970115962522215</v>
      </c>
      <c r="AJ49" s="1">
        <f t="shared" si="18"/>
        <v>99.960411866492677</v>
      </c>
      <c r="AK49" s="1">
        <f t="shared" si="19"/>
        <v>99.954315139692426</v>
      </c>
      <c r="AL49" s="1">
        <f t="shared" si="20"/>
        <v>100.07914655165051</v>
      </c>
      <c r="AM49" s="1">
        <f t="shared" si="21"/>
        <v>99.913955219079199</v>
      </c>
      <c r="AN49" s="1">
        <f t="shared" si="22"/>
        <v>99.969130469260975</v>
      </c>
      <c r="AO49" s="1">
        <f t="shared" si="23"/>
        <v>100.15082928782883</v>
      </c>
      <c r="AP49" s="1">
        <f t="shared" si="24"/>
        <v>100.2547801761054</v>
      </c>
      <c r="AQ49" s="1">
        <f t="shared" si="25"/>
        <v>100.13986729258285</v>
      </c>
      <c r="AR49" s="1">
        <f t="shared" si="26"/>
        <v>100.11924599719987</v>
      </c>
      <c r="AS49" s="1">
        <f t="shared" si="27"/>
        <v>100.10704967118153</v>
      </c>
      <c r="AT49" s="1">
        <f t="shared" si="28"/>
        <v>99.381152366403541</v>
      </c>
      <c r="AU49" s="1">
        <f t="shared" ref="AU49:AW49" si="76">AT49*O49</f>
        <v>99.869445889889008</v>
      </c>
      <c r="AV49" s="1">
        <f t="shared" si="76"/>
        <v>101.74115893615286</v>
      </c>
      <c r="AW49" s="1">
        <f t="shared" si="76"/>
        <v>102.11747591436034</v>
      </c>
      <c r="AX49" s="1" t="b">
        <f t="shared" si="30"/>
        <v>1</v>
      </c>
      <c r="AY49" s="1" t="s">
        <v>60</v>
      </c>
      <c r="AZ49" s="1">
        <v>4</v>
      </c>
      <c r="BA49" s="1" t="s">
        <v>253</v>
      </c>
      <c r="BB49" s="1" t="s">
        <v>254</v>
      </c>
      <c r="BC49" s="1">
        <v>5.9290025725795429E-3</v>
      </c>
    </row>
    <row r="50" spans="1:55" x14ac:dyDescent="0.35">
      <c r="A50" s="1" t="s">
        <v>61</v>
      </c>
      <c r="B50" s="1">
        <v>1.02087585120452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1.0064266135102464</v>
      </c>
      <c r="I50" s="1">
        <v>1</v>
      </c>
      <c r="J50" s="1">
        <v>1.0010282952943128</v>
      </c>
      <c r="K50" s="1">
        <v>1.0331316552862142</v>
      </c>
      <c r="L50" s="1">
        <v>1.0009045800911462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S50" s="1">
        <f t="shared" si="0"/>
        <v>100</v>
      </c>
      <c r="T50" s="1">
        <f t="shared" si="3"/>
        <v>100</v>
      </c>
      <c r="U50" s="1">
        <f t="shared" si="4"/>
        <v>100</v>
      </c>
      <c r="V50" s="1">
        <f t="shared" si="5"/>
        <v>100</v>
      </c>
      <c r="W50" s="1">
        <f t="shared" si="6"/>
        <v>100</v>
      </c>
      <c r="X50" s="1">
        <f t="shared" si="7"/>
        <v>100.64266135102464</v>
      </c>
      <c r="Y50" s="1">
        <f t="shared" si="8"/>
        <v>100.64266135102464</v>
      </c>
      <c r="Z50" s="1">
        <f t="shared" si="9"/>
        <v>100.74615172609901</v>
      </c>
      <c r="AA50" s="1">
        <f t="shared" si="10"/>
        <v>104.08403849650077</v>
      </c>
      <c r="AB50" s="1">
        <f t="shared" si="11"/>
        <v>104.17819084553081</v>
      </c>
      <c r="AC50" s="1">
        <f t="shared" si="12"/>
        <v>104.17819084553081</v>
      </c>
      <c r="AD50" s="1">
        <f t="shared" si="13"/>
        <v>104.17819084553081</v>
      </c>
      <c r="AE50" s="1">
        <f t="shared" si="14"/>
        <v>101.55417378843678</v>
      </c>
      <c r="AF50" s="1">
        <f t="shared" si="15"/>
        <v>0.98469611114483069</v>
      </c>
      <c r="AH50" s="1" t="str">
        <f t="shared" si="16"/>
        <v>C1079.23996</v>
      </c>
      <c r="AI50" s="1">
        <f t="shared" si="17"/>
        <v>98.469611114483072</v>
      </c>
      <c r="AJ50" s="1">
        <f t="shared" si="18"/>
        <v>98.469611114483072</v>
      </c>
      <c r="AK50" s="1">
        <f t="shared" si="19"/>
        <v>98.469611114483072</v>
      </c>
      <c r="AL50" s="1">
        <f t="shared" si="20"/>
        <v>98.469611114483072</v>
      </c>
      <c r="AM50" s="1">
        <f t="shared" si="21"/>
        <v>98.469611114483072</v>
      </c>
      <c r="AN50" s="1">
        <f t="shared" si="22"/>
        <v>99.102437247620117</v>
      </c>
      <c r="AO50" s="1">
        <f t="shared" si="23"/>
        <v>99.102437247620117</v>
      </c>
      <c r="AP50" s="1">
        <f t="shared" si="24"/>
        <v>99.204343817496778</v>
      </c>
      <c r="AQ50" s="1">
        <f t="shared" si="25"/>
        <v>102.49114793975316</v>
      </c>
      <c r="AR50" s="1">
        <f t="shared" si="26"/>
        <v>102.58385939169818</v>
      </c>
      <c r="AS50" s="1">
        <f t="shared" si="27"/>
        <v>102.58385939169818</v>
      </c>
      <c r="AT50" s="1">
        <f t="shared" si="28"/>
        <v>102.58385939169818</v>
      </c>
      <c r="AU50" s="1">
        <f t="shared" ref="AU50:AW50" si="77">AT50*O50</f>
        <v>102.58385939169818</v>
      </c>
      <c r="AV50" s="1">
        <f t="shared" si="77"/>
        <v>102.58385939169818</v>
      </c>
      <c r="AW50" s="1">
        <f t="shared" si="77"/>
        <v>102.58385939169818</v>
      </c>
      <c r="AX50" s="1" t="b">
        <f t="shared" si="30"/>
        <v>1</v>
      </c>
      <c r="AY50" s="1" t="s">
        <v>61</v>
      </c>
      <c r="AZ50" s="1">
        <v>4</v>
      </c>
      <c r="BA50" s="1" t="s">
        <v>255</v>
      </c>
      <c r="BB50" s="1" t="s">
        <v>256</v>
      </c>
      <c r="BC50" s="1">
        <v>2.9645012862897714E-3</v>
      </c>
    </row>
    <row r="51" spans="1:55" x14ac:dyDescent="0.35">
      <c r="A51" s="1" t="s">
        <v>62</v>
      </c>
      <c r="B51" s="1">
        <v>1.0041461132886589</v>
      </c>
      <c r="C51" s="1">
        <v>1</v>
      </c>
      <c r="D51" s="1">
        <v>0.99960543641666011</v>
      </c>
      <c r="E51" s="1">
        <v>1.0001641927409179</v>
      </c>
      <c r="F51" s="1">
        <v>0.99976485534261794</v>
      </c>
      <c r="G51" s="1">
        <v>0.99984162331886328</v>
      </c>
      <c r="H51" s="1">
        <v>0.99957634790665162</v>
      </c>
      <c r="I51" s="1">
        <v>1.0002039826881199</v>
      </c>
      <c r="J51" s="1">
        <v>0.99973256221449447</v>
      </c>
      <c r="K51" s="1">
        <v>1.0001026631976755</v>
      </c>
      <c r="L51" s="1">
        <v>0.99976418271765111</v>
      </c>
      <c r="M51" s="1">
        <v>0.97938747774021584</v>
      </c>
      <c r="N51" s="1">
        <v>0.99309648312492615</v>
      </c>
      <c r="O51" s="1">
        <v>0.99935895056197388</v>
      </c>
      <c r="P51" s="1">
        <v>1.0161985653762</v>
      </c>
      <c r="Q51" s="1">
        <v>1.0060302427976533</v>
      </c>
      <c r="S51" s="1">
        <f t="shared" si="0"/>
        <v>100</v>
      </c>
      <c r="T51" s="1">
        <f t="shared" si="3"/>
        <v>99.960543641666007</v>
      </c>
      <c r="U51" s="1">
        <f t="shared" si="4"/>
        <v>99.976956437310179</v>
      </c>
      <c r="V51" s="1">
        <f t="shared" si="5"/>
        <v>99.953447390142628</v>
      </c>
      <c r="W51" s="1">
        <f t="shared" si="6"/>
        <v>99.937617094876799</v>
      </c>
      <c r="X51" s="1">
        <f t="shared" si="7"/>
        <v>99.895278314190307</v>
      </c>
      <c r="Y51" s="1">
        <f t="shared" si="8"/>
        <v>99.915655221591322</v>
      </c>
      <c r="Z51" s="1">
        <f t="shared" si="9"/>
        <v>99.888934000021521</v>
      </c>
      <c r="AA51" s="1">
        <f t="shared" si="10"/>
        <v>99.899188917398362</v>
      </c>
      <c r="AB51" s="1">
        <f t="shared" si="11"/>
        <v>99.875630962159008</v>
      </c>
      <c r="AC51" s="1">
        <f t="shared" si="12"/>
        <v>97.816942295741512</v>
      </c>
      <c r="AD51" s="1">
        <f t="shared" si="13"/>
        <v>97.141661383934732</v>
      </c>
      <c r="AE51" s="1">
        <f t="shared" si="14"/>
        <v>99.521821304919357</v>
      </c>
      <c r="AF51" s="1">
        <f t="shared" si="15"/>
        <v>1.0048047623004766</v>
      </c>
      <c r="AH51" s="1" t="str">
        <f t="shared" si="16"/>
        <v>C1079.23999</v>
      </c>
      <c r="AI51" s="1">
        <f t="shared" si="17"/>
        <v>100.48047623004766</v>
      </c>
      <c r="AJ51" s="1">
        <f t="shared" si="18"/>
        <v>100.44083029329063</v>
      </c>
      <c r="AK51" s="1">
        <f t="shared" si="19"/>
        <v>100.45732194851655</v>
      </c>
      <c r="AL51" s="1">
        <f t="shared" si="20"/>
        <v>100.43369994596546</v>
      </c>
      <c r="AM51" s="1">
        <f t="shared" si="21"/>
        <v>100.41779358989372</v>
      </c>
      <c r="AN51" s="1">
        <f t="shared" si="22"/>
        <v>100.37525138142995</v>
      </c>
      <c r="AO51" s="1">
        <f t="shared" si="23"/>
        <v>100.39572619502744</v>
      </c>
      <c r="AP51" s="1">
        <f t="shared" si="24"/>
        <v>100.36887658433962</v>
      </c>
      <c r="AQ51" s="1">
        <f t="shared" si="25"/>
        <v>100.37918077415686</v>
      </c>
      <c r="AR51" s="1">
        <f t="shared" si="26"/>
        <v>100.35550962854229</v>
      </c>
      <c r="AS51" s="1">
        <f t="shared" si="27"/>
        <v>98.286929452431977</v>
      </c>
      <c r="AT51" s="1">
        <f t="shared" si="28"/>
        <v>97.60840397635792</v>
      </c>
      <c r="AU51" s="1">
        <f t="shared" ref="AU51:AW51" si="78">AT51*O51</f>
        <v>97.545832163842249</v>
      </c>
      <c r="AV51" s="1">
        <f t="shared" si="78"/>
        <v>99.125934703324077</v>
      </c>
      <c r="AW51" s="1">
        <f t="shared" si="78"/>
        <v>99.723688157129445</v>
      </c>
      <c r="AX51" s="1" t="b">
        <f t="shared" si="30"/>
        <v>1</v>
      </c>
      <c r="AY51" s="1" t="s">
        <v>62</v>
      </c>
      <c r="AZ51" s="1">
        <v>4</v>
      </c>
      <c r="BA51" s="1" t="s">
        <v>257</v>
      </c>
      <c r="BB51" s="1" t="s">
        <v>258</v>
      </c>
      <c r="BC51" s="1">
        <v>2.9645012862897714E-3</v>
      </c>
    </row>
    <row r="52" spans="1:55" x14ac:dyDescent="0.35">
      <c r="A52" s="1" t="s">
        <v>63</v>
      </c>
      <c r="B52" s="2">
        <v>1</v>
      </c>
      <c r="C52" s="1">
        <v>1</v>
      </c>
      <c r="D52" s="2">
        <v>1</v>
      </c>
      <c r="E52" s="2">
        <v>1</v>
      </c>
      <c r="F52" s="1">
        <v>1</v>
      </c>
      <c r="G52" s="1">
        <v>0.98961426692435916</v>
      </c>
      <c r="H52" s="1">
        <v>0.99028133062627743</v>
      </c>
      <c r="I52" s="1">
        <v>0.99209157586839836</v>
      </c>
      <c r="J52" s="1">
        <v>0.97687263932171309</v>
      </c>
      <c r="K52" s="1">
        <v>1.0418128725173641</v>
      </c>
      <c r="L52" s="1">
        <v>0.98992784762706376</v>
      </c>
      <c r="M52" s="1">
        <v>0.9845401549392101</v>
      </c>
      <c r="N52" s="1">
        <v>1.005962418509206</v>
      </c>
      <c r="O52" s="1">
        <v>0.99984827434481249</v>
      </c>
      <c r="P52" s="1">
        <v>1</v>
      </c>
      <c r="Q52" s="1">
        <v>1</v>
      </c>
      <c r="S52" s="1">
        <f t="shared" si="0"/>
        <v>100</v>
      </c>
      <c r="T52" s="1">
        <f t="shared" si="3"/>
        <v>100</v>
      </c>
      <c r="U52" s="1">
        <f t="shared" si="4"/>
        <v>100</v>
      </c>
      <c r="V52" s="1">
        <f t="shared" si="5"/>
        <v>100</v>
      </c>
      <c r="W52" s="1">
        <f t="shared" si="6"/>
        <v>98.961426692435921</v>
      </c>
      <c r="X52" s="1">
        <f t="shared" si="7"/>
        <v>97.99965330566026</v>
      </c>
      <c r="Y52" s="1">
        <f t="shared" si="8"/>
        <v>97.224630482569182</v>
      </c>
      <c r="Z52" s="1">
        <f t="shared" si="9"/>
        <v>94.976081386585633</v>
      </c>
      <c r="AA52" s="1">
        <f t="shared" si="10"/>
        <v>98.94730416980174</v>
      </c>
      <c r="AB52" s="1">
        <f t="shared" si="11"/>
        <v>97.950691845312221</v>
      </c>
      <c r="AC52" s="1">
        <f t="shared" si="12"/>
        <v>96.436389325786521</v>
      </c>
      <c r="AD52" s="1">
        <f t="shared" si="13"/>
        <v>97.011383438463582</v>
      </c>
      <c r="AE52" s="1">
        <f t="shared" si="14"/>
        <v>98.292296720551249</v>
      </c>
      <c r="AF52" s="1">
        <f t="shared" si="15"/>
        <v>1.0173737244567986</v>
      </c>
      <c r="AH52" s="1" t="str">
        <f t="shared" si="16"/>
        <v>C1080.23311</v>
      </c>
      <c r="AI52" s="1">
        <f t="shared" si="17"/>
        <v>101.73737244567987</v>
      </c>
      <c r="AJ52" s="1">
        <f t="shared" si="18"/>
        <v>101.73737244567987</v>
      </c>
      <c r="AK52" s="1">
        <f t="shared" si="19"/>
        <v>101.73737244567987</v>
      </c>
      <c r="AL52" s="1">
        <f t="shared" si="20"/>
        <v>101.73737244567987</v>
      </c>
      <c r="AM52" s="1">
        <f t="shared" si="21"/>
        <v>100.68075525164198</v>
      </c>
      <c r="AN52" s="1">
        <f t="shared" si="22"/>
        <v>99.702272279054597</v>
      </c>
      <c r="AO52" s="1">
        <f t="shared" si="23"/>
        <v>98.913784422987405</v>
      </c>
      <c r="AP52" s="1">
        <f t="shared" si="24"/>
        <v>96.626169654582654</v>
      </c>
      <c r="AQ52" s="1">
        <f t="shared" si="25"/>
        <v>100.66638736819091</v>
      </c>
      <c r="AR52" s="1">
        <f t="shared" si="26"/>
        <v>99.652460175785464</v>
      </c>
      <c r="AS52" s="1">
        <f t="shared" si="27"/>
        <v>98.111848581541295</v>
      </c>
      <c r="AT52" s="1">
        <f t="shared" si="28"/>
        <v>98.69683248349628</v>
      </c>
      <c r="AU52" s="1">
        <f t="shared" ref="AU52:AW52" si="79">AT52*O52</f>
        <v>98.68185764192279</v>
      </c>
      <c r="AV52" s="1">
        <f t="shared" si="79"/>
        <v>98.68185764192279</v>
      </c>
      <c r="AW52" s="1">
        <f t="shared" si="79"/>
        <v>98.68185764192279</v>
      </c>
      <c r="AX52" s="1" t="b">
        <f t="shared" si="30"/>
        <v>1</v>
      </c>
      <c r="AY52" s="1" t="s">
        <v>63</v>
      </c>
      <c r="AZ52" s="1">
        <v>4</v>
      </c>
      <c r="BA52" s="1" t="s">
        <v>259</v>
      </c>
      <c r="BB52" s="1" t="s">
        <v>260</v>
      </c>
      <c r="BC52" s="1">
        <v>1.4696192985026576E-2</v>
      </c>
    </row>
    <row r="53" spans="1:55" x14ac:dyDescent="0.35">
      <c r="A53" s="1" t="s">
        <v>64</v>
      </c>
      <c r="B53" s="1">
        <v>1.0235203977764984</v>
      </c>
      <c r="C53" s="1">
        <v>1</v>
      </c>
      <c r="D53" s="1">
        <v>0.9960956728355379</v>
      </c>
      <c r="E53" s="1">
        <v>0.99554906586350689</v>
      </c>
      <c r="F53" s="1">
        <v>0.99135609421079818</v>
      </c>
      <c r="G53" s="1">
        <v>0.99987207399009381</v>
      </c>
      <c r="H53" s="1">
        <v>0.99080409583700113</v>
      </c>
      <c r="I53" s="1">
        <v>1.0046905067988467</v>
      </c>
      <c r="J53" s="1">
        <v>0.99684192737760025</v>
      </c>
      <c r="K53" s="1">
        <v>0.99882491672091578</v>
      </c>
      <c r="L53" s="1">
        <v>0.9977014174708474</v>
      </c>
      <c r="M53" s="1">
        <v>0.99701394619462846</v>
      </c>
      <c r="N53" s="1">
        <v>1.0024587485454375</v>
      </c>
      <c r="O53" s="1">
        <v>0.99856119942372557</v>
      </c>
      <c r="P53" s="1">
        <v>1.0004781629279671</v>
      </c>
      <c r="Q53" s="1">
        <v>0.99980367105902146</v>
      </c>
      <c r="S53" s="1">
        <f t="shared" si="0"/>
        <v>100</v>
      </c>
      <c r="T53" s="1">
        <f t="shared" si="3"/>
        <v>99.609567283553787</v>
      </c>
      <c r="U53" s="1">
        <f t="shared" si="4"/>
        <v>99.166211660210109</v>
      </c>
      <c r="V53" s="1">
        <f t="shared" si="5"/>
        <v>98.309028269147205</v>
      </c>
      <c r="W53" s="1">
        <f t="shared" si="6"/>
        <v>98.296451987422984</v>
      </c>
      <c r="X53" s="1">
        <f t="shared" si="7"/>
        <v>97.392527235383824</v>
      </c>
      <c r="Y53" s="1">
        <f t="shared" si="8"/>
        <v>97.849347546538255</v>
      </c>
      <c r="Z53" s="1">
        <f t="shared" si="9"/>
        <v>97.540332200931857</v>
      </c>
      <c r="AA53" s="1">
        <f t="shared" si="10"/>
        <v>97.425714187526225</v>
      </c>
      <c r="AB53" s="1">
        <f t="shared" si="11"/>
        <v>97.201773143004559</v>
      </c>
      <c r="AC53" s="1">
        <f t="shared" si="12"/>
        <v>96.911523418422036</v>
      </c>
      <c r="AD53" s="1">
        <f t="shared" si="13"/>
        <v>97.149804485663211</v>
      </c>
      <c r="AE53" s="1">
        <f t="shared" si="14"/>
        <v>98.071023451483669</v>
      </c>
      <c r="AF53" s="1">
        <f t="shared" si="15"/>
        <v>1.0196691793419552</v>
      </c>
      <c r="AH53" s="1" t="str">
        <f t="shared" si="16"/>
        <v>C1080.23319</v>
      </c>
      <c r="AI53" s="1">
        <f t="shared" si="17"/>
        <v>101.96691793419552</v>
      </c>
      <c r="AJ53" s="1">
        <f t="shared" si="18"/>
        <v>101.56880572662857</v>
      </c>
      <c r="AK53" s="1">
        <f t="shared" si="19"/>
        <v>101.11672966201708</v>
      </c>
      <c r="AL53" s="1">
        <f t="shared" si="20"/>
        <v>100.24268617710641</v>
      </c>
      <c r="AM53" s="1">
        <f t="shared" si="21"/>
        <v>100.22986253024149</v>
      </c>
      <c r="AN53" s="1">
        <f t="shared" si="22"/>
        <v>99.308158320142851</v>
      </c>
      <c r="AO53" s="1">
        <f t="shared" si="23"/>
        <v>99.773963911924426</v>
      </c>
      <c r="AP53" s="1">
        <f t="shared" si="24"/>
        <v>99.45887048806587</v>
      </c>
      <c r="AQ53" s="1">
        <f t="shared" si="25"/>
        <v>99.341998032398749</v>
      </c>
      <c r="AR53" s="1">
        <f t="shared" si="26"/>
        <v>99.113652251310356</v>
      </c>
      <c r="AS53" s="1">
        <f t="shared" si="27"/>
        <v>98.817693552841078</v>
      </c>
      <c r="AT53" s="1">
        <f t="shared" si="28"/>
        <v>99.060661413127605</v>
      </c>
      <c r="AU53" s="1">
        <f t="shared" ref="AU53:AW53" si="80">AT53*O53</f>
        <v>98.918132876400264</v>
      </c>
      <c r="AV53" s="1">
        <f t="shared" si="80"/>
        <v>98.965431860445477</v>
      </c>
      <c r="AW53" s="1">
        <f t="shared" si="80"/>
        <v>98.946002082014829</v>
      </c>
      <c r="AX53" s="1" t="b">
        <f t="shared" si="30"/>
        <v>1</v>
      </c>
      <c r="AY53" s="1" t="s">
        <v>64</v>
      </c>
      <c r="AZ53" s="1">
        <v>4</v>
      </c>
      <c r="BA53" s="1" t="s">
        <v>261</v>
      </c>
      <c r="BB53" s="1" t="s">
        <v>262</v>
      </c>
      <c r="BC53" s="1">
        <v>1.2024157896839926E-2</v>
      </c>
    </row>
    <row r="54" spans="1:55" x14ac:dyDescent="0.35">
      <c r="A54" s="1" t="s">
        <v>65</v>
      </c>
      <c r="B54" s="1">
        <v>1</v>
      </c>
      <c r="C54" s="1">
        <v>1</v>
      </c>
      <c r="D54" s="1">
        <v>1</v>
      </c>
      <c r="E54" s="1">
        <v>1.0000160006400307</v>
      </c>
      <c r="F54" s="1">
        <v>1.0000000533333291</v>
      </c>
      <c r="G54" s="1">
        <v>1</v>
      </c>
      <c r="H54" s="1">
        <v>1</v>
      </c>
      <c r="I54" s="1">
        <v>1</v>
      </c>
      <c r="J54" s="1">
        <v>1.0000045803351758</v>
      </c>
      <c r="K54" s="1">
        <v>1</v>
      </c>
      <c r="L54" s="1">
        <v>1</v>
      </c>
      <c r="M54" s="1">
        <v>1</v>
      </c>
      <c r="N54" s="1">
        <v>1.0038021010736777</v>
      </c>
      <c r="O54" s="1">
        <v>1.0000092598165724</v>
      </c>
      <c r="P54" s="1">
        <v>1</v>
      </c>
      <c r="Q54" s="1">
        <v>1</v>
      </c>
      <c r="S54" s="1">
        <f t="shared" si="0"/>
        <v>100</v>
      </c>
      <c r="T54" s="1">
        <f t="shared" si="3"/>
        <v>100</v>
      </c>
      <c r="U54" s="1">
        <f t="shared" si="4"/>
        <v>100.00160006400307</v>
      </c>
      <c r="V54" s="1">
        <f t="shared" si="5"/>
        <v>100.00160539742132</v>
      </c>
      <c r="W54" s="1">
        <f t="shared" si="6"/>
        <v>100.00160539742132</v>
      </c>
      <c r="X54" s="1">
        <f t="shared" si="7"/>
        <v>100.00160539742132</v>
      </c>
      <c r="Y54" s="1">
        <f t="shared" si="8"/>
        <v>100.00160539742132</v>
      </c>
      <c r="Z54" s="1">
        <f t="shared" si="9"/>
        <v>100.00206343829215</v>
      </c>
      <c r="AA54" s="1">
        <f t="shared" si="10"/>
        <v>100.00206343829215</v>
      </c>
      <c r="AB54" s="1">
        <f t="shared" si="11"/>
        <v>100.00206343829215</v>
      </c>
      <c r="AC54" s="1">
        <f t="shared" si="12"/>
        <v>100.00206343829215</v>
      </c>
      <c r="AD54" s="1">
        <f t="shared" si="13"/>
        <v>100.38228139106087</v>
      </c>
      <c r="AE54" s="1">
        <f t="shared" si="14"/>
        <v>100.03321306649313</v>
      </c>
      <c r="AF54" s="1">
        <f t="shared" si="15"/>
        <v>0.99966797960922182</v>
      </c>
      <c r="AH54" s="1" t="str">
        <f t="shared" si="16"/>
        <v>C1103.24310</v>
      </c>
      <c r="AI54" s="1">
        <f t="shared" si="17"/>
        <v>99.966797960922179</v>
      </c>
      <c r="AJ54" s="1">
        <f t="shared" si="18"/>
        <v>99.966797960922179</v>
      </c>
      <c r="AK54" s="1">
        <f t="shared" si="19"/>
        <v>99.968397493671375</v>
      </c>
      <c r="AL54" s="1">
        <f t="shared" si="20"/>
        <v>99.968402825318819</v>
      </c>
      <c r="AM54" s="1">
        <f t="shared" si="21"/>
        <v>99.968402825318819</v>
      </c>
      <c r="AN54" s="1">
        <f t="shared" si="22"/>
        <v>99.968402825318819</v>
      </c>
      <c r="AO54" s="1">
        <f t="shared" si="23"/>
        <v>99.968402825318819</v>
      </c>
      <c r="AP54" s="1">
        <f t="shared" si="24"/>
        <v>99.968860714110747</v>
      </c>
      <c r="AQ54" s="1">
        <f t="shared" si="25"/>
        <v>99.968860714110747</v>
      </c>
      <c r="AR54" s="1">
        <f t="shared" si="26"/>
        <v>99.968860714110747</v>
      </c>
      <c r="AS54" s="1">
        <f t="shared" si="27"/>
        <v>99.968860714110747</v>
      </c>
      <c r="AT54" s="1">
        <f t="shared" si="28"/>
        <v>100.3489524267662</v>
      </c>
      <c r="AU54" s="1">
        <f t="shared" ref="AU54:AW54" si="81">AT54*O54</f>
        <v>100.3498816396589</v>
      </c>
      <c r="AV54" s="1">
        <f t="shared" si="81"/>
        <v>100.3498816396589</v>
      </c>
      <c r="AW54" s="1">
        <f t="shared" si="81"/>
        <v>100.3498816396589</v>
      </c>
      <c r="AX54" s="1" t="b">
        <f t="shared" si="30"/>
        <v>1</v>
      </c>
      <c r="AY54" s="1" t="s">
        <v>65</v>
      </c>
      <c r="AZ54" s="1">
        <v>4</v>
      </c>
      <c r="BA54" s="1" t="s">
        <v>263</v>
      </c>
      <c r="BB54" s="1" t="s">
        <v>264</v>
      </c>
      <c r="BC54" s="1">
        <v>6.7777780540725233E-3</v>
      </c>
    </row>
    <row r="55" spans="1:55" x14ac:dyDescent="0.35">
      <c r="A55" s="1" t="s">
        <v>66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0.99998888845676603</v>
      </c>
      <c r="K55" s="1">
        <v>1</v>
      </c>
      <c r="L55" s="1">
        <v>1</v>
      </c>
      <c r="M55" s="1">
        <v>1</v>
      </c>
      <c r="N55" s="1">
        <v>1</v>
      </c>
      <c r="O55" s="1">
        <v>0.98048995425674568</v>
      </c>
      <c r="P55" s="1">
        <v>1</v>
      </c>
      <c r="Q55" s="1">
        <v>1</v>
      </c>
      <c r="S55" s="1">
        <f t="shared" si="0"/>
        <v>100</v>
      </c>
      <c r="T55" s="1">
        <f t="shared" si="3"/>
        <v>100</v>
      </c>
      <c r="U55" s="1">
        <f t="shared" si="4"/>
        <v>100</v>
      </c>
      <c r="V55" s="1">
        <f t="shared" si="5"/>
        <v>100</v>
      </c>
      <c r="W55" s="1">
        <f t="shared" si="6"/>
        <v>100</v>
      </c>
      <c r="X55" s="1">
        <f t="shared" si="7"/>
        <v>100</v>
      </c>
      <c r="Y55" s="1">
        <f t="shared" si="8"/>
        <v>100</v>
      </c>
      <c r="Z55" s="1">
        <f t="shared" si="9"/>
        <v>99.998888845676603</v>
      </c>
      <c r="AA55" s="1">
        <f t="shared" si="10"/>
        <v>99.998888845676603</v>
      </c>
      <c r="AB55" s="1">
        <f t="shared" si="11"/>
        <v>99.998888845676603</v>
      </c>
      <c r="AC55" s="1">
        <f t="shared" si="12"/>
        <v>99.998888845676603</v>
      </c>
      <c r="AD55" s="1">
        <f t="shared" si="13"/>
        <v>99.998888845676603</v>
      </c>
      <c r="AE55" s="1">
        <f t="shared" si="14"/>
        <v>99.999537019031905</v>
      </c>
      <c r="AF55" s="1">
        <f t="shared" si="15"/>
        <v>1.0000046298311163</v>
      </c>
      <c r="AH55" s="1" t="str">
        <f t="shared" si="16"/>
        <v>C1104.24410</v>
      </c>
      <c r="AI55" s="1">
        <f t="shared" si="17"/>
        <v>100.00046298311163</v>
      </c>
      <c r="AJ55" s="1">
        <f t="shared" si="18"/>
        <v>100.00046298311163</v>
      </c>
      <c r="AK55" s="1">
        <f t="shared" si="19"/>
        <v>100.00046298311163</v>
      </c>
      <c r="AL55" s="1">
        <f t="shared" si="20"/>
        <v>100.00046298311163</v>
      </c>
      <c r="AM55" s="1">
        <f t="shared" si="21"/>
        <v>100.00046298311163</v>
      </c>
      <c r="AN55" s="1">
        <f t="shared" si="22"/>
        <v>100.00046298311163</v>
      </c>
      <c r="AO55" s="1">
        <f t="shared" si="23"/>
        <v>100.00046298311163</v>
      </c>
      <c r="AP55" s="1">
        <f t="shared" si="24"/>
        <v>99.999351823643778</v>
      </c>
      <c r="AQ55" s="1">
        <f t="shared" si="25"/>
        <v>99.999351823643778</v>
      </c>
      <c r="AR55" s="1">
        <f t="shared" si="26"/>
        <v>99.999351823643778</v>
      </c>
      <c r="AS55" s="1">
        <f t="shared" si="27"/>
        <v>99.999351823643778</v>
      </c>
      <c r="AT55" s="1">
        <f t="shared" si="28"/>
        <v>99.999351823643778</v>
      </c>
      <c r="AU55" s="1">
        <f t="shared" ref="AU55:AW55" si="82">AT55*O55</f>
        <v>98.048359895268703</v>
      </c>
      <c r="AV55" s="1">
        <f t="shared" si="82"/>
        <v>98.048359895268703</v>
      </c>
      <c r="AW55" s="1">
        <f t="shared" si="82"/>
        <v>98.048359895268703</v>
      </c>
      <c r="AX55" s="1" t="b">
        <f t="shared" si="30"/>
        <v>1</v>
      </c>
      <c r="AY55" s="1" t="s">
        <v>66</v>
      </c>
      <c r="AZ55" s="1">
        <v>4</v>
      </c>
      <c r="BA55" s="1" t="s">
        <v>265</v>
      </c>
      <c r="BB55" s="1" t="s">
        <v>266</v>
      </c>
      <c r="BC55" s="1">
        <v>1.0883230693514065E-3</v>
      </c>
    </row>
    <row r="56" spans="1:55" x14ac:dyDescent="0.35">
      <c r="A56" s="1" t="s">
        <v>267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0.99998417919313198</v>
      </c>
      <c r="K56" s="1">
        <v>1</v>
      </c>
      <c r="L56" s="1">
        <v>0.97501092247516186</v>
      </c>
      <c r="M56" s="1">
        <v>1</v>
      </c>
      <c r="N56" s="1">
        <v>1</v>
      </c>
      <c r="O56" s="1">
        <v>1</v>
      </c>
      <c r="P56" s="1">
        <v>1.0256370863621125</v>
      </c>
      <c r="Q56" s="1">
        <v>1</v>
      </c>
      <c r="S56" s="1">
        <f>C56*100</f>
        <v>100</v>
      </c>
      <c r="T56" s="1">
        <f t="shared" si="3"/>
        <v>100</v>
      </c>
      <c r="U56" s="1">
        <f t="shared" si="4"/>
        <v>100</v>
      </c>
      <c r="V56" s="1">
        <f t="shared" si="5"/>
        <v>100</v>
      </c>
      <c r="W56" s="1">
        <f t="shared" si="6"/>
        <v>100</v>
      </c>
      <c r="X56" s="1">
        <f t="shared" si="7"/>
        <v>100</v>
      </c>
      <c r="Y56" s="1">
        <f t="shared" si="8"/>
        <v>100</v>
      </c>
      <c r="Z56" s="1">
        <f t="shared" si="9"/>
        <v>99.998417919313198</v>
      </c>
      <c r="AA56" s="1">
        <f t="shared" si="10"/>
        <v>99.998417919313198</v>
      </c>
      <c r="AB56" s="1">
        <f t="shared" si="11"/>
        <v>97.499549701566323</v>
      </c>
      <c r="AC56" s="1">
        <f t="shared" si="12"/>
        <v>97.499549701566323</v>
      </c>
      <c r="AD56" s="1">
        <f t="shared" si="13"/>
        <v>97.499549701566323</v>
      </c>
      <c r="AE56" s="1">
        <f t="shared" si="14"/>
        <v>99.37462374527712</v>
      </c>
      <c r="AF56" s="1">
        <f t="shared" si="15"/>
        <v>1.0062931182142223</v>
      </c>
      <c r="AH56" s="1" t="str">
        <f t="shared" si="16"/>
        <v>C1104.24490A</v>
      </c>
      <c r="AI56" s="1">
        <f>$AF56*S56</f>
        <v>100.62931182142223</v>
      </c>
      <c r="AJ56" s="1">
        <f t="shared" si="18"/>
        <v>100.62931182142223</v>
      </c>
      <c r="AK56" s="1">
        <f t="shared" si="19"/>
        <v>100.62931182142223</v>
      </c>
      <c r="AL56" s="1">
        <f t="shared" si="20"/>
        <v>100.62931182142223</v>
      </c>
      <c r="AM56" s="1">
        <f t="shared" si="21"/>
        <v>100.62931182142223</v>
      </c>
      <c r="AN56" s="1">
        <f t="shared" si="22"/>
        <v>100.62931182142223</v>
      </c>
      <c r="AO56" s="1">
        <f t="shared" si="23"/>
        <v>100.62931182142223</v>
      </c>
      <c r="AP56" s="1">
        <f t="shared" si="24"/>
        <v>100.62771978451464</v>
      </c>
      <c r="AQ56" s="1">
        <f t="shared" si="25"/>
        <v>100.62771978451464</v>
      </c>
      <c r="AR56" s="1">
        <f t="shared" si="26"/>
        <v>98.113125893671722</v>
      </c>
      <c r="AS56" s="1">
        <f t="shared" si="27"/>
        <v>98.113125893671722</v>
      </c>
      <c r="AT56" s="1">
        <f t="shared" si="28"/>
        <v>98.113125893671722</v>
      </c>
      <c r="AU56" s="1">
        <f t="shared" ref="AU56:AW56" si="83">AT56*O56</f>
        <v>98.113125893671722</v>
      </c>
      <c r="AV56" s="1">
        <f t="shared" si="83"/>
        <v>100.6284605754646</v>
      </c>
      <c r="AW56" s="1">
        <f t="shared" si="83"/>
        <v>100.6284605754646</v>
      </c>
      <c r="AX56" s="1" t="b">
        <f t="shared" si="30"/>
        <v>1</v>
      </c>
      <c r="AY56" s="1" t="s">
        <v>267</v>
      </c>
      <c r="AZ56" s="1">
        <v>4</v>
      </c>
      <c r="BA56" s="1" t="s">
        <v>268</v>
      </c>
      <c r="BB56" s="1" t="s">
        <v>269</v>
      </c>
      <c r="BC56" s="1">
        <v>1.0883230693514065E-3</v>
      </c>
    </row>
    <row r="57" spans="1:55" x14ac:dyDescent="0.35">
      <c r="A57" s="1" t="s">
        <v>270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S57" s="1">
        <f t="shared" ref="S57:S58" si="84">C57*100</f>
        <v>100</v>
      </c>
      <c r="T57" s="1">
        <f t="shared" ref="T57:T58" si="85">S57*D57</f>
        <v>100</v>
      </c>
      <c r="U57" s="1">
        <f t="shared" ref="U57:U58" si="86">T57*E57</f>
        <v>100</v>
      </c>
      <c r="V57" s="1">
        <f t="shared" ref="V57:V58" si="87">U57*F57</f>
        <v>100</v>
      </c>
      <c r="W57" s="1">
        <f t="shared" ref="W57:W58" si="88">V57*G57</f>
        <v>100</v>
      </c>
      <c r="X57" s="1">
        <f t="shared" ref="X57:X58" si="89">W57*H57</f>
        <v>100</v>
      </c>
      <c r="Y57" s="1">
        <f t="shared" ref="Y57:Y58" si="90">X57*I57</f>
        <v>100</v>
      </c>
      <c r="Z57" s="1">
        <f t="shared" ref="Z57:Z58" si="91">Y57*J57</f>
        <v>100</v>
      </c>
      <c r="AA57" s="1">
        <f t="shared" ref="AA57:AA58" si="92">Z57*K57</f>
        <v>100</v>
      </c>
      <c r="AB57" s="1">
        <f t="shared" ref="AB57:AB58" si="93">AA57*L57</f>
        <v>100</v>
      </c>
      <c r="AC57" s="1">
        <f t="shared" ref="AC57:AC58" si="94">AB57*M57</f>
        <v>100</v>
      </c>
      <c r="AD57" s="1">
        <f t="shared" ref="AD57:AD58" si="95">AC57*N57</f>
        <v>100</v>
      </c>
      <c r="AE57" s="1">
        <f t="shared" ref="AE57:AE58" si="96">AVERAGE(S57:AD57)</f>
        <v>100</v>
      </c>
      <c r="AF57" s="1">
        <f t="shared" si="15"/>
        <v>1</v>
      </c>
      <c r="AH57" s="1" t="str">
        <f t="shared" ref="AH57:AH58" si="97">A57</f>
        <v>C1104.24490B</v>
      </c>
      <c r="AI57" s="1">
        <f t="shared" ref="AI57:AI58" si="98">$AF57*S57</f>
        <v>100</v>
      </c>
      <c r="AJ57" s="1">
        <f t="shared" ref="AJ57:AJ58" si="99">$AF57*T57</f>
        <v>100</v>
      </c>
      <c r="AK57" s="1">
        <f t="shared" ref="AK57:AK58" si="100">$AF57*U57</f>
        <v>100</v>
      </c>
      <c r="AL57" s="1">
        <f t="shared" ref="AL57:AL58" si="101">$AF57*V57</f>
        <v>100</v>
      </c>
      <c r="AM57" s="1">
        <f t="shared" ref="AM57:AM58" si="102">$AF57*W57</f>
        <v>100</v>
      </c>
      <c r="AN57" s="1">
        <f t="shared" ref="AN57:AN58" si="103">$AF57*X57</f>
        <v>100</v>
      </c>
      <c r="AO57" s="1">
        <f t="shared" ref="AO57:AO58" si="104">$AF57*Y57</f>
        <v>100</v>
      </c>
      <c r="AP57" s="1">
        <f t="shared" ref="AP57:AP58" si="105">$AF57*Z57</f>
        <v>100</v>
      </c>
      <c r="AQ57" s="1">
        <f t="shared" ref="AQ57:AQ58" si="106">$AF57*AA57</f>
        <v>100</v>
      </c>
      <c r="AR57" s="1">
        <f t="shared" ref="AR57:AR58" si="107">$AF57*AB57</f>
        <v>100</v>
      </c>
      <c r="AS57" s="1">
        <f t="shared" ref="AS57:AS58" si="108">$AF57*AC57</f>
        <v>100</v>
      </c>
      <c r="AT57" s="1">
        <f t="shared" ref="AT57:AT58" si="109">$AF57*AD57</f>
        <v>100</v>
      </c>
      <c r="AU57" s="1">
        <f t="shared" ref="AU57:AU58" si="110">AT57*O57</f>
        <v>100</v>
      </c>
      <c r="AV57" s="1">
        <f t="shared" ref="AV57:AV58" si="111">AU57*P57</f>
        <v>100</v>
      </c>
      <c r="AW57" s="1">
        <f t="shared" ref="AW57:AW58" si="112">AV57*Q57</f>
        <v>100</v>
      </c>
      <c r="AX57" s="1" t="b">
        <f t="shared" si="30"/>
        <v>1</v>
      </c>
      <c r="AY57" s="1" t="s">
        <v>270</v>
      </c>
      <c r="AZ57" s="1">
        <v>4</v>
      </c>
      <c r="BA57" s="1" t="s">
        <v>271</v>
      </c>
      <c r="BB57" s="1" t="s">
        <v>272</v>
      </c>
      <c r="BC57" s="1">
        <v>1.6322226321342975E-2</v>
      </c>
    </row>
    <row r="58" spans="1:55" x14ac:dyDescent="0.35">
      <c r="A58" s="1" t="s">
        <v>273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0.99999012340801663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S58" s="1">
        <f t="shared" si="84"/>
        <v>100</v>
      </c>
      <c r="T58" s="1">
        <f t="shared" si="85"/>
        <v>100</v>
      </c>
      <c r="U58" s="1">
        <f t="shared" si="86"/>
        <v>100</v>
      </c>
      <c r="V58" s="1">
        <f t="shared" si="87"/>
        <v>100</v>
      </c>
      <c r="W58" s="1">
        <f t="shared" si="88"/>
        <v>100</v>
      </c>
      <c r="X58" s="1">
        <f t="shared" si="89"/>
        <v>100</v>
      </c>
      <c r="Y58" s="1">
        <f t="shared" si="90"/>
        <v>100</v>
      </c>
      <c r="Z58" s="1">
        <f t="shared" si="91"/>
        <v>99.99901234080167</v>
      </c>
      <c r="AA58" s="1">
        <f t="shared" si="92"/>
        <v>99.99901234080167</v>
      </c>
      <c r="AB58" s="1">
        <f t="shared" si="93"/>
        <v>99.99901234080167</v>
      </c>
      <c r="AC58" s="1">
        <f t="shared" si="94"/>
        <v>99.99901234080167</v>
      </c>
      <c r="AD58" s="1">
        <f t="shared" si="95"/>
        <v>99.99901234080167</v>
      </c>
      <c r="AE58" s="1">
        <f t="shared" si="96"/>
        <v>99.999588475334022</v>
      </c>
      <c r="AF58" s="1">
        <f t="shared" si="15"/>
        <v>1.000004115263595</v>
      </c>
      <c r="AH58" s="1" t="str">
        <f t="shared" si="97"/>
        <v>C1104.24490C</v>
      </c>
      <c r="AI58" s="1">
        <f t="shared" si="98"/>
        <v>100.0004115263595</v>
      </c>
      <c r="AJ58" s="1">
        <f t="shared" si="99"/>
        <v>100.0004115263595</v>
      </c>
      <c r="AK58" s="1">
        <f t="shared" si="100"/>
        <v>100.0004115263595</v>
      </c>
      <c r="AL58" s="1">
        <f t="shared" si="101"/>
        <v>100.0004115263595</v>
      </c>
      <c r="AM58" s="1">
        <f t="shared" si="102"/>
        <v>100.0004115263595</v>
      </c>
      <c r="AN58" s="1">
        <f t="shared" si="103"/>
        <v>100.0004115263595</v>
      </c>
      <c r="AO58" s="1">
        <f t="shared" si="104"/>
        <v>100.0004115263595</v>
      </c>
      <c r="AP58" s="1">
        <f t="shared" si="105"/>
        <v>99.999423863096695</v>
      </c>
      <c r="AQ58" s="1">
        <f t="shared" si="106"/>
        <v>99.999423863096695</v>
      </c>
      <c r="AR58" s="1">
        <f t="shared" si="107"/>
        <v>99.999423863096695</v>
      </c>
      <c r="AS58" s="1">
        <f t="shared" si="108"/>
        <v>99.999423863096695</v>
      </c>
      <c r="AT58" s="1">
        <f t="shared" si="109"/>
        <v>99.999423863096695</v>
      </c>
      <c r="AU58" s="1">
        <f t="shared" si="110"/>
        <v>99.999423863096695</v>
      </c>
      <c r="AV58" s="1">
        <f t="shared" si="111"/>
        <v>99.999423863096695</v>
      </c>
      <c r="AW58" s="1">
        <f t="shared" si="112"/>
        <v>99.999423863096695</v>
      </c>
      <c r="AX58" s="1" t="b">
        <f t="shared" si="30"/>
        <v>1</v>
      </c>
      <c r="AY58" s="1" t="s">
        <v>273</v>
      </c>
      <c r="AZ58" s="1">
        <v>4</v>
      </c>
      <c r="BA58" s="1" t="s">
        <v>274</v>
      </c>
      <c r="BB58" s="1" t="s">
        <v>275</v>
      </c>
      <c r="BC58" s="1">
        <v>1.9949387726085861E-2</v>
      </c>
    </row>
    <row r="59" spans="1:55" x14ac:dyDescent="0.35">
      <c r="A59" s="1" t="s">
        <v>67</v>
      </c>
      <c r="B59" s="1">
        <v>1</v>
      </c>
      <c r="C59" s="1">
        <v>1</v>
      </c>
      <c r="D59" s="1">
        <v>0.99763672723645669</v>
      </c>
      <c r="E59" s="1">
        <v>1.000071589329661</v>
      </c>
      <c r="F59" s="1">
        <v>1.0047998284335871</v>
      </c>
      <c r="G59" s="1">
        <v>0.99790268902740753</v>
      </c>
      <c r="H59" s="1">
        <v>0.9984641571980325</v>
      </c>
      <c r="I59" s="1">
        <v>0.99900674793277255</v>
      </c>
      <c r="J59" s="1">
        <v>1.001454488700471</v>
      </c>
      <c r="K59" s="1">
        <v>1.002288569439203</v>
      </c>
      <c r="L59" s="1">
        <v>0.99668233520407667</v>
      </c>
      <c r="M59" s="1">
        <v>0.99889182961933354</v>
      </c>
      <c r="N59" s="1">
        <v>0.99019326697481291</v>
      </c>
      <c r="O59" s="1">
        <v>0.99528778009700869</v>
      </c>
      <c r="P59" s="1">
        <v>0.99072044004556381</v>
      </c>
      <c r="Q59" s="1">
        <v>1.0018695889190743</v>
      </c>
      <c r="S59" s="1">
        <f t="shared" ref="S59:S67" si="113">C59*100</f>
        <v>100</v>
      </c>
      <c r="T59" s="1">
        <f t="shared" ref="T59:T68" si="114">S59*D59</f>
        <v>99.763672723645669</v>
      </c>
      <c r="U59" s="1">
        <f t="shared" ref="U59:U68" si="115">T59*E59</f>
        <v>99.770814738100469</v>
      </c>
      <c r="V59" s="1">
        <f t="shared" ref="V59:V68" si="116">U59*F59</f>
        <v>100.24969753152256</v>
      </c>
      <c r="W59" s="1">
        <f t="shared" ref="W59:W68" si="117">V59*G59</f>
        <v>100.03944274089062</v>
      </c>
      <c r="X59" s="1">
        <f t="shared" ref="X59:X68" si="118">W59*H59</f>
        <v>99.885797882844187</v>
      </c>
      <c r="Y59" s="1">
        <f t="shared" ref="Y59:Y68" si="119">X59*I59</f>
        <v>99.78658610761039</v>
      </c>
      <c r="Z59" s="1">
        <f t="shared" ref="Z59:Z68" si="120">Y59*J59</f>
        <v>99.931724569562491</v>
      </c>
      <c r="AA59" s="1">
        <f t="shared" ref="AA59:AA68" si="121">Z59*K59</f>
        <v>100.16042526041925</v>
      </c>
      <c r="AB59" s="1">
        <f t="shared" ref="AB59:AB68" si="122">AA59*L59</f>
        <v>99.828126543588041</v>
      </c>
      <c r="AC59" s="1">
        <f t="shared" ref="AC59:AC68" si="123">AB59*M59</f>
        <v>99.717499970595014</v>
      </c>
      <c r="AD59" s="1">
        <f t="shared" ref="AD59:AD68" si="124">AC59*N59</f>
        <v>98.73959707044429</v>
      </c>
      <c r="AE59" s="1">
        <f t="shared" ref="AE59:AE68" si="125">AVERAGE(S59:AD59)</f>
        <v>99.822782094935249</v>
      </c>
      <c r="AF59" s="1">
        <f t="shared" ref="AF59:AF68" si="126">100/AE59</f>
        <v>1.0017753252448545</v>
      </c>
      <c r="AH59" s="1" t="str">
        <f t="shared" ref="AH59:AH68" si="127">A59</f>
        <v>C1311.26360</v>
      </c>
      <c r="AI59" s="1">
        <f t="shared" ref="AI59:AI90" si="128">$AF59*S59</f>
        <v>100.17753252448544</v>
      </c>
      <c r="AJ59" s="1">
        <f t="shared" ref="AJ59:AJ90" si="129">$AF59*T59</f>
        <v>99.940785690351362</v>
      </c>
      <c r="AK59" s="1">
        <f t="shared" ref="AK59:AK90" si="130">$AF59*U59</f>
        <v>99.947940384204713</v>
      </c>
      <c r="AL59" s="1">
        <f t="shared" ref="AL59:AL90" si="131">$AF59*V59</f>
        <v>100.42767335033929</v>
      </c>
      <c r="AM59" s="1">
        <f t="shared" ref="AM59:AM90" si="132">$AF59*W59</f>
        <v>100.2170452890697</v>
      </c>
      <c r="AN59" s="1">
        <f t="shared" ref="AN59:AN90" si="133">$AF59*X59</f>
        <v>100.06312766142803</v>
      </c>
      <c r="AO59" s="1">
        <f t="shared" ref="AO59:AO90" si="134">$AF59*Y59</f>
        <v>99.963739753025081</v>
      </c>
      <c r="AP59" s="1">
        <f t="shared" ref="AP59:AP90" si="135">$AF59*Z59</f>
        <v>100.10913588295267</v>
      </c>
      <c r="AQ59" s="1">
        <f t="shared" ref="AQ59:AQ90" si="136">$AF59*AA59</f>
        <v>100.33824259191942</v>
      </c>
      <c r="AR59" s="1">
        <f t="shared" ref="AR59:AR90" si="137">$AF59*AB59</f>
        <v>100.0053539367874</v>
      </c>
      <c r="AS59" s="1">
        <f t="shared" ref="AS59:AS90" si="138">$AF59*AC59</f>
        <v>99.894530965646581</v>
      </c>
      <c r="AT59" s="1">
        <f t="shared" ref="AT59:AT90" si="139">$AF59*AD59</f>
        <v>98.914891969790204</v>
      </c>
      <c r="AU59" s="1">
        <f t="shared" ref="AU59:AW59" si="140">AT59*O59</f>
        <v>98.448783247147929</v>
      </c>
      <c r="AV59" s="1">
        <f t="shared" si="140"/>
        <v>97.535221860564732</v>
      </c>
      <c r="AW59" s="1">
        <f t="shared" si="140"/>
        <v>97.717572630574693</v>
      </c>
      <c r="AX59" s="1" t="b">
        <f t="shared" ref="AX59:AX122" si="141">AY59=AH59</f>
        <v>1</v>
      </c>
      <c r="AY59" s="1" t="s">
        <v>67</v>
      </c>
      <c r="AZ59" s="1">
        <v>4</v>
      </c>
      <c r="BA59" s="1" t="s">
        <v>276</v>
      </c>
      <c r="BB59" s="1" t="s">
        <v>277</v>
      </c>
      <c r="BC59" s="1">
        <v>1.6374465035719577E-3</v>
      </c>
    </row>
    <row r="60" spans="1:55" x14ac:dyDescent="0.35">
      <c r="A60" s="1" t="s">
        <v>68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0.96527988426628086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S60" s="1">
        <f t="shared" si="113"/>
        <v>100</v>
      </c>
      <c r="T60" s="1">
        <f t="shared" si="114"/>
        <v>100</v>
      </c>
      <c r="U60" s="1">
        <f t="shared" si="115"/>
        <v>100</v>
      </c>
      <c r="V60" s="1">
        <f t="shared" si="116"/>
        <v>100</v>
      </c>
      <c r="W60" s="1">
        <f t="shared" si="117"/>
        <v>100</v>
      </c>
      <c r="X60" s="1">
        <f t="shared" si="118"/>
        <v>100</v>
      </c>
      <c r="Y60" s="1">
        <f t="shared" si="119"/>
        <v>100</v>
      </c>
      <c r="Z60" s="1">
        <f t="shared" si="120"/>
        <v>100</v>
      </c>
      <c r="AA60" s="1">
        <f t="shared" si="121"/>
        <v>100</v>
      </c>
      <c r="AB60" s="1">
        <f t="shared" si="122"/>
        <v>96.527988426628085</v>
      </c>
      <c r="AC60" s="1">
        <f t="shared" si="123"/>
        <v>96.527988426628085</v>
      </c>
      <c r="AD60" s="1">
        <f t="shared" si="124"/>
        <v>96.527988426628085</v>
      </c>
      <c r="AE60" s="1">
        <f t="shared" si="125"/>
        <v>99.131997106657025</v>
      </c>
      <c r="AF60" s="1">
        <f t="shared" si="126"/>
        <v>1.0087560315405437</v>
      </c>
      <c r="AH60" s="1" t="str">
        <f t="shared" si="127"/>
        <v>C1311.26420</v>
      </c>
      <c r="AI60" s="1">
        <f t="shared" si="128"/>
        <v>100.87560315405437</v>
      </c>
      <c r="AJ60" s="1">
        <f t="shared" si="129"/>
        <v>100.87560315405437</v>
      </c>
      <c r="AK60" s="1">
        <f t="shared" si="130"/>
        <v>100.87560315405437</v>
      </c>
      <c r="AL60" s="1">
        <f t="shared" si="131"/>
        <v>100.87560315405437</v>
      </c>
      <c r="AM60" s="1">
        <f t="shared" si="132"/>
        <v>100.87560315405437</v>
      </c>
      <c r="AN60" s="1">
        <f t="shared" si="133"/>
        <v>100.87560315405437</v>
      </c>
      <c r="AO60" s="1">
        <f t="shared" si="134"/>
        <v>100.87560315405437</v>
      </c>
      <c r="AP60" s="1">
        <f t="shared" si="135"/>
        <v>100.87560315405437</v>
      </c>
      <c r="AQ60" s="1">
        <f t="shared" si="136"/>
        <v>100.87560315405437</v>
      </c>
      <c r="AR60" s="1">
        <f t="shared" si="137"/>
        <v>97.373190537836877</v>
      </c>
      <c r="AS60" s="1">
        <f t="shared" si="138"/>
        <v>97.373190537836877</v>
      </c>
      <c r="AT60" s="1">
        <f t="shared" si="139"/>
        <v>97.373190537836877</v>
      </c>
      <c r="AU60" s="1">
        <f t="shared" ref="AU60:AW60" si="142">AT60*O60</f>
        <v>97.373190537836877</v>
      </c>
      <c r="AV60" s="1">
        <f t="shared" si="142"/>
        <v>97.373190537836877</v>
      </c>
      <c r="AW60" s="1">
        <f t="shared" si="142"/>
        <v>97.373190537836877</v>
      </c>
      <c r="AX60" s="1" t="b">
        <f t="shared" si="141"/>
        <v>1</v>
      </c>
      <c r="AY60" s="1" t="s">
        <v>68</v>
      </c>
      <c r="AZ60" s="1">
        <v>4</v>
      </c>
      <c r="BA60" s="1" t="s">
        <v>278</v>
      </c>
      <c r="BB60" s="1" t="s">
        <v>279</v>
      </c>
      <c r="BC60" s="1">
        <v>1.6374465035719577E-3</v>
      </c>
    </row>
    <row r="61" spans="1:55" x14ac:dyDescent="0.35">
      <c r="A61" s="1" t="s">
        <v>69</v>
      </c>
      <c r="B61" s="1">
        <v>0.96307509090832999</v>
      </c>
      <c r="C61" s="1">
        <v>1</v>
      </c>
      <c r="D61" s="1">
        <v>1</v>
      </c>
      <c r="E61" s="1">
        <v>1</v>
      </c>
      <c r="F61" s="1">
        <v>0.99995082491111842</v>
      </c>
      <c r="G61" s="1">
        <v>1</v>
      </c>
      <c r="H61" s="1">
        <v>1</v>
      </c>
      <c r="I61" s="1">
        <v>1</v>
      </c>
      <c r="J61" s="1">
        <v>1</v>
      </c>
      <c r="K61" s="1">
        <v>1.000307834625725</v>
      </c>
      <c r="L61" s="1">
        <v>0.99987700631882304</v>
      </c>
      <c r="M61" s="1">
        <v>1.0044371609424581</v>
      </c>
      <c r="N61" s="1">
        <v>1.0075755348485991</v>
      </c>
      <c r="O61" s="1">
        <v>1.000766580947658</v>
      </c>
      <c r="P61" s="1">
        <v>1</v>
      </c>
      <c r="Q61" s="1">
        <v>1.0025333594671539</v>
      </c>
      <c r="S61" s="1">
        <f t="shared" si="113"/>
        <v>100</v>
      </c>
      <c r="T61" s="1">
        <f t="shared" si="114"/>
        <v>100</v>
      </c>
      <c r="U61" s="1">
        <f t="shared" si="115"/>
        <v>100</v>
      </c>
      <c r="V61" s="1">
        <f t="shared" si="116"/>
        <v>99.995082491111845</v>
      </c>
      <c r="W61" s="1">
        <f t="shared" si="117"/>
        <v>99.995082491111845</v>
      </c>
      <c r="X61" s="1">
        <f t="shared" si="118"/>
        <v>99.995082491111845</v>
      </c>
      <c r="Y61" s="1">
        <f t="shared" si="119"/>
        <v>99.995082491111845</v>
      </c>
      <c r="Z61" s="1">
        <f t="shared" si="120"/>
        <v>99.995082491111845</v>
      </c>
      <c r="AA61" s="1">
        <f t="shared" si="121"/>
        <v>100.02586443990484</v>
      </c>
      <c r="AB61" s="1">
        <f t="shared" si="122"/>
        <v>100.01356189062446</v>
      </c>
      <c r="AC61" s="1">
        <f t="shared" si="123"/>
        <v>100.45733816116164</v>
      </c>
      <c r="AD61" s="1">
        <f t="shared" si="124"/>
        <v>101.21835622719902</v>
      </c>
      <c r="AE61" s="1">
        <f t="shared" si="125"/>
        <v>100.14087776453744</v>
      </c>
      <c r="AF61" s="1">
        <f t="shared" si="126"/>
        <v>0.9985932042170762</v>
      </c>
      <c r="AH61" s="1" t="str">
        <f t="shared" si="127"/>
        <v>C1312.26610</v>
      </c>
      <c r="AI61" s="1">
        <f t="shared" si="128"/>
        <v>99.859320421707622</v>
      </c>
      <c r="AJ61" s="1">
        <f t="shared" si="129"/>
        <v>99.859320421707622</v>
      </c>
      <c r="AK61" s="1">
        <f t="shared" si="130"/>
        <v>99.859320421707622</v>
      </c>
      <c r="AL61" s="1">
        <f t="shared" si="131"/>
        <v>99.854409830750228</v>
      </c>
      <c r="AM61" s="1">
        <f t="shared" si="132"/>
        <v>99.854409830750228</v>
      </c>
      <c r="AN61" s="1">
        <f t="shared" si="133"/>
        <v>99.854409830750228</v>
      </c>
      <c r="AO61" s="1">
        <f t="shared" si="134"/>
        <v>99.854409830750228</v>
      </c>
      <c r="AP61" s="1">
        <f t="shared" si="135"/>
        <v>99.854409830750228</v>
      </c>
      <c r="AQ61" s="1">
        <f t="shared" si="136"/>
        <v>99.885148475627474</v>
      </c>
      <c r="AR61" s="1">
        <f t="shared" si="137"/>
        <v>99.872863233521542</v>
      </c>
      <c r="AS61" s="1">
        <f t="shared" si="138"/>
        <v>100.31601520147277</v>
      </c>
      <c r="AT61" s="1">
        <f t="shared" si="139"/>
        <v>101.07596267050413</v>
      </c>
      <c r="AU61" s="1">
        <f t="shared" ref="AU61:AW61" si="143">AT61*O61</f>
        <v>101.15344557775353</v>
      </c>
      <c r="AV61" s="1">
        <f t="shared" si="143"/>
        <v>101.15344557775353</v>
      </c>
      <c r="AW61" s="1">
        <f t="shared" si="143"/>
        <v>101.40970361674317</v>
      </c>
      <c r="AX61" s="1" t="b">
        <f t="shared" si="141"/>
        <v>1</v>
      </c>
      <c r="AY61" s="1" t="s">
        <v>69</v>
      </c>
      <c r="AZ61" s="1">
        <v>4</v>
      </c>
      <c r="BA61" s="1" t="s">
        <v>280</v>
      </c>
      <c r="BB61" s="1" t="s">
        <v>281</v>
      </c>
      <c r="BC61" s="1">
        <v>1.6374465035719577E-3</v>
      </c>
    </row>
    <row r="62" spans="1:55" x14ac:dyDescent="0.35">
      <c r="A62" s="1" t="s">
        <v>70</v>
      </c>
      <c r="B62" s="1">
        <v>1</v>
      </c>
      <c r="C62" s="1">
        <v>1</v>
      </c>
      <c r="D62" s="1">
        <v>1</v>
      </c>
      <c r="E62" s="1">
        <v>1</v>
      </c>
      <c r="F62" s="1">
        <v>1.0035046728971959</v>
      </c>
      <c r="G62" s="1">
        <v>1</v>
      </c>
      <c r="H62" s="1">
        <v>1</v>
      </c>
      <c r="I62" s="1">
        <v>1</v>
      </c>
      <c r="J62" s="1">
        <v>1</v>
      </c>
      <c r="K62" s="1">
        <v>1.015715948777649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0.96492890995260627</v>
      </c>
      <c r="S62" s="1">
        <f t="shared" si="113"/>
        <v>100</v>
      </c>
      <c r="T62" s="1">
        <f t="shared" si="114"/>
        <v>100</v>
      </c>
      <c r="U62" s="1">
        <f t="shared" si="115"/>
        <v>100</v>
      </c>
      <c r="V62" s="1">
        <f t="shared" si="116"/>
        <v>100.35046728971959</v>
      </c>
      <c r="W62" s="1">
        <f t="shared" si="117"/>
        <v>100.35046728971959</v>
      </c>
      <c r="X62" s="1">
        <f t="shared" si="118"/>
        <v>100.35046728971959</v>
      </c>
      <c r="Y62" s="1">
        <f t="shared" si="119"/>
        <v>100.35046728971959</v>
      </c>
      <c r="Z62" s="1">
        <f t="shared" si="120"/>
        <v>100.35046728971959</v>
      </c>
      <c r="AA62" s="1">
        <f t="shared" si="121"/>
        <v>101.92757009345797</v>
      </c>
      <c r="AB62" s="1">
        <f t="shared" si="122"/>
        <v>101.92757009345797</v>
      </c>
      <c r="AC62" s="1">
        <f t="shared" si="123"/>
        <v>101.92757009345797</v>
      </c>
      <c r="AD62" s="1">
        <f t="shared" si="124"/>
        <v>101.92757009345797</v>
      </c>
      <c r="AE62" s="1">
        <f t="shared" si="125"/>
        <v>100.78855140186914</v>
      </c>
      <c r="AF62" s="1">
        <f t="shared" si="126"/>
        <v>0.99217618081715464</v>
      </c>
      <c r="AH62" s="1" t="str">
        <f t="shared" si="127"/>
        <v>C1312.26690</v>
      </c>
      <c r="AI62" s="1">
        <f t="shared" si="128"/>
        <v>99.217618081715457</v>
      </c>
      <c r="AJ62" s="1">
        <f t="shared" si="129"/>
        <v>99.217618081715457</v>
      </c>
      <c r="AK62" s="1">
        <f t="shared" si="130"/>
        <v>99.217618081715457</v>
      </c>
      <c r="AL62" s="1">
        <f t="shared" si="131"/>
        <v>99.565343378730788</v>
      </c>
      <c r="AM62" s="1">
        <f t="shared" si="132"/>
        <v>99.565343378730788</v>
      </c>
      <c r="AN62" s="1">
        <f t="shared" si="133"/>
        <v>99.565343378730788</v>
      </c>
      <c r="AO62" s="1">
        <f t="shared" si="134"/>
        <v>99.565343378730788</v>
      </c>
      <c r="AP62" s="1">
        <f t="shared" si="135"/>
        <v>99.565343378730788</v>
      </c>
      <c r="AQ62" s="1">
        <f t="shared" si="136"/>
        <v>101.13010721529996</v>
      </c>
      <c r="AR62" s="1">
        <f t="shared" si="137"/>
        <v>101.13010721529996</v>
      </c>
      <c r="AS62" s="1">
        <f t="shared" si="138"/>
        <v>101.13010721529996</v>
      </c>
      <c r="AT62" s="1">
        <f t="shared" si="139"/>
        <v>101.13010721529996</v>
      </c>
      <c r="AU62" s="1">
        <f t="shared" ref="AU62:AW62" si="144">AT62*O62</f>
        <v>101.13010721529996</v>
      </c>
      <c r="AV62" s="1">
        <f t="shared" si="144"/>
        <v>101.13010721529996</v>
      </c>
      <c r="AW62" s="1">
        <f t="shared" si="144"/>
        <v>97.583364118649598</v>
      </c>
      <c r="AX62" s="1" t="b">
        <f t="shared" si="141"/>
        <v>1</v>
      </c>
      <c r="AY62" s="1" t="s">
        <v>70</v>
      </c>
      <c r="AZ62" s="1">
        <v>4</v>
      </c>
      <c r="BA62" s="1" t="s">
        <v>282</v>
      </c>
      <c r="BB62" s="1" t="s">
        <v>283</v>
      </c>
      <c r="BC62" s="1">
        <v>1.6374465035719577E-3</v>
      </c>
    </row>
    <row r="63" spans="1:55" x14ac:dyDescent="0.35">
      <c r="A63" s="1" t="s">
        <v>71</v>
      </c>
      <c r="B63" s="1">
        <v>1</v>
      </c>
      <c r="C63" s="1">
        <v>1</v>
      </c>
      <c r="D63" s="1">
        <v>0.99930454003822133</v>
      </c>
      <c r="E63" s="1">
        <v>0.99929599595249108</v>
      </c>
      <c r="F63" s="1">
        <v>1.0177480028604931</v>
      </c>
      <c r="G63" s="1">
        <v>0.99892750182169876</v>
      </c>
      <c r="H63" s="1">
        <v>0.99974485497596233</v>
      </c>
      <c r="I63" s="1">
        <v>0.99908993922306255</v>
      </c>
      <c r="J63" s="1">
        <v>0.99907444829605496</v>
      </c>
      <c r="K63" s="1">
        <v>1.015293912881885</v>
      </c>
      <c r="L63" s="1">
        <v>0.9993263292764194</v>
      </c>
      <c r="M63" s="1">
        <v>1.0296395622108849</v>
      </c>
      <c r="N63" s="1">
        <v>0.9985640483031738</v>
      </c>
      <c r="O63" s="1">
        <v>1.002337532757021</v>
      </c>
      <c r="P63" s="1">
        <v>0.99889869418328603</v>
      </c>
      <c r="Q63" s="1">
        <v>1.001635605837337</v>
      </c>
      <c r="S63" s="1">
        <f t="shared" si="113"/>
        <v>100</v>
      </c>
      <c r="T63" s="1">
        <f t="shared" si="114"/>
        <v>99.930454003822135</v>
      </c>
      <c r="U63" s="1">
        <f t="shared" si="115"/>
        <v>99.860102559734045</v>
      </c>
      <c r="V63" s="1">
        <f t="shared" si="116"/>
        <v>101.63241994561334</v>
      </c>
      <c r="W63" s="1">
        <f t="shared" si="117"/>
        <v>101.52341936036532</v>
      </c>
      <c r="X63" s="1">
        <f t="shared" si="118"/>
        <v>101.49751616509224</v>
      </c>
      <c r="Y63" s="1">
        <f t="shared" si="119"/>
        <v>101.40514725667381</v>
      </c>
      <c r="Z63" s="1">
        <f t="shared" si="120"/>
        <v>101.3112915498416</v>
      </c>
      <c r="AA63" s="1">
        <f t="shared" si="121"/>
        <v>102.86073761675613</v>
      </c>
      <c r="AB63" s="1">
        <f t="shared" si="122"/>
        <v>102.79144334921781</v>
      </c>
      <c r="AC63" s="1">
        <f t="shared" si="123"/>
        <v>105.83813672911361</v>
      </c>
      <c r="AD63" s="1">
        <f t="shared" si="124"/>
        <v>105.68615827708852</v>
      </c>
      <c r="AE63" s="1">
        <f t="shared" si="125"/>
        <v>102.02806890110988</v>
      </c>
      <c r="AF63" s="1">
        <f t="shared" si="126"/>
        <v>0.98012244156972561</v>
      </c>
      <c r="AH63" s="1" t="str">
        <f t="shared" si="127"/>
        <v>C1312.26720</v>
      </c>
      <c r="AI63" s="1">
        <f t="shared" si="128"/>
        <v>98.012244156972557</v>
      </c>
      <c r="AJ63" s="1">
        <f t="shared" si="129"/>
        <v>97.944080565397314</v>
      </c>
      <c r="AK63" s="1">
        <f t="shared" si="130"/>
        <v>97.875127536249735</v>
      </c>
      <c r="AL63" s="1">
        <f t="shared" si="131"/>
        <v>99.612215579734226</v>
      </c>
      <c r="AM63" s="1">
        <f t="shared" si="132"/>
        <v>99.505381659988416</v>
      </c>
      <c r="AN63" s="1">
        <f t="shared" si="133"/>
        <v>99.479993356992892</v>
      </c>
      <c r="AO63" s="1">
        <f t="shared" si="134"/>
        <v>99.389460516948702</v>
      </c>
      <c r="AP63" s="1">
        <f t="shared" si="135"/>
        <v>99.297470432413064</v>
      </c>
      <c r="AQ63" s="1">
        <f t="shared" si="136"/>
        <v>100.81611729459793</v>
      </c>
      <c r="AR63" s="1">
        <f t="shared" si="137"/>
        <v>100.7482004279115</v>
      </c>
      <c r="AS63" s="1">
        <f t="shared" si="138"/>
        <v>103.73433298212929</v>
      </c>
      <c r="AT63" s="1">
        <f t="shared" si="139"/>
        <v>103.58537549066448</v>
      </c>
      <c r="AU63" s="1">
        <f t="shared" ref="AU63:AW63" si="145">AT63*O63</f>
        <v>103.82750969902222</v>
      </c>
      <c r="AV63" s="1">
        <f t="shared" si="145"/>
        <v>103.71316385865576</v>
      </c>
      <c r="AW63" s="1">
        <f t="shared" si="145"/>
        <v>103.88279771487167</v>
      </c>
      <c r="AX63" s="1" t="b">
        <f t="shared" si="141"/>
        <v>1</v>
      </c>
      <c r="AY63" s="1" t="s">
        <v>71</v>
      </c>
      <c r="AZ63" s="1">
        <v>4</v>
      </c>
      <c r="BA63" s="1" t="s">
        <v>284</v>
      </c>
      <c r="BB63" s="1" t="s">
        <v>285</v>
      </c>
      <c r="BC63" s="1">
        <v>1.6374465035719577E-3</v>
      </c>
    </row>
    <row r="64" spans="1:55" x14ac:dyDescent="0.35">
      <c r="A64" s="1" t="s">
        <v>72</v>
      </c>
      <c r="B64" s="1">
        <v>1.018772969547072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0.9979231545598285</v>
      </c>
      <c r="O64" s="1">
        <v>1.0307764064044149</v>
      </c>
      <c r="P64" s="1">
        <v>1</v>
      </c>
      <c r="Q64" s="1">
        <v>1</v>
      </c>
      <c r="S64" s="1">
        <f t="shared" si="113"/>
        <v>100</v>
      </c>
      <c r="T64" s="1">
        <f t="shared" si="114"/>
        <v>100</v>
      </c>
      <c r="U64" s="1">
        <f t="shared" si="115"/>
        <v>100</v>
      </c>
      <c r="V64" s="1">
        <f t="shared" si="116"/>
        <v>100</v>
      </c>
      <c r="W64" s="1">
        <f t="shared" si="117"/>
        <v>100</v>
      </c>
      <c r="X64" s="1">
        <f t="shared" si="118"/>
        <v>100</v>
      </c>
      <c r="Y64" s="1">
        <f t="shared" si="119"/>
        <v>100</v>
      </c>
      <c r="Z64" s="1">
        <f t="shared" si="120"/>
        <v>100</v>
      </c>
      <c r="AA64" s="1">
        <f t="shared" si="121"/>
        <v>100</v>
      </c>
      <c r="AB64" s="1">
        <f t="shared" si="122"/>
        <v>100</v>
      </c>
      <c r="AC64" s="1">
        <f t="shared" si="123"/>
        <v>100</v>
      </c>
      <c r="AD64" s="1">
        <f t="shared" si="124"/>
        <v>99.792315455982845</v>
      </c>
      <c r="AE64" s="1">
        <f t="shared" si="125"/>
        <v>99.982692954665239</v>
      </c>
      <c r="AF64" s="1">
        <f t="shared" si="126"/>
        <v>1.0001731004119143</v>
      </c>
      <c r="AH64" s="1" t="str">
        <f t="shared" si="127"/>
        <v>C1312.26730</v>
      </c>
      <c r="AI64" s="1">
        <f t="shared" si="128"/>
        <v>100.01731004119144</v>
      </c>
      <c r="AJ64" s="1">
        <f t="shared" si="129"/>
        <v>100.01731004119144</v>
      </c>
      <c r="AK64" s="1">
        <f t="shared" si="130"/>
        <v>100.01731004119144</v>
      </c>
      <c r="AL64" s="1">
        <f t="shared" si="131"/>
        <v>100.01731004119144</v>
      </c>
      <c r="AM64" s="1">
        <f t="shared" si="132"/>
        <v>100.01731004119144</v>
      </c>
      <c r="AN64" s="1">
        <f t="shared" si="133"/>
        <v>100.01731004119144</v>
      </c>
      <c r="AO64" s="1">
        <f t="shared" si="134"/>
        <v>100.01731004119144</v>
      </c>
      <c r="AP64" s="1">
        <f t="shared" si="135"/>
        <v>100.01731004119144</v>
      </c>
      <c r="AQ64" s="1">
        <f t="shared" si="136"/>
        <v>100.01731004119144</v>
      </c>
      <c r="AR64" s="1">
        <f t="shared" si="137"/>
        <v>100.01731004119144</v>
      </c>
      <c r="AS64" s="1">
        <f t="shared" si="138"/>
        <v>100.01731004119144</v>
      </c>
      <c r="AT64" s="1">
        <f t="shared" si="139"/>
        <v>99.809589546894159</v>
      </c>
      <c r="AU64" s="1">
        <f t="shared" ref="AU64:AW64" si="146">AT64*O64</f>
        <v>102.88137003784722</v>
      </c>
      <c r="AV64" s="1">
        <f t="shared" si="146"/>
        <v>102.88137003784722</v>
      </c>
      <c r="AW64" s="1">
        <f t="shared" si="146"/>
        <v>102.88137003784722</v>
      </c>
      <c r="AX64" s="1" t="b">
        <f t="shared" si="141"/>
        <v>1</v>
      </c>
      <c r="AY64" s="1" t="s">
        <v>72</v>
      </c>
      <c r="AZ64" s="1">
        <v>4</v>
      </c>
      <c r="BA64" s="1" t="s">
        <v>286</v>
      </c>
      <c r="BB64" s="1" t="s">
        <v>287</v>
      </c>
      <c r="BC64" s="1">
        <v>1.6374465035719577E-3</v>
      </c>
    </row>
    <row r="65" spans="1:55" x14ac:dyDescent="0.35">
      <c r="A65" s="1" t="s">
        <v>73</v>
      </c>
      <c r="B65" s="1">
        <v>1.002247658288014</v>
      </c>
      <c r="C65" s="1">
        <v>1</v>
      </c>
      <c r="D65" s="1">
        <v>1.0007099986661718</v>
      </c>
      <c r="E65" s="1">
        <v>1.0042388132965241</v>
      </c>
      <c r="F65" s="1">
        <v>0.99427325481381512</v>
      </c>
      <c r="G65" s="1">
        <v>1.0030321447680193</v>
      </c>
      <c r="H65" s="1">
        <v>0.99875817177107484</v>
      </c>
      <c r="I65" s="1">
        <v>0.99506322186307583</v>
      </c>
      <c r="J65" s="1">
        <v>1.0030651788341955</v>
      </c>
      <c r="K65" s="1">
        <v>1.0016046998887436</v>
      </c>
      <c r="L65" s="1">
        <v>1.0024384983920243</v>
      </c>
      <c r="M65" s="1">
        <v>0.99369073438970978</v>
      </c>
      <c r="N65" s="1">
        <v>0.98549025380947364</v>
      </c>
      <c r="O65" s="1">
        <v>1.0122862618646757</v>
      </c>
      <c r="P65" s="1">
        <v>0.99949996088385507</v>
      </c>
      <c r="Q65" s="1">
        <v>1.0053284597506527</v>
      </c>
      <c r="S65" s="1">
        <f t="shared" si="113"/>
        <v>100</v>
      </c>
      <c r="T65" s="1">
        <f t="shared" si="114"/>
        <v>100.07099986661719</v>
      </c>
      <c r="U65" s="1">
        <f t="shared" si="115"/>
        <v>100.49518215144826</v>
      </c>
      <c r="V65" s="1">
        <f t="shared" si="116"/>
        <v>99.919671850827683</v>
      </c>
      <c r="W65" s="1">
        <f t="shared" si="117"/>
        <v>100.22264276105237</v>
      </c>
      <c r="X65" s="1">
        <f t="shared" si="118"/>
        <v>100.09818345409421</v>
      </c>
      <c r="Y65" s="1">
        <f t="shared" si="119"/>
        <v>99.604020930472217</v>
      </c>
      <c r="Z65" s="1">
        <f t="shared" si="120"/>
        <v>99.909325067229076</v>
      </c>
      <c r="AA65" s="1">
        <f t="shared" si="121"/>
        <v>100.06964955004891</v>
      </c>
      <c r="AB65" s="1">
        <f t="shared" si="122"/>
        <v>100.31366922956714</v>
      </c>
      <c r="AC65" s="1">
        <f t="shared" si="123"/>
        <v>99.680763646054999</v>
      </c>
      <c r="AD65" s="1">
        <f t="shared" si="124"/>
        <v>98.234421065472887</v>
      </c>
      <c r="AE65" s="1">
        <f t="shared" si="125"/>
        <v>99.884877464407069</v>
      </c>
      <c r="AF65" s="1">
        <f t="shared" si="126"/>
        <v>1.0011525522032498</v>
      </c>
      <c r="AH65" s="1" t="str">
        <f t="shared" si="127"/>
        <v>C1392.27120</v>
      </c>
      <c r="AI65" s="1">
        <f t="shared" si="128"/>
        <v>100.11525522032498</v>
      </c>
      <c r="AJ65" s="1">
        <f t="shared" si="129"/>
        <v>100.18633691799486</v>
      </c>
      <c r="AK65" s="1">
        <f t="shared" si="130"/>
        <v>100.61100809505291</v>
      </c>
      <c r="AL65" s="1">
        <f t="shared" si="131"/>
        <v>100.03483448876736</v>
      </c>
      <c r="AM65" s="1">
        <f t="shared" si="132"/>
        <v>100.33815458878215</v>
      </c>
      <c r="AN65" s="1">
        <f t="shared" si="133"/>
        <v>100.21355183597554</v>
      </c>
      <c r="AO65" s="1">
        <f t="shared" si="134"/>
        <v>99.718819764248181</v>
      </c>
      <c r="AP65" s="1">
        <f t="shared" si="135"/>
        <v>100.02447577996051</v>
      </c>
      <c r="AQ65" s="1">
        <f t="shared" si="136"/>
        <v>100.18498504511625</v>
      </c>
      <c r="AR65" s="1">
        <f t="shared" si="137"/>
        <v>100.42928597005375</v>
      </c>
      <c r="AS65" s="1">
        <f t="shared" si="138"/>
        <v>99.795650929816887</v>
      </c>
      <c r="AT65" s="1">
        <f t="shared" si="139"/>
        <v>98.347641363906874</v>
      </c>
      <c r="AU65" s="1">
        <f t="shared" ref="AU65:AW65" si="147">AT65*O65</f>
        <v>99.555966239477044</v>
      </c>
      <c r="AV65" s="1">
        <f t="shared" si="147"/>
        <v>99.506184362111696</v>
      </c>
      <c r="AW65" s="1">
        <f t="shared" si="147"/>
        <v>100.03639906042623</v>
      </c>
      <c r="AX65" s="1" t="b">
        <f t="shared" si="141"/>
        <v>1</v>
      </c>
      <c r="AY65" s="1" t="s">
        <v>73</v>
      </c>
      <c r="AZ65" s="1">
        <v>4</v>
      </c>
      <c r="BA65" s="1">
        <v>27120</v>
      </c>
      <c r="BB65" s="1" t="s">
        <v>288</v>
      </c>
      <c r="BC65" s="1">
        <v>5.3208621750274361E-3</v>
      </c>
    </row>
    <row r="66" spans="1:55" x14ac:dyDescent="0.35">
      <c r="A66" s="1" t="s">
        <v>74</v>
      </c>
      <c r="B66" s="1">
        <v>1.0033241835905613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0.96845026399596157</v>
      </c>
      <c r="O66" s="1">
        <v>1.0325777121155832</v>
      </c>
      <c r="P66" s="1">
        <v>1</v>
      </c>
      <c r="Q66" s="1">
        <v>1</v>
      </c>
      <c r="S66" s="1">
        <f t="shared" si="113"/>
        <v>100</v>
      </c>
      <c r="T66" s="1">
        <f t="shared" si="114"/>
        <v>100</v>
      </c>
      <c r="U66" s="1">
        <f t="shared" si="115"/>
        <v>100</v>
      </c>
      <c r="V66" s="1">
        <f t="shared" si="116"/>
        <v>100</v>
      </c>
      <c r="W66" s="1">
        <f t="shared" si="117"/>
        <v>100</v>
      </c>
      <c r="X66" s="1">
        <f t="shared" si="118"/>
        <v>100</v>
      </c>
      <c r="Y66" s="1">
        <f t="shared" si="119"/>
        <v>100</v>
      </c>
      <c r="Z66" s="1">
        <f t="shared" si="120"/>
        <v>100</v>
      </c>
      <c r="AA66" s="1">
        <f t="shared" si="121"/>
        <v>100</v>
      </c>
      <c r="AB66" s="1">
        <f t="shared" si="122"/>
        <v>100</v>
      </c>
      <c r="AC66" s="1">
        <f t="shared" si="123"/>
        <v>100</v>
      </c>
      <c r="AD66" s="1">
        <f t="shared" si="124"/>
        <v>96.845026399596151</v>
      </c>
      <c r="AE66" s="1">
        <f t="shared" si="125"/>
        <v>99.737085533299691</v>
      </c>
      <c r="AF66" s="1">
        <f t="shared" si="126"/>
        <v>1.0026360752902943</v>
      </c>
      <c r="AH66" s="1" t="str">
        <f t="shared" si="127"/>
        <v>C1392.27180</v>
      </c>
      <c r="AI66" s="1">
        <f t="shared" si="128"/>
        <v>100.26360752902943</v>
      </c>
      <c r="AJ66" s="1">
        <f t="shared" si="129"/>
        <v>100.26360752902943</v>
      </c>
      <c r="AK66" s="1">
        <f t="shared" si="130"/>
        <v>100.26360752902943</v>
      </c>
      <c r="AL66" s="1">
        <f t="shared" si="131"/>
        <v>100.26360752902943</v>
      </c>
      <c r="AM66" s="1">
        <f t="shared" si="132"/>
        <v>100.26360752902943</v>
      </c>
      <c r="AN66" s="1">
        <f t="shared" si="133"/>
        <v>100.26360752902943</v>
      </c>
      <c r="AO66" s="1">
        <f t="shared" si="134"/>
        <v>100.26360752902943</v>
      </c>
      <c r="AP66" s="1">
        <f t="shared" si="135"/>
        <v>100.26360752902943</v>
      </c>
      <c r="AQ66" s="1">
        <f t="shared" si="136"/>
        <v>100.26360752902943</v>
      </c>
      <c r="AR66" s="1">
        <f t="shared" si="137"/>
        <v>100.26360752902943</v>
      </c>
      <c r="AS66" s="1">
        <f t="shared" si="138"/>
        <v>100.26360752902943</v>
      </c>
      <c r="AT66" s="1">
        <f t="shared" si="139"/>
        <v>97.100317180676029</v>
      </c>
      <c r="AU66" s="1">
        <f t="shared" ref="AU66:AW66" si="148">AT66*O66</f>
        <v>100.26362336011991</v>
      </c>
      <c r="AV66" s="1">
        <f t="shared" si="148"/>
        <v>100.26362336011991</v>
      </c>
      <c r="AW66" s="1">
        <f t="shared" si="148"/>
        <v>100.26362336011991</v>
      </c>
      <c r="AX66" s="1" t="b">
        <f t="shared" si="141"/>
        <v>1</v>
      </c>
      <c r="AY66" s="1" t="s">
        <v>74</v>
      </c>
      <c r="AZ66" s="1">
        <v>4</v>
      </c>
      <c r="BA66" s="1">
        <v>27180</v>
      </c>
      <c r="BB66" s="1" t="s">
        <v>289</v>
      </c>
      <c r="BC66" s="1">
        <v>4.4340518125228637E-3</v>
      </c>
    </row>
    <row r="67" spans="1:55" x14ac:dyDescent="0.35">
      <c r="A67" s="1" t="s">
        <v>75</v>
      </c>
      <c r="B67" s="1">
        <v>1</v>
      </c>
      <c r="C67" s="1">
        <v>1</v>
      </c>
      <c r="D67" s="1">
        <v>0.99490742522183884</v>
      </c>
      <c r="E67" s="1">
        <v>1.009342526128937</v>
      </c>
      <c r="F67" s="1">
        <v>0.98834656771346585</v>
      </c>
      <c r="G67" s="1">
        <v>1.0128480225205478</v>
      </c>
      <c r="H67" s="1">
        <v>0.99796949915266964</v>
      </c>
      <c r="I67" s="1">
        <v>0.98258642270605712</v>
      </c>
      <c r="J67" s="1">
        <v>1.0038975849372618</v>
      </c>
      <c r="K67" s="1">
        <v>1.0113657177603861</v>
      </c>
      <c r="L67" s="1">
        <v>0.99014733523478682</v>
      </c>
      <c r="M67" s="1">
        <v>1.0014567975163666</v>
      </c>
      <c r="N67" s="1">
        <v>0.9925895719369543</v>
      </c>
      <c r="O67" s="1">
        <v>1.0035668658531074</v>
      </c>
      <c r="P67" s="1">
        <v>1.0034343944214474</v>
      </c>
      <c r="Q67" s="1">
        <v>1.0015634167264802</v>
      </c>
      <c r="S67" s="1">
        <f t="shared" si="113"/>
        <v>100</v>
      </c>
      <c r="T67" s="1">
        <f t="shared" si="114"/>
        <v>99.490742522183879</v>
      </c>
      <c r="U67" s="1">
        <f t="shared" si="115"/>
        <v>100.42023738378472</v>
      </c>
      <c r="V67" s="1">
        <f t="shared" si="116"/>
        <v>99.249996947235104</v>
      </c>
      <c r="W67" s="1">
        <f t="shared" si="117"/>
        <v>100.52516314317748</v>
      </c>
      <c r="X67" s="1">
        <f t="shared" si="118"/>
        <v>100.32104671423724</v>
      </c>
      <c r="Y67" s="1">
        <f t="shared" si="119"/>
        <v>98.574098413069621</v>
      </c>
      <c r="Z67" s="1">
        <f t="shared" si="120"/>
        <v>98.958299334248565</v>
      </c>
      <c r="AA67" s="1">
        <f t="shared" si="121"/>
        <v>100.08303143452943</v>
      </c>
      <c r="AB67" s="1">
        <f t="shared" si="122"/>
        <v>99.096946877118725</v>
      </c>
      <c r="AC67" s="1">
        <f t="shared" si="123"/>
        <v>99.241311063208826</v>
      </c>
      <c r="AD67" s="1">
        <f t="shared" si="124"/>
        <v>98.505890466692577</v>
      </c>
      <c r="AE67" s="1">
        <f t="shared" si="125"/>
        <v>99.538897024957166</v>
      </c>
      <c r="AF67" s="1">
        <f t="shared" si="126"/>
        <v>1.004632389837786</v>
      </c>
      <c r="AH67" s="1" t="str">
        <f t="shared" si="127"/>
        <v>C1392.27190</v>
      </c>
      <c r="AI67" s="1">
        <f t="shared" si="128"/>
        <v>100.46323898377861</v>
      </c>
      <c r="AJ67" s="1">
        <f t="shared" si="129"/>
        <v>99.951622426797428</v>
      </c>
      <c r="AK67" s="1">
        <f t="shared" si="130"/>
        <v>100.88542307094943</v>
      </c>
      <c r="AL67" s="1">
        <f t="shared" si="131"/>
        <v>99.709761624493765</v>
      </c>
      <c r="AM67" s="1">
        <f t="shared" si="132"/>
        <v>100.99083488736372</v>
      </c>
      <c r="AN67" s="1">
        <f t="shared" si="133"/>
        <v>100.78577291155233</v>
      </c>
      <c r="AO67" s="1">
        <f t="shared" si="134"/>
        <v>99.030732064827248</v>
      </c>
      <c r="AP67" s="1">
        <f t="shared" si="135"/>
        <v>99.416712754449122</v>
      </c>
      <c r="AQ67" s="1">
        <f t="shared" si="136"/>
        <v>100.54665505228157</v>
      </c>
      <c r="AR67" s="1">
        <f t="shared" si="137"/>
        <v>99.55600256678791</v>
      </c>
      <c r="AS67" s="1">
        <f t="shared" si="138"/>
        <v>99.701035504066596</v>
      </c>
      <c r="AT67" s="1">
        <f t="shared" si="139"/>
        <v>98.962208152652551</v>
      </c>
      <c r="AU67" s="1">
        <f t="shared" ref="AU67:AW67" si="149">AT67*O67</f>
        <v>99.315193073660353</v>
      </c>
      <c r="AV67" s="1">
        <f t="shared" si="149"/>
        <v>99.656280618717503</v>
      </c>
      <c r="AW67" s="1">
        <f t="shared" si="149"/>
        <v>99.812084914735607</v>
      </c>
      <c r="AX67" s="1" t="b">
        <f t="shared" si="141"/>
        <v>1</v>
      </c>
      <c r="AY67" s="1" t="s">
        <v>75</v>
      </c>
      <c r="AZ67" s="1">
        <v>4</v>
      </c>
      <c r="BA67" s="1">
        <v>27190</v>
      </c>
      <c r="BB67" s="1" t="s">
        <v>290</v>
      </c>
      <c r="BC67" s="1">
        <v>4.4340518125228637E-3</v>
      </c>
    </row>
    <row r="68" spans="1:55" x14ac:dyDescent="0.35">
      <c r="A68" s="1" t="s">
        <v>76</v>
      </c>
      <c r="B68" s="1">
        <v>0.99977401392159237</v>
      </c>
      <c r="C68" s="1">
        <v>1</v>
      </c>
      <c r="D68" s="1">
        <v>0.99976068761559966</v>
      </c>
      <c r="E68" s="1">
        <v>1.0000051220061874</v>
      </c>
      <c r="F68" s="1">
        <v>0.99898376790638588</v>
      </c>
      <c r="G68" s="1">
        <v>0.99957746691500204</v>
      </c>
      <c r="H68" s="1">
        <v>1.0001009948000557</v>
      </c>
      <c r="I68" s="1">
        <v>0.99989144032024224</v>
      </c>
      <c r="J68" s="1">
        <v>0.99947178786373614</v>
      </c>
      <c r="K68" s="1">
        <v>1</v>
      </c>
      <c r="L68" s="1">
        <v>0.9994592631467597</v>
      </c>
      <c r="M68" s="1">
        <v>0.99971329144780785</v>
      </c>
      <c r="N68" s="1">
        <v>0.99957570643569804</v>
      </c>
      <c r="O68" s="1">
        <v>0.99996184715709879</v>
      </c>
      <c r="P68" s="1">
        <v>1.0002720718521334</v>
      </c>
      <c r="Q68" s="1">
        <v>0.99965424485479193</v>
      </c>
      <c r="S68" s="1">
        <f t="shared" ref="S68:S131" si="150">C68*100</f>
        <v>100</v>
      </c>
      <c r="T68" s="1">
        <f t="shared" si="114"/>
        <v>99.976068761559972</v>
      </c>
      <c r="U68" s="1">
        <f t="shared" si="115"/>
        <v>99.976580839602761</v>
      </c>
      <c r="V68" s="1">
        <f t="shared" si="116"/>
        <v>99.874981429543752</v>
      </c>
      <c r="W68" s="1">
        <f t="shared" si="117"/>
        <v>99.83278094552621</v>
      </c>
      <c r="X68" s="1">
        <f t="shared" si="118"/>
        <v>99.842863537276799</v>
      </c>
      <c r="Y68" s="1">
        <f t="shared" si="119"/>
        <v>99.832024627985092</v>
      </c>
      <c r="Z68" s="1">
        <f t="shared" si="120"/>
        <v>99.779292140988801</v>
      </c>
      <c r="AA68" s="1">
        <f t="shared" si="121"/>
        <v>99.779292140988801</v>
      </c>
      <c r="AB68" s="1">
        <f t="shared" si="122"/>
        <v>99.725337800537943</v>
      </c>
      <c r="AC68" s="1">
        <f t="shared" si="123"/>
        <v>99.696745693320281</v>
      </c>
      <c r="AD68" s="1">
        <f t="shared" si="124"/>
        <v>99.654445005740754</v>
      </c>
      <c r="AE68" s="1">
        <f t="shared" si="125"/>
        <v>99.83086774358928</v>
      </c>
      <c r="AF68" s="1">
        <f t="shared" si="126"/>
        <v>1.0016941879824699</v>
      </c>
      <c r="AH68" s="1" t="str">
        <f t="shared" si="127"/>
        <v>C1399.27911</v>
      </c>
      <c r="AI68" s="1">
        <f t="shared" si="128"/>
        <v>100.16941879824699</v>
      </c>
      <c r="AJ68" s="1">
        <f t="shared" si="129"/>
        <v>100.1454470157904</v>
      </c>
      <c r="AK68" s="1">
        <f t="shared" si="130"/>
        <v>100.14595996138965</v>
      </c>
      <c r="AL68" s="1">
        <f t="shared" si="131"/>
        <v>100.04418842283108</v>
      </c>
      <c r="AM68" s="1">
        <f t="shared" si="132"/>
        <v>100.00191644326067</v>
      </c>
      <c r="AN68" s="1">
        <f t="shared" si="133"/>
        <v>100.01201611681704</v>
      </c>
      <c r="AO68" s="1">
        <f t="shared" si="134"/>
        <v>100.00115884437547</v>
      </c>
      <c r="AP68" s="1">
        <f t="shared" si="135"/>
        <v>99.948337018633424</v>
      </c>
      <c r="AQ68" s="1">
        <f t="shared" si="136"/>
        <v>99.948337018633424</v>
      </c>
      <c r="AR68" s="1">
        <f t="shared" si="137"/>
        <v>99.894291269387367</v>
      </c>
      <c r="AS68" s="1">
        <f t="shared" si="138"/>
        <v>99.865650721765263</v>
      </c>
      <c r="AT68" s="1">
        <f t="shared" si="139"/>
        <v>99.823278368869182</v>
      </c>
      <c r="AU68" s="1">
        <f t="shared" ref="AU68:AW68" si="151">AT68*O68</f>
        <v>99.819469827011687</v>
      </c>
      <c r="AV68" s="1">
        <f t="shared" si="151"/>
        <v>99.846627895046495</v>
      </c>
      <c r="AW68" s="1">
        <f t="shared" si="151"/>
        <v>99.812105409720104</v>
      </c>
      <c r="AX68" s="1" t="b">
        <f t="shared" si="141"/>
        <v>1</v>
      </c>
      <c r="AY68" s="1" t="s">
        <v>76</v>
      </c>
      <c r="AZ68" s="1">
        <v>4</v>
      </c>
      <c r="BA68" s="1">
        <v>27911</v>
      </c>
      <c r="BB68" s="1" t="s">
        <v>291</v>
      </c>
      <c r="BC68" s="1">
        <v>3.5472414500182913E-3</v>
      </c>
    </row>
    <row r="69" spans="1:55" x14ac:dyDescent="0.35">
      <c r="A69" s="1" t="s">
        <v>77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S69" s="1">
        <f t="shared" si="150"/>
        <v>100</v>
      </c>
      <c r="T69" s="1">
        <f t="shared" ref="T69:T132" si="152">S69*D69</f>
        <v>100</v>
      </c>
      <c r="U69" s="1">
        <f t="shared" ref="U69:U132" si="153">T69*E69</f>
        <v>100</v>
      </c>
      <c r="V69" s="1">
        <f t="shared" ref="V69:V132" si="154">U69*F69</f>
        <v>100</v>
      </c>
      <c r="W69" s="1">
        <f t="shared" ref="W69:W132" si="155">V69*G69</f>
        <v>100</v>
      </c>
      <c r="X69" s="1">
        <f t="shared" ref="X69:X132" si="156">W69*H69</f>
        <v>100</v>
      </c>
      <c r="Y69" s="1">
        <f t="shared" ref="Y69:Y132" si="157">X69*I69</f>
        <v>100</v>
      </c>
      <c r="Z69" s="1">
        <f t="shared" ref="Z69:Z132" si="158">Y69*J69</f>
        <v>100</v>
      </c>
      <c r="AA69" s="1">
        <f t="shared" ref="AA69:AA132" si="159">Z69*K69</f>
        <v>100</v>
      </c>
      <c r="AB69" s="1">
        <f t="shared" ref="AB69:AB132" si="160">AA69*L69</f>
        <v>100</v>
      </c>
      <c r="AC69" s="1">
        <f t="shared" ref="AC69:AC132" si="161">AB69*M69</f>
        <v>100</v>
      </c>
      <c r="AD69" s="1">
        <f t="shared" ref="AD69:AD132" si="162">AC69*N69</f>
        <v>100</v>
      </c>
      <c r="AE69" s="1">
        <f t="shared" ref="AE69:AE132" si="163">AVERAGE(S69:AD69)</f>
        <v>100</v>
      </c>
      <c r="AF69" s="1">
        <f t="shared" ref="AF69:AF132" si="164">100/AE69</f>
        <v>1</v>
      </c>
      <c r="AH69" s="1" t="str">
        <f t="shared" ref="AH69:AH132" si="165">A69</f>
        <v>C1410.28221</v>
      </c>
      <c r="AI69" s="1">
        <f t="shared" si="128"/>
        <v>100</v>
      </c>
      <c r="AJ69" s="1">
        <f t="shared" si="129"/>
        <v>100</v>
      </c>
      <c r="AK69" s="1">
        <f t="shared" si="130"/>
        <v>100</v>
      </c>
      <c r="AL69" s="1">
        <f t="shared" si="131"/>
        <v>100</v>
      </c>
      <c r="AM69" s="1">
        <f t="shared" si="132"/>
        <v>100</v>
      </c>
      <c r="AN69" s="1">
        <f t="shared" si="133"/>
        <v>100</v>
      </c>
      <c r="AO69" s="1">
        <f t="shared" si="134"/>
        <v>100</v>
      </c>
      <c r="AP69" s="1">
        <f t="shared" si="135"/>
        <v>100</v>
      </c>
      <c r="AQ69" s="1">
        <f t="shared" si="136"/>
        <v>100</v>
      </c>
      <c r="AR69" s="1">
        <f t="shared" si="137"/>
        <v>100</v>
      </c>
      <c r="AS69" s="1">
        <f t="shared" si="138"/>
        <v>100</v>
      </c>
      <c r="AT69" s="1">
        <f t="shared" si="139"/>
        <v>100</v>
      </c>
      <c r="AU69" s="1">
        <f t="shared" ref="AU69:AW69" si="166">AT69*O69</f>
        <v>100</v>
      </c>
      <c r="AV69" s="1">
        <f t="shared" si="166"/>
        <v>100</v>
      </c>
      <c r="AW69" s="1">
        <f t="shared" si="166"/>
        <v>100</v>
      </c>
      <c r="AX69" s="1" t="b">
        <f t="shared" si="141"/>
        <v>1</v>
      </c>
      <c r="AY69" s="1" t="s">
        <v>77</v>
      </c>
      <c r="AZ69" s="1">
        <v>4</v>
      </c>
      <c r="BA69" s="1" t="s">
        <v>292</v>
      </c>
      <c r="BB69" s="1" t="s">
        <v>293</v>
      </c>
      <c r="BC69" s="1">
        <v>6.2446449293731198E-3</v>
      </c>
    </row>
    <row r="70" spans="1:55" x14ac:dyDescent="0.35">
      <c r="A70" s="1" t="s">
        <v>78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1.0129094569634631</v>
      </c>
      <c r="P70" s="1">
        <v>0.99999996444444883</v>
      </c>
      <c r="Q70" s="1">
        <v>1</v>
      </c>
      <c r="S70" s="1">
        <f t="shared" si="150"/>
        <v>100</v>
      </c>
      <c r="T70" s="1">
        <f t="shared" si="152"/>
        <v>100</v>
      </c>
      <c r="U70" s="1">
        <f t="shared" si="153"/>
        <v>100</v>
      </c>
      <c r="V70" s="1">
        <f t="shared" si="154"/>
        <v>100</v>
      </c>
      <c r="W70" s="1">
        <f t="shared" si="155"/>
        <v>100</v>
      </c>
      <c r="X70" s="1">
        <f t="shared" si="156"/>
        <v>100</v>
      </c>
      <c r="Y70" s="1">
        <f t="shared" si="157"/>
        <v>100</v>
      </c>
      <c r="Z70" s="1">
        <f t="shared" si="158"/>
        <v>100</v>
      </c>
      <c r="AA70" s="1">
        <f t="shared" si="159"/>
        <v>100</v>
      </c>
      <c r="AB70" s="1">
        <f t="shared" si="160"/>
        <v>100</v>
      </c>
      <c r="AC70" s="1">
        <f t="shared" si="161"/>
        <v>100</v>
      </c>
      <c r="AD70" s="1">
        <f t="shared" si="162"/>
        <v>100</v>
      </c>
      <c r="AE70" s="1">
        <f t="shared" si="163"/>
        <v>100</v>
      </c>
      <c r="AF70" s="1">
        <f t="shared" si="164"/>
        <v>1</v>
      </c>
      <c r="AH70" s="1" t="str">
        <f t="shared" si="165"/>
        <v>C1410.28222</v>
      </c>
      <c r="AI70" s="1">
        <f t="shared" si="128"/>
        <v>100</v>
      </c>
      <c r="AJ70" s="1">
        <f t="shared" si="129"/>
        <v>100</v>
      </c>
      <c r="AK70" s="1">
        <f t="shared" si="130"/>
        <v>100</v>
      </c>
      <c r="AL70" s="1">
        <f t="shared" si="131"/>
        <v>100</v>
      </c>
      <c r="AM70" s="1">
        <f t="shared" si="132"/>
        <v>100</v>
      </c>
      <c r="AN70" s="1">
        <f t="shared" si="133"/>
        <v>100</v>
      </c>
      <c r="AO70" s="1">
        <f t="shared" si="134"/>
        <v>100</v>
      </c>
      <c r="AP70" s="1">
        <f t="shared" si="135"/>
        <v>100</v>
      </c>
      <c r="AQ70" s="1">
        <f t="shared" si="136"/>
        <v>100</v>
      </c>
      <c r="AR70" s="1">
        <f t="shared" si="137"/>
        <v>100</v>
      </c>
      <c r="AS70" s="1">
        <f t="shared" si="138"/>
        <v>100</v>
      </c>
      <c r="AT70" s="1">
        <f t="shared" si="139"/>
        <v>100</v>
      </c>
      <c r="AU70" s="1">
        <f t="shared" ref="AU70:AW70" si="167">AT70*O70</f>
        <v>101.29094569634631</v>
      </c>
      <c r="AV70" s="1">
        <f t="shared" si="167"/>
        <v>101.29094209489091</v>
      </c>
      <c r="AW70" s="1">
        <f t="shared" si="167"/>
        <v>101.29094209489091</v>
      </c>
      <c r="AX70" s="1" t="b">
        <f t="shared" si="141"/>
        <v>1</v>
      </c>
      <c r="AY70" s="1" t="s">
        <v>78</v>
      </c>
      <c r="AZ70" s="1">
        <v>4</v>
      </c>
      <c r="BA70" s="1" t="s">
        <v>294</v>
      </c>
      <c r="BB70" s="1" t="s">
        <v>295</v>
      </c>
      <c r="BC70" s="1">
        <v>6.2446449293731198E-3</v>
      </c>
    </row>
    <row r="71" spans="1:55" x14ac:dyDescent="0.35">
      <c r="A71" s="1" t="s">
        <v>79</v>
      </c>
      <c r="B71" s="1">
        <v>0.99927387875135909</v>
      </c>
      <c r="C71" s="1">
        <v>1</v>
      </c>
      <c r="D71" s="1">
        <v>0.98025992919182314</v>
      </c>
      <c r="E71" s="1">
        <v>1.018140142449359</v>
      </c>
      <c r="F71" s="1">
        <v>1.002887260187701</v>
      </c>
      <c r="G71" s="1">
        <v>0.99260792473656501</v>
      </c>
      <c r="H71" s="1">
        <v>0.97507781260163384</v>
      </c>
      <c r="I71" s="1">
        <v>1.0046533570176079</v>
      </c>
      <c r="J71" s="1">
        <v>1.0168479001866211</v>
      </c>
      <c r="K71" s="1">
        <v>1.0048526644218609</v>
      </c>
      <c r="L71" s="1">
        <v>0.97517663968781787</v>
      </c>
      <c r="M71" s="1">
        <v>1.0180220345613971</v>
      </c>
      <c r="N71" s="1">
        <v>0.96270480420630933</v>
      </c>
      <c r="O71" s="1">
        <v>0.98337505763690458</v>
      </c>
      <c r="P71" s="1">
        <v>1.022614570144543</v>
      </c>
      <c r="Q71" s="1">
        <v>0.9998418023851261</v>
      </c>
      <c r="S71" s="1">
        <f t="shared" si="150"/>
        <v>100</v>
      </c>
      <c r="T71" s="1">
        <f t="shared" si="152"/>
        <v>98.025992919182315</v>
      </c>
      <c r="U71" s="1">
        <f t="shared" si="153"/>
        <v>99.804198394476145</v>
      </c>
      <c r="V71" s="1">
        <f t="shared" si="154"/>
        <v>100.09235908306593</v>
      </c>
      <c r="W71" s="1">
        <f t="shared" si="155"/>
        <v>99.35246883142915</v>
      </c>
      <c r="X71" s="1">
        <f t="shared" si="156"/>
        <v>96.876387984721944</v>
      </c>
      <c r="Y71" s="1">
        <f t="shared" si="157"/>
        <v>97.327188404591155</v>
      </c>
      <c r="Z71" s="1">
        <f t="shared" si="158"/>
        <v>98.966947160276177</v>
      </c>
      <c r="AA71" s="1">
        <f t="shared" si="159"/>
        <v>99.447200543701044</v>
      </c>
      <c r="AB71" s="1">
        <f t="shared" si="160"/>
        <v>96.97858685256692</v>
      </c>
      <c r="AC71" s="1">
        <f t="shared" si="161"/>
        <v>98.726338296539325</v>
      </c>
      <c r="AD71" s="1">
        <f t="shared" si="162"/>
        <v>95.044320179775752</v>
      </c>
      <c r="AE71" s="1">
        <f t="shared" si="163"/>
        <v>98.38683238752715</v>
      </c>
      <c r="AF71" s="1">
        <f t="shared" si="164"/>
        <v>1.0163961738916329</v>
      </c>
      <c r="AH71" s="1" t="str">
        <f t="shared" si="165"/>
        <v>C1410.28224</v>
      </c>
      <c r="AI71" s="1">
        <f t="shared" si="128"/>
        <v>101.63961738916329</v>
      </c>
      <c r="AJ71" s="1">
        <f t="shared" si="129"/>
        <v>99.633244144985213</v>
      </c>
      <c r="AK71" s="1">
        <f t="shared" si="130"/>
        <v>101.44060538646701</v>
      </c>
      <c r="AL71" s="1">
        <f t="shared" si="131"/>
        <v>101.73349080781564</v>
      </c>
      <c r="AM71" s="1">
        <f t="shared" si="132"/>
        <v>100.98146918695231</v>
      </c>
      <c r="AN71" s="1">
        <f t="shared" si="133"/>
        <v>98.46479008811275</v>
      </c>
      <c r="AO71" s="1">
        <f t="shared" si="134"/>
        <v>98.922981910056549</v>
      </c>
      <c r="AP71" s="1">
        <f t="shared" si="135"/>
        <v>100.58962643544011</v>
      </c>
      <c r="AQ71" s="1">
        <f t="shared" si="136"/>
        <v>101.07775413685167</v>
      </c>
      <c r="AR71" s="1">
        <f t="shared" si="137"/>
        <v>98.568664626366441</v>
      </c>
      <c r="AS71" s="1">
        <f t="shared" si="138"/>
        <v>100.34507250693356</v>
      </c>
      <c r="AT71" s="1">
        <f t="shared" si="139"/>
        <v>96.602683380855396</v>
      </c>
      <c r="AU71" s="1">
        <f t="shared" ref="AU71:AW71" si="168">AT71*O71</f>
        <v>94.996669337528317</v>
      </c>
      <c r="AV71" s="1">
        <f t="shared" si="168"/>
        <v>97.144978179759818</v>
      </c>
      <c r="AW71" s="1">
        <f t="shared" si="168"/>
        <v>97.129610075914798</v>
      </c>
      <c r="AX71" s="1" t="b">
        <f t="shared" si="141"/>
        <v>1</v>
      </c>
      <c r="AY71" s="1" t="s">
        <v>79</v>
      </c>
      <c r="AZ71" s="1">
        <v>4</v>
      </c>
      <c r="BA71" s="1" t="s">
        <v>296</v>
      </c>
      <c r="BB71" s="1" t="s">
        <v>297</v>
      </c>
      <c r="BC71" s="1">
        <v>6.2446449293731198E-3</v>
      </c>
    </row>
    <row r="72" spans="1:55" x14ac:dyDescent="0.35">
      <c r="A72" s="1" t="s">
        <v>80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1.0193771360600143</v>
      </c>
      <c r="P72" s="1">
        <v>1</v>
      </c>
      <c r="Q72" s="1">
        <v>1</v>
      </c>
      <c r="S72" s="1">
        <f t="shared" si="150"/>
        <v>100</v>
      </c>
      <c r="T72" s="1">
        <f t="shared" si="152"/>
        <v>100</v>
      </c>
      <c r="U72" s="1">
        <f t="shared" si="153"/>
        <v>100</v>
      </c>
      <c r="V72" s="1">
        <f t="shared" si="154"/>
        <v>100</v>
      </c>
      <c r="W72" s="1">
        <f t="shared" si="155"/>
        <v>100</v>
      </c>
      <c r="X72" s="1">
        <f t="shared" si="156"/>
        <v>100</v>
      </c>
      <c r="Y72" s="1">
        <f t="shared" si="157"/>
        <v>100</v>
      </c>
      <c r="Z72" s="1">
        <f t="shared" si="158"/>
        <v>100</v>
      </c>
      <c r="AA72" s="1">
        <f t="shared" si="159"/>
        <v>100</v>
      </c>
      <c r="AB72" s="1">
        <f t="shared" si="160"/>
        <v>100</v>
      </c>
      <c r="AC72" s="1">
        <f t="shared" si="161"/>
        <v>100</v>
      </c>
      <c r="AD72" s="1">
        <f t="shared" si="162"/>
        <v>100</v>
      </c>
      <c r="AE72" s="1">
        <f t="shared" si="163"/>
        <v>100</v>
      </c>
      <c r="AF72" s="1">
        <f t="shared" si="164"/>
        <v>1</v>
      </c>
      <c r="AH72" s="1" t="str">
        <f t="shared" si="165"/>
        <v>C1410.28225</v>
      </c>
      <c r="AI72" s="1">
        <f t="shared" si="128"/>
        <v>100</v>
      </c>
      <c r="AJ72" s="1">
        <f t="shared" si="129"/>
        <v>100</v>
      </c>
      <c r="AK72" s="1">
        <f t="shared" si="130"/>
        <v>100</v>
      </c>
      <c r="AL72" s="1">
        <f t="shared" si="131"/>
        <v>100</v>
      </c>
      <c r="AM72" s="1">
        <f t="shared" si="132"/>
        <v>100</v>
      </c>
      <c r="AN72" s="1">
        <f t="shared" si="133"/>
        <v>100</v>
      </c>
      <c r="AO72" s="1">
        <f t="shared" si="134"/>
        <v>100</v>
      </c>
      <c r="AP72" s="1">
        <f t="shared" si="135"/>
        <v>100</v>
      </c>
      <c r="AQ72" s="1">
        <f t="shared" si="136"/>
        <v>100</v>
      </c>
      <c r="AR72" s="1">
        <f t="shared" si="137"/>
        <v>100</v>
      </c>
      <c r="AS72" s="1">
        <f t="shared" si="138"/>
        <v>100</v>
      </c>
      <c r="AT72" s="1">
        <f t="shared" si="139"/>
        <v>100</v>
      </c>
      <c r="AU72" s="1">
        <f t="shared" ref="AU72:AW72" si="169">AT72*O72</f>
        <v>101.93771360600144</v>
      </c>
      <c r="AV72" s="1">
        <f t="shared" si="169"/>
        <v>101.93771360600144</v>
      </c>
      <c r="AW72" s="1">
        <f t="shared" si="169"/>
        <v>101.93771360600144</v>
      </c>
      <c r="AX72" s="1" t="b">
        <f t="shared" si="141"/>
        <v>1</v>
      </c>
      <c r="AY72" s="1" t="s">
        <v>80</v>
      </c>
      <c r="AZ72" s="1">
        <v>4</v>
      </c>
      <c r="BA72" s="1" t="s">
        <v>298</v>
      </c>
      <c r="BB72" s="1" t="s">
        <v>299</v>
      </c>
      <c r="BC72" s="1">
        <v>6.2446449293731198E-3</v>
      </c>
    </row>
    <row r="73" spans="1:55" x14ac:dyDescent="0.35">
      <c r="A73" s="1" t="s">
        <v>81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0.99292272066190967</v>
      </c>
      <c r="Q73" s="1">
        <v>1</v>
      </c>
      <c r="S73" s="1">
        <f t="shared" si="150"/>
        <v>100</v>
      </c>
      <c r="T73" s="1">
        <f t="shared" si="152"/>
        <v>100</v>
      </c>
      <c r="U73" s="1">
        <f t="shared" si="153"/>
        <v>100</v>
      </c>
      <c r="V73" s="1">
        <f t="shared" si="154"/>
        <v>100</v>
      </c>
      <c r="W73" s="1">
        <f t="shared" si="155"/>
        <v>100</v>
      </c>
      <c r="X73" s="1">
        <f t="shared" si="156"/>
        <v>100</v>
      </c>
      <c r="Y73" s="1">
        <f t="shared" si="157"/>
        <v>100</v>
      </c>
      <c r="Z73" s="1">
        <f t="shared" si="158"/>
        <v>100</v>
      </c>
      <c r="AA73" s="1">
        <f t="shared" si="159"/>
        <v>100</v>
      </c>
      <c r="AB73" s="1">
        <f t="shared" si="160"/>
        <v>100</v>
      </c>
      <c r="AC73" s="1">
        <f t="shared" si="161"/>
        <v>100</v>
      </c>
      <c r="AD73" s="1">
        <f t="shared" si="162"/>
        <v>100</v>
      </c>
      <c r="AE73" s="1">
        <f t="shared" si="163"/>
        <v>100</v>
      </c>
      <c r="AF73" s="1">
        <f t="shared" si="164"/>
        <v>1</v>
      </c>
      <c r="AH73" s="1" t="str">
        <f t="shared" si="165"/>
        <v>C1410.28231</v>
      </c>
      <c r="AI73" s="1">
        <f t="shared" si="128"/>
        <v>100</v>
      </c>
      <c r="AJ73" s="1">
        <f t="shared" si="129"/>
        <v>100</v>
      </c>
      <c r="AK73" s="1">
        <f t="shared" si="130"/>
        <v>100</v>
      </c>
      <c r="AL73" s="1">
        <f t="shared" si="131"/>
        <v>100</v>
      </c>
      <c r="AM73" s="1">
        <f t="shared" si="132"/>
        <v>100</v>
      </c>
      <c r="AN73" s="1">
        <f t="shared" si="133"/>
        <v>100</v>
      </c>
      <c r="AO73" s="1">
        <f t="shared" si="134"/>
        <v>100</v>
      </c>
      <c r="AP73" s="1">
        <f t="shared" si="135"/>
        <v>100</v>
      </c>
      <c r="AQ73" s="1">
        <f t="shared" si="136"/>
        <v>100</v>
      </c>
      <c r="AR73" s="1">
        <f t="shared" si="137"/>
        <v>100</v>
      </c>
      <c r="AS73" s="1">
        <f t="shared" si="138"/>
        <v>100</v>
      </c>
      <c r="AT73" s="1">
        <f t="shared" si="139"/>
        <v>100</v>
      </c>
      <c r="AU73" s="1">
        <f t="shared" ref="AU73:AW73" si="170">AT73*O73</f>
        <v>100</v>
      </c>
      <c r="AV73" s="1">
        <f t="shared" si="170"/>
        <v>99.292272066190961</v>
      </c>
      <c r="AW73" s="1">
        <f t="shared" si="170"/>
        <v>99.292272066190961</v>
      </c>
      <c r="AX73" s="1" t="b">
        <f t="shared" si="141"/>
        <v>1</v>
      </c>
      <c r="AY73" s="1" t="s">
        <v>81</v>
      </c>
      <c r="AZ73" s="1">
        <v>4</v>
      </c>
      <c r="BA73" s="1" t="s">
        <v>300</v>
      </c>
      <c r="BB73" s="1" t="s">
        <v>301</v>
      </c>
      <c r="BC73" s="1">
        <v>6.2446449293731198E-3</v>
      </c>
    </row>
    <row r="74" spans="1:55" x14ac:dyDescent="0.35">
      <c r="A74" s="1" t="s">
        <v>82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1.0055084403557144</v>
      </c>
      <c r="P74" s="1">
        <v>1.0018083127683635</v>
      </c>
      <c r="Q74" s="1">
        <v>1.0229789180697952</v>
      </c>
      <c r="S74" s="1">
        <f t="shared" si="150"/>
        <v>100</v>
      </c>
      <c r="T74" s="1">
        <f t="shared" si="152"/>
        <v>100</v>
      </c>
      <c r="U74" s="1">
        <f t="shared" si="153"/>
        <v>100</v>
      </c>
      <c r="V74" s="1">
        <f t="shared" si="154"/>
        <v>100</v>
      </c>
      <c r="W74" s="1">
        <f t="shared" si="155"/>
        <v>100</v>
      </c>
      <c r="X74" s="1">
        <f t="shared" si="156"/>
        <v>100</v>
      </c>
      <c r="Y74" s="1">
        <f t="shared" si="157"/>
        <v>100</v>
      </c>
      <c r="Z74" s="1">
        <f t="shared" si="158"/>
        <v>100</v>
      </c>
      <c r="AA74" s="1">
        <f t="shared" si="159"/>
        <v>100</v>
      </c>
      <c r="AB74" s="1">
        <f t="shared" si="160"/>
        <v>100</v>
      </c>
      <c r="AC74" s="1">
        <f t="shared" si="161"/>
        <v>100</v>
      </c>
      <c r="AD74" s="1">
        <f t="shared" si="162"/>
        <v>100</v>
      </c>
      <c r="AE74" s="1">
        <f t="shared" si="163"/>
        <v>100</v>
      </c>
      <c r="AF74" s="1">
        <f t="shared" si="164"/>
        <v>1</v>
      </c>
      <c r="AH74" s="1" t="str">
        <f t="shared" si="165"/>
        <v>C1410.28232</v>
      </c>
      <c r="AI74" s="1">
        <f t="shared" si="128"/>
        <v>100</v>
      </c>
      <c r="AJ74" s="1">
        <f t="shared" si="129"/>
        <v>100</v>
      </c>
      <c r="AK74" s="1">
        <f t="shared" si="130"/>
        <v>100</v>
      </c>
      <c r="AL74" s="1">
        <f t="shared" si="131"/>
        <v>100</v>
      </c>
      <c r="AM74" s="1">
        <f t="shared" si="132"/>
        <v>100</v>
      </c>
      <c r="AN74" s="1">
        <f t="shared" si="133"/>
        <v>100</v>
      </c>
      <c r="AO74" s="1">
        <f t="shared" si="134"/>
        <v>100</v>
      </c>
      <c r="AP74" s="1">
        <f t="shared" si="135"/>
        <v>100</v>
      </c>
      <c r="AQ74" s="1">
        <f t="shared" si="136"/>
        <v>100</v>
      </c>
      <c r="AR74" s="1">
        <f t="shared" si="137"/>
        <v>100</v>
      </c>
      <c r="AS74" s="1">
        <f t="shared" si="138"/>
        <v>100</v>
      </c>
      <c r="AT74" s="1">
        <f t="shared" si="139"/>
        <v>100</v>
      </c>
      <c r="AU74" s="1">
        <f t="shared" ref="AU74:AW74" si="171">AT74*O74</f>
        <v>100.55084403557144</v>
      </c>
      <c r="AV74" s="1">
        <f t="shared" si="171"/>
        <v>100.73267141071069</v>
      </c>
      <c r="AW74" s="1">
        <f t="shared" si="171"/>
        <v>103.04739921400902</v>
      </c>
      <c r="AX74" s="1" t="b">
        <f t="shared" si="141"/>
        <v>1</v>
      </c>
      <c r="AY74" s="1" t="s">
        <v>82</v>
      </c>
      <c r="AZ74" s="1">
        <v>4</v>
      </c>
      <c r="BA74" s="1" t="s">
        <v>302</v>
      </c>
      <c r="BB74" s="1" t="s">
        <v>303</v>
      </c>
      <c r="BC74" s="1">
        <v>6.2446449293731198E-3</v>
      </c>
    </row>
    <row r="75" spans="1:55" x14ac:dyDescent="0.35">
      <c r="A75" s="1" t="s">
        <v>83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0.98756537921295107</v>
      </c>
      <c r="Q75" s="1">
        <v>1</v>
      </c>
      <c r="S75" s="1">
        <f t="shared" si="150"/>
        <v>100</v>
      </c>
      <c r="T75" s="1">
        <f t="shared" si="152"/>
        <v>100</v>
      </c>
      <c r="U75" s="1">
        <f t="shared" si="153"/>
        <v>100</v>
      </c>
      <c r="V75" s="1">
        <f t="shared" si="154"/>
        <v>100</v>
      </c>
      <c r="W75" s="1">
        <f t="shared" si="155"/>
        <v>100</v>
      </c>
      <c r="X75" s="1">
        <f t="shared" si="156"/>
        <v>100</v>
      </c>
      <c r="Y75" s="1">
        <f t="shared" si="157"/>
        <v>100</v>
      </c>
      <c r="Z75" s="1">
        <f t="shared" si="158"/>
        <v>100</v>
      </c>
      <c r="AA75" s="1">
        <f t="shared" si="159"/>
        <v>100</v>
      </c>
      <c r="AB75" s="1">
        <f t="shared" si="160"/>
        <v>100</v>
      </c>
      <c r="AC75" s="1">
        <f t="shared" si="161"/>
        <v>100</v>
      </c>
      <c r="AD75" s="1">
        <f t="shared" si="162"/>
        <v>100</v>
      </c>
      <c r="AE75" s="1">
        <f t="shared" si="163"/>
        <v>100</v>
      </c>
      <c r="AF75" s="1">
        <f t="shared" si="164"/>
        <v>1</v>
      </c>
      <c r="AH75" s="1" t="str">
        <f t="shared" si="165"/>
        <v>C1410.28233</v>
      </c>
      <c r="AI75" s="1">
        <f t="shared" si="128"/>
        <v>100</v>
      </c>
      <c r="AJ75" s="1">
        <f t="shared" si="129"/>
        <v>100</v>
      </c>
      <c r="AK75" s="1">
        <f t="shared" si="130"/>
        <v>100</v>
      </c>
      <c r="AL75" s="1">
        <f t="shared" si="131"/>
        <v>100</v>
      </c>
      <c r="AM75" s="1">
        <f t="shared" si="132"/>
        <v>100</v>
      </c>
      <c r="AN75" s="1">
        <f t="shared" si="133"/>
        <v>100</v>
      </c>
      <c r="AO75" s="1">
        <f t="shared" si="134"/>
        <v>100</v>
      </c>
      <c r="AP75" s="1">
        <f t="shared" si="135"/>
        <v>100</v>
      </c>
      <c r="AQ75" s="1">
        <f t="shared" si="136"/>
        <v>100</v>
      </c>
      <c r="AR75" s="1">
        <f t="shared" si="137"/>
        <v>100</v>
      </c>
      <c r="AS75" s="1">
        <f t="shared" si="138"/>
        <v>100</v>
      </c>
      <c r="AT75" s="1">
        <f t="shared" si="139"/>
        <v>100</v>
      </c>
      <c r="AU75" s="1">
        <f t="shared" ref="AU75:AW75" si="172">AT75*O75</f>
        <v>100</v>
      </c>
      <c r="AV75" s="1">
        <f t="shared" si="172"/>
        <v>98.756537921295106</v>
      </c>
      <c r="AW75" s="1">
        <f t="shared" si="172"/>
        <v>98.756537921295106</v>
      </c>
      <c r="AX75" s="1" t="b">
        <f t="shared" si="141"/>
        <v>1</v>
      </c>
      <c r="AY75" s="1" t="s">
        <v>83</v>
      </c>
      <c r="AZ75" s="1">
        <v>4</v>
      </c>
      <c r="BA75" s="1" t="s">
        <v>304</v>
      </c>
      <c r="BB75" s="1" t="s">
        <v>305</v>
      </c>
      <c r="BC75" s="1">
        <v>6.2446449293731198E-3</v>
      </c>
    </row>
    <row r="76" spans="1:55" x14ac:dyDescent="0.35">
      <c r="A76" s="1" t="s">
        <v>84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1.0063434138556873</v>
      </c>
      <c r="Q76" s="1">
        <v>1</v>
      </c>
      <c r="S76" s="1">
        <f t="shared" si="150"/>
        <v>100</v>
      </c>
      <c r="T76" s="1">
        <f t="shared" si="152"/>
        <v>100</v>
      </c>
      <c r="U76" s="1">
        <f t="shared" si="153"/>
        <v>100</v>
      </c>
      <c r="V76" s="1">
        <f t="shared" si="154"/>
        <v>100</v>
      </c>
      <c r="W76" s="1">
        <f t="shared" si="155"/>
        <v>100</v>
      </c>
      <c r="X76" s="1">
        <f t="shared" si="156"/>
        <v>100</v>
      </c>
      <c r="Y76" s="1">
        <f t="shared" si="157"/>
        <v>100</v>
      </c>
      <c r="Z76" s="1">
        <f t="shared" si="158"/>
        <v>100</v>
      </c>
      <c r="AA76" s="1">
        <f t="shared" si="159"/>
        <v>100</v>
      </c>
      <c r="AB76" s="1">
        <f t="shared" si="160"/>
        <v>100</v>
      </c>
      <c r="AC76" s="1">
        <f t="shared" si="161"/>
        <v>100</v>
      </c>
      <c r="AD76" s="1">
        <f t="shared" si="162"/>
        <v>100</v>
      </c>
      <c r="AE76" s="1">
        <f t="shared" si="163"/>
        <v>100</v>
      </c>
      <c r="AF76" s="1">
        <f t="shared" si="164"/>
        <v>1</v>
      </c>
      <c r="AH76" s="1" t="str">
        <f t="shared" si="165"/>
        <v>C1410.28234</v>
      </c>
      <c r="AI76" s="1">
        <f t="shared" si="128"/>
        <v>100</v>
      </c>
      <c r="AJ76" s="1">
        <f t="shared" si="129"/>
        <v>100</v>
      </c>
      <c r="AK76" s="1">
        <f t="shared" si="130"/>
        <v>100</v>
      </c>
      <c r="AL76" s="1">
        <f t="shared" si="131"/>
        <v>100</v>
      </c>
      <c r="AM76" s="1">
        <f t="shared" si="132"/>
        <v>100</v>
      </c>
      <c r="AN76" s="1">
        <f t="shared" si="133"/>
        <v>100</v>
      </c>
      <c r="AO76" s="1">
        <f t="shared" si="134"/>
        <v>100</v>
      </c>
      <c r="AP76" s="1">
        <f t="shared" si="135"/>
        <v>100</v>
      </c>
      <c r="AQ76" s="1">
        <f t="shared" si="136"/>
        <v>100</v>
      </c>
      <c r="AR76" s="1">
        <f t="shared" si="137"/>
        <v>100</v>
      </c>
      <c r="AS76" s="1">
        <f t="shared" si="138"/>
        <v>100</v>
      </c>
      <c r="AT76" s="1">
        <f t="shared" si="139"/>
        <v>100</v>
      </c>
      <c r="AU76" s="1">
        <f t="shared" ref="AU76:AW76" si="173">AT76*O76</f>
        <v>100</v>
      </c>
      <c r="AV76" s="1">
        <f t="shared" si="173"/>
        <v>100.63434138556873</v>
      </c>
      <c r="AW76" s="1">
        <f t="shared" si="173"/>
        <v>100.63434138556873</v>
      </c>
      <c r="AX76" s="1" t="b">
        <f t="shared" si="141"/>
        <v>1</v>
      </c>
      <c r="AY76" s="1" t="s">
        <v>84</v>
      </c>
      <c r="AZ76" s="1">
        <v>4</v>
      </c>
      <c r="BA76" s="1" t="s">
        <v>306</v>
      </c>
      <c r="BB76" s="1" t="s">
        <v>307</v>
      </c>
      <c r="BC76" s="1">
        <v>6.2446449293731198E-3</v>
      </c>
    </row>
    <row r="77" spans="1:55" x14ac:dyDescent="0.35">
      <c r="A77" s="1" t="s">
        <v>85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S77" s="1">
        <f t="shared" si="150"/>
        <v>100</v>
      </c>
      <c r="T77" s="1">
        <f t="shared" si="152"/>
        <v>100</v>
      </c>
      <c r="U77" s="1">
        <f t="shared" si="153"/>
        <v>100</v>
      </c>
      <c r="V77" s="1">
        <f t="shared" si="154"/>
        <v>100</v>
      </c>
      <c r="W77" s="1">
        <f t="shared" si="155"/>
        <v>100</v>
      </c>
      <c r="X77" s="1">
        <f t="shared" si="156"/>
        <v>100</v>
      </c>
      <c r="Y77" s="1">
        <f t="shared" si="157"/>
        <v>100</v>
      </c>
      <c r="Z77" s="1">
        <f t="shared" si="158"/>
        <v>100</v>
      </c>
      <c r="AA77" s="1">
        <f t="shared" si="159"/>
        <v>100</v>
      </c>
      <c r="AB77" s="1">
        <f t="shared" si="160"/>
        <v>100</v>
      </c>
      <c r="AC77" s="1">
        <f t="shared" si="161"/>
        <v>100</v>
      </c>
      <c r="AD77" s="1">
        <f t="shared" si="162"/>
        <v>100</v>
      </c>
      <c r="AE77" s="1">
        <f t="shared" si="163"/>
        <v>100</v>
      </c>
      <c r="AF77" s="1">
        <f t="shared" si="164"/>
        <v>1</v>
      </c>
      <c r="AH77" s="1" t="str">
        <f t="shared" si="165"/>
        <v>C1410.88221</v>
      </c>
      <c r="AI77" s="1">
        <f t="shared" si="128"/>
        <v>100</v>
      </c>
      <c r="AJ77" s="1">
        <f t="shared" si="129"/>
        <v>100</v>
      </c>
      <c r="AK77" s="1">
        <f t="shared" si="130"/>
        <v>100</v>
      </c>
      <c r="AL77" s="1">
        <f t="shared" si="131"/>
        <v>100</v>
      </c>
      <c r="AM77" s="1">
        <f t="shared" si="132"/>
        <v>100</v>
      </c>
      <c r="AN77" s="1">
        <f t="shared" si="133"/>
        <v>100</v>
      </c>
      <c r="AO77" s="1">
        <f t="shared" si="134"/>
        <v>100</v>
      </c>
      <c r="AP77" s="1">
        <f t="shared" si="135"/>
        <v>100</v>
      </c>
      <c r="AQ77" s="1">
        <f t="shared" si="136"/>
        <v>100</v>
      </c>
      <c r="AR77" s="1">
        <f t="shared" si="137"/>
        <v>100</v>
      </c>
      <c r="AS77" s="1">
        <f t="shared" si="138"/>
        <v>100</v>
      </c>
      <c r="AT77" s="1">
        <f t="shared" si="139"/>
        <v>100</v>
      </c>
      <c r="AU77" s="1">
        <f t="shared" ref="AU77:AW77" si="174">AT77*O77</f>
        <v>100</v>
      </c>
      <c r="AV77" s="1">
        <f t="shared" si="174"/>
        <v>100</v>
      </c>
      <c r="AW77" s="1">
        <f t="shared" si="174"/>
        <v>100</v>
      </c>
      <c r="AX77" s="1" t="b">
        <f t="shared" si="141"/>
        <v>1</v>
      </c>
      <c r="AY77" s="1" t="s">
        <v>85</v>
      </c>
      <c r="AZ77" s="1">
        <v>4</v>
      </c>
      <c r="BA77" s="1" t="s">
        <v>308</v>
      </c>
      <c r="BB77" s="1" t="s">
        <v>309</v>
      </c>
      <c r="BC77" s="1">
        <v>1.2537708851376882E-2</v>
      </c>
    </row>
    <row r="78" spans="1:55" x14ac:dyDescent="0.35">
      <c r="A78" s="1" t="s">
        <v>86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S78" s="1">
        <f t="shared" si="150"/>
        <v>100</v>
      </c>
      <c r="T78" s="1">
        <f t="shared" si="152"/>
        <v>100</v>
      </c>
      <c r="U78" s="1">
        <f t="shared" si="153"/>
        <v>100</v>
      </c>
      <c r="V78" s="1">
        <f t="shared" si="154"/>
        <v>100</v>
      </c>
      <c r="W78" s="1">
        <f t="shared" si="155"/>
        <v>100</v>
      </c>
      <c r="X78" s="1">
        <f t="shared" si="156"/>
        <v>100</v>
      </c>
      <c r="Y78" s="1">
        <f t="shared" si="157"/>
        <v>100</v>
      </c>
      <c r="Z78" s="1">
        <f t="shared" si="158"/>
        <v>100</v>
      </c>
      <c r="AA78" s="1">
        <f t="shared" si="159"/>
        <v>100</v>
      </c>
      <c r="AB78" s="1">
        <f t="shared" si="160"/>
        <v>100</v>
      </c>
      <c r="AC78" s="1">
        <f t="shared" si="161"/>
        <v>100</v>
      </c>
      <c r="AD78" s="1">
        <f t="shared" si="162"/>
        <v>100</v>
      </c>
      <c r="AE78" s="1">
        <f t="shared" si="163"/>
        <v>100</v>
      </c>
      <c r="AF78" s="1">
        <f t="shared" si="164"/>
        <v>1</v>
      </c>
      <c r="AH78" s="1" t="str">
        <f t="shared" si="165"/>
        <v>C1410.88223</v>
      </c>
      <c r="AI78" s="1">
        <f t="shared" si="128"/>
        <v>100</v>
      </c>
      <c r="AJ78" s="1">
        <f t="shared" si="129"/>
        <v>100</v>
      </c>
      <c r="AK78" s="1">
        <f t="shared" si="130"/>
        <v>100</v>
      </c>
      <c r="AL78" s="1">
        <f t="shared" si="131"/>
        <v>100</v>
      </c>
      <c r="AM78" s="1">
        <f t="shared" si="132"/>
        <v>100</v>
      </c>
      <c r="AN78" s="1">
        <f t="shared" si="133"/>
        <v>100</v>
      </c>
      <c r="AO78" s="1">
        <f t="shared" si="134"/>
        <v>100</v>
      </c>
      <c r="AP78" s="1">
        <f t="shared" si="135"/>
        <v>100</v>
      </c>
      <c r="AQ78" s="1">
        <f t="shared" si="136"/>
        <v>100</v>
      </c>
      <c r="AR78" s="1">
        <f t="shared" si="137"/>
        <v>100</v>
      </c>
      <c r="AS78" s="1">
        <f t="shared" si="138"/>
        <v>100</v>
      </c>
      <c r="AT78" s="1">
        <f t="shared" si="139"/>
        <v>100</v>
      </c>
      <c r="AU78" s="1">
        <f t="shared" ref="AU78:AW78" si="175">AT78*O78</f>
        <v>100</v>
      </c>
      <c r="AV78" s="1">
        <f t="shared" si="175"/>
        <v>100</v>
      </c>
      <c r="AW78" s="1">
        <f t="shared" si="175"/>
        <v>100</v>
      </c>
      <c r="AX78" s="1" t="b">
        <f t="shared" si="141"/>
        <v>1</v>
      </c>
      <c r="AY78" s="1" t="s">
        <v>86</v>
      </c>
      <c r="AZ78" s="1">
        <v>4</v>
      </c>
      <c r="BA78" s="1" t="s">
        <v>310</v>
      </c>
      <c r="BB78" s="1" t="s">
        <v>311</v>
      </c>
      <c r="BC78" s="1">
        <v>1.2537708851376882E-2</v>
      </c>
    </row>
    <row r="79" spans="1:55" x14ac:dyDescent="0.35">
      <c r="A79" s="1" t="s">
        <v>87</v>
      </c>
      <c r="B79" s="1">
        <v>1</v>
      </c>
      <c r="C79" s="1">
        <v>1</v>
      </c>
      <c r="D79" s="1">
        <v>0.98529198113254879</v>
      </c>
      <c r="E79" s="1">
        <v>1.038136735973034</v>
      </c>
      <c r="F79" s="1">
        <v>1</v>
      </c>
      <c r="G79" s="1">
        <v>1</v>
      </c>
      <c r="H79" s="1">
        <v>0.98529198113254879</v>
      </c>
      <c r="I79" s="1">
        <v>1.0276698812961371</v>
      </c>
      <c r="J79" s="1">
        <v>1</v>
      </c>
      <c r="K79" s="1">
        <v>0.98973886832140168</v>
      </c>
      <c r="L79" s="1">
        <v>1</v>
      </c>
      <c r="M79" s="1">
        <v>1</v>
      </c>
      <c r="N79" s="1">
        <v>1</v>
      </c>
      <c r="O79" s="1">
        <v>1</v>
      </c>
      <c r="P79" s="1">
        <v>1.0142876446230167</v>
      </c>
      <c r="Q79" s="1">
        <v>0.99441329125265832</v>
      </c>
      <c r="S79" s="1">
        <f t="shared" si="150"/>
        <v>100</v>
      </c>
      <c r="T79" s="1">
        <f t="shared" si="152"/>
        <v>98.529198113254878</v>
      </c>
      <c r="U79" s="1">
        <f t="shared" si="153"/>
        <v>102.28678012733484</v>
      </c>
      <c r="V79" s="1">
        <f t="shared" si="154"/>
        <v>102.28678012733484</v>
      </c>
      <c r="W79" s="1">
        <f t="shared" si="155"/>
        <v>102.28678012733484</v>
      </c>
      <c r="X79" s="1">
        <f t="shared" si="156"/>
        <v>100.78234423533117</v>
      </c>
      <c r="Y79" s="1">
        <f t="shared" si="157"/>
        <v>103.57097973706921</v>
      </c>
      <c r="Z79" s="1">
        <f t="shared" si="158"/>
        <v>103.57097973706921</v>
      </c>
      <c r="AA79" s="1">
        <f t="shared" si="159"/>
        <v>102.5082242759057</v>
      </c>
      <c r="AB79" s="1">
        <f t="shared" si="160"/>
        <v>102.5082242759057</v>
      </c>
      <c r="AC79" s="1">
        <f t="shared" si="161"/>
        <v>102.5082242759057</v>
      </c>
      <c r="AD79" s="1">
        <f t="shared" si="162"/>
        <v>102.5082242759057</v>
      </c>
      <c r="AE79" s="1">
        <f t="shared" si="163"/>
        <v>101.94556160902931</v>
      </c>
      <c r="AF79" s="1">
        <f t="shared" si="164"/>
        <v>0.98091568109173088</v>
      </c>
      <c r="AH79" s="1" t="str">
        <f t="shared" si="165"/>
        <v>C1520.29320</v>
      </c>
      <c r="AI79" s="1">
        <f t="shared" si="128"/>
        <v>98.091568109173082</v>
      </c>
      <c r="AJ79" s="1">
        <f t="shared" si="129"/>
        <v>96.648835474685498</v>
      </c>
      <c r="AK79" s="1">
        <f t="shared" si="130"/>
        <v>100.33470659528477</v>
      </c>
      <c r="AL79" s="1">
        <f t="shared" si="131"/>
        <v>100.33470659528477</v>
      </c>
      <c r="AM79" s="1">
        <f t="shared" si="132"/>
        <v>100.33470659528477</v>
      </c>
      <c r="AN79" s="1">
        <f t="shared" si="133"/>
        <v>98.858981837621144</v>
      </c>
      <c r="AO79" s="1">
        <f t="shared" si="134"/>
        <v>101.5943981301251</v>
      </c>
      <c r="AP79" s="1">
        <f t="shared" si="135"/>
        <v>101.5943981301251</v>
      </c>
      <c r="AQ79" s="1">
        <f t="shared" si="136"/>
        <v>100.55192463310395</v>
      </c>
      <c r="AR79" s="1">
        <f t="shared" si="137"/>
        <v>100.55192463310395</v>
      </c>
      <c r="AS79" s="1">
        <f t="shared" si="138"/>
        <v>100.55192463310395</v>
      </c>
      <c r="AT79" s="1">
        <f t="shared" si="139"/>
        <v>100.55192463310395</v>
      </c>
      <c r="AU79" s="1">
        <f t="shared" ref="AU79:AW79" si="176">AT79*O79</f>
        <v>100.55192463310395</v>
      </c>
      <c r="AV79" s="1">
        <f t="shared" si="176"/>
        <v>101.98857479842209</v>
      </c>
      <c r="AW79" s="1">
        <f t="shared" si="176"/>
        <v>101.41879433546684</v>
      </c>
      <c r="AX79" s="1" t="b">
        <f t="shared" si="141"/>
        <v>1</v>
      </c>
      <c r="AY79" s="1" t="s">
        <v>87</v>
      </c>
      <c r="AZ79" s="1">
        <v>4</v>
      </c>
      <c r="BA79" s="1" t="s">
        <v>312</v>
      </c>
      <c r="BB79" s="1" t="s">
        <v>313</v>
      </c>
      <c r="BC79" s="1">
        <v>3.5270241000204925E-3</v>
      </c>
    </row>
    <row r="80" spans="1:55" x14ac:dyDescent="0.35">
      <c r="A80" s="1" t="s">
        <v>88</v>
      </c>
      <c r="B80" s="1">
        <v>1</v>
      </c>
      <c r="C80" s="1">
        <v>1</v>
      </c>
      <c r="D80" s="1">
        <v>1.0027290917562159</v>
      </c>
      <c r="E80" s="1">
        <v>0.99910317412707306</v>
      </c>
      <c r="F80" s="1">
        <v>1.0011723627453795</v>
      </c>
      <c r="G80" s="1">
        <v>1.0043236770520434</v>
      </c>
      <c r="H80" s="1">
        <v>0.99931711196542772</v>
      </c>
      <c r="I80" s="1">
        <v>1.00243733262146</v>
      </c>
      <c r="J80" s="1">
        <v>1.000729890667821</v>
      </c>
      <c r="K80" s="1">
        <v>0.99915450725414956</v>
      </c>
      <c r="L80" s="1">
        <v>1.0012202135136066</v>
      </c>
      <c r="M80" s="1">
        <v>1.0002433270682141</v>
      </c>
      <c r="N80" s="1">
        <v>1.0051856481961867</v>
      </c>
      <c r="O80" s="1">
        <v>1.0111349066258799</v>
      </c>
      <c r="P80" s="1">
        <v>0.99964991492766342</v>
      </c>
      <c r="Q80" s="1">
        <v>1.0003502076748159</v>
      </c>
      <c r="S80" s="1">
        <f t="shared" si="150"/>
        <v>100</v>
      </c>
      <c r="T80" s="1">
        <f t="shared" si="152"/>
        <v>100.27290917562159</v>
      </c>
      <c r="U80" s="1">
        <f t="shared" si="153"/>
        <v>100.18298183631924</v>
      </c>
      <c r="V80" s="1">
        <f t="shared" si="154"/>
        <v>100.30043263194517</v>
      </c>
      <c r="W80" s="1">
        <f t="shared" si="155"/>
        <v>100.73409931082594</v>
      </c>
      <c r="X80" s="1">
        <f t="shared" si="156"/>
        <v>100.66530919973316</v>
      </c>
      <c r="Y80" s="1">
        <f t="shared" si="157"/>
        <v>100.91066404169501</v>
      </c>
      <c r="Z80" s="1">
        <f t="shared" si="158"/>
        <v>100.98431779366267</v>
      </c>
      <c r="AA80" s="1">
        <f t="shared" si="159"/>
        <v>100.89893628552348</v>
      </c>
      <c r="AB80" s="1">
        <f t="shared" si="160"/>
        <v>101.0220545310876</v>
      </c>
      <c r="AC80" s="1">
        <f t="shared" si="161"/>
        <v>101.04663593144161</v>
      </c>
      <c r="AD80" s="1">
        <f t="shared" si="162"/>
        <v>101.57062823679023</v>
      </c>
      <c r="AE80" s="1">
        <f t="shared" si="163"/>
        <v>100.7157474145538</v>
      </c>
      <c r="AF80" s="1">
        <f t="shared" si="164"/>
        <v>0.99289339122304543</v>
      </c>
      <c r="AH80" s="1" t="str">
        <f t="shared" si="165"/>
        <v>C1520.29330</v>
      </c>
      <c r="AI80" s="1">
        <f t="shared" si="128"/>
        <v>99.28933912230454</v>
      </c>
      <c r="AJ80" s="1">
        <f t="shared" si="129"/>
        <v>99.56030883918335</v>
      </c>
      <c r="AK80" s="1">
        <f t="shared" si="130"/>
        <v>99.471020578299772</v>
      </c>
      <c r="AL80" s="1">
        <f t="shared" si="131"/>
        <v>99.58763669707065</v>
      </c>
      <c r="AM80" s="1">
        <f t="shared" si="132"/>
        <v>100.01822147652501</v>
      </c>
      <c r="AN80" s="1">
        <f t="shared" si="133"/>
        <v>99.949920229839492</v>
      </c>
      <c r="AO80" s="1">
        <f t="shared" si="134"/>
        <v>100.19353143092799</v>
      </c>
      <c r="AP80" s="1">
        <f t="shared" si="135"/>
        <v>100.26666175449546</v>
      </c>
      <c r="AQ80" s="1">
        <f t="shared" si="136"/>
        <v>100.1818870193314</v>
      </c>
      <c r="AR80" s="1">
        <f t="shared" si="137"/>
        <v>100.304130311691</v>
      </c>
      <c r="AS80" s="1">
        <f t="shared" si="138"/>
        <v>100.3285370216495</v>
      </c>
      <c r="AT80" s="1">
        <f t="shared" si="139"/>
        <v>100.84880551868187</v>
      </c>
      <c r="AU80" s="1">
        <f t="shared" ref="AU80:AW80" si="177">AT80*O80</f>
        <v>101.97174755146392</v>
      </c>
      <c r="AV80" s="1">
        <f t="shared" si="177"/>
        <v>101.93604876484608</v>
      </c>
      <c r="AW80" s="1">
        <f t="shared" si="177"/>
        <v>101.97174755146393</v>
      </c>
      <c r="AX80" s="1" t="b">
        <f t="shared" si="141"/>
        <v>1</v>
      </c>
      <c r="AY80" s="1" t="s">
        <v>88</v>
      </c>
      <c r="AZ80" s="1">
        <v>4</v>
      </c>
      <c r="BA80" s="1" t="s">
        <v>314</v>
      </c>
      <c r="BB80" s="1" t="s">
        <v>315</v>
      </c>
      <c r="BC80" s="1">
        <v>3.5270241000204925E-3</v>
      </c>
    </row>
    <row r="81" spans="1:55" x14ac:dyDescent="0.35">
      <c r="A81" s="1" t="s">
        <v>89</v>
      </c>
      <c r="B81" s="1">
        <v>1</v>
      </c>
      <c r="C81" s="1">
        <v>1</v>
      </c>
      <c r="D81" s="1">
        <v>1</v>
      </c>
      <c r="E81" s="1">
        <v>1</v>
      </c>
      <c r="F81" s="1">
        <v>1.071428571428571</v>
      </c>
      <c r="G81" s="1">
        <v>1</v>
      </c>
      <c r="H81" s="1">
        <v>0.93333333333333335</v>
      </c>
      <c r="I81" s="1">
        <v>1</v>
      </c>
      <c r="J81" s="1">
        <v>1</v>
      </c>
      <c r="K81" s="1">
        <v>1.071428571428571</v>
      </c>
      <c r="L81" s="1">
        <v>0.93333333333333335</v>
      </c>
      <c r="M81" s="1">
        <v>1</v>
      </c>
      <c r="N81" s="1">
        <v>1</v>
      </c>
      <c r="O81" s="1">
        <v>1.071428571428571</v>
      </c>
      <c r="P81" s="1">
        <v>1</v>
      </c>
      <c r="Q81" s="1">
        <v>1</v>
      </c>
      <c r="S81" s="1">
        <f t="shared" si="150"/>
        <v>100</v>
      </c>
      <c r="T81" s="1">
        <f t="shared" si="152"/>
        <v>100</v>
      </c>
      <c r="U81" s="1">
        <f t="shared" si="153"/>
        <v>100</v>
      </c>
      <c r="V81" s="1">
        <f t="shared" si="154"/>
        <v>107.1428571428571</v>
      </c>
      <c r="W81" s="1">
        <f t="shared" si="155"/>
        <v>107.1428571428571</v>
      </c>
      <c r="X81" s="1">
        <f t="shared" si="156"/>
        <v>99.999999999999957</v>
      </c>
      <c r="Y81" s="1">
        <f t="shared" si="157"/>
        <v>99.999999999999957</v>
      </c>
      <c r="Z81" s="1">
        <f t="shared" si="158"/>
        <v>99.999999999999957</v>
      </c>
      <c r="AA81" s="1">
        <f t="shared" si="159"/>
        <v>107.14285714285705</v>
      </c>
      <c r="AB81" s="1">
        <f t="shared" si="160"/>
        <v>99.999999999999915</v>
      </c>
      <c r="AC81" s="1">
        <f t="shared" si="161"/>
        <v>99.999999999999915</v>
      </c>
      <c r="AD81" s="1">
        <f t="shared" si="162"/>
        <v>99.999999999999915</v>
      </c>
      <c r="AE81" s="1">
        <f t="shared" si="163"/>
        <v>101.78571428571426</v>
      </c>
      <c r="AF81" s="1">
        <f t="shared" si="164"/>
        <v>0.98245614035087736</v>
      </c>
      <c r="AH81" s="1" t="str">
        <f t="shared" si="165"/>
        <v>C1520.29490</v>
      </c>
      <c r="AI81" s="1">
        <f t="shared" si="128"/>
        <v>98.24561403508774</v>
      </c>
      <c r="AJ81" s="1">
        <f t="shared" si="129"/>
        <v>98.24561403508774</v>
      </c>
      <c r="AK81" s="1">
        <f t="shared" si="130"/>
        <v>98.24561403508774</v>
      </c>
      <c r="AL81" s="1">
        <f t="shared" si="131"/>
        <v>105.26315789473682</v>
      </c>
      <c r="AM81" s="1">
        <f t="shared" si="132"/>
        <v>105.26315789473682</v>
      </c>
      <c r="AN81" s="1">
        <f t="shared" si="133"/>
        <v>98.245614035087698</v>
      </c>
      <c r="AO81" s="1">
        <f t="shared" si="134"/>
        <v>98.245614035087698</v>
      </c>
      <c r="AP81" s="1">
        <f t="shared" si="135"/>
        <v>98.245614035087698</v>
      </c>
      <c r="AQ81" s="1">
        <f t="shared" si="136"/>
        <v>105.26315789473678</v>
      </c>
      <c r="AR81" s="1">
        <f t="shared" si="137"/>
        <v>98.245614035087655</v>
      </c>
      <c r="AS81" s="1">
        <f t="shared" si="138"/>
        <v>98.245614035087655</v>
      </c>
      <c r="AT81" s="1">
        <f t="shared" si="139"/>
        <v>98.245614035087655</v>
      </c>
      <c r="AU81" s="1">
        <f t="shared" ref="AU81:AW81" si="178">AT81*O81</f>
        <v>105.26315789473672</v>
      </c>
      <c r="AV81" s="1">
        <f t="shared" si="178"/>
        <v>105.26315789473672</v>
      </c>
      <c r="AW81" s="1">
        <f t="shared" si="178"/>
        <v>105.26315789473672</v>
      </c>
      <c r="AX81" s="1" t="b">
        <f t="shared" si="141"/>
        <v>1</v>
      </c>
      <c r="AY81" s="1" t="s">
        <v>89</v>
      </c>
      <c r="AZ81" s="1">
        <v>4</v>
      </c>
      <c r="BA81" s="1" t="s">
        <v>316</v>
      </c>
      <c r="BB81" s="1" t="s">
        <v>317</v>
      </c>
      <c r="BC81" s="1">
        <v>3.0231635143032794E-3</v>
      </c>
    </row>
    <row r="82" spans="1:55" x14ac:dyDescent="0.35">
      <c r="A82" s="1" t="s">
        <v>90</v>
      </c>
      <c r="B82" s="1">
        <v>1.0067681132442379</v>
      </c>
      <c r="C82" s="1">
        <v>1</v>
      </c>
      <c r="D82" s="1">
        <v>1.0193579554090446</v>
      </c>
      <c r="E82" s="1">
        <v>1.0089517059243147</v>
      </c>
      <c r="F82" s="1">
        <v>0.99992309128089063</v>
      </c>
      <c r="G82" s="1">
        <v>1.0013881324528253</v>
      </c>
      <c r="H82" s="1">
        <v>0.98933290159938525</v>
      </c>
      <c r="I82" s="1">
        <v>1.0019178259985555</v>
      </c>
      <c r="J82" s="1">
        <v>1.0000021390043068</v>
      </c>
      <c r="K82" s="1">
        <v>0.99994157436063391</v>
      </c>
      <c r="L82" s="1">
        <v>1.00010798884689</v>
      </c>
      <c r="M82" s="1">
        <v>1.0007757099401648</v>
      </c>
      <c r="N82" s="1">
        <v>0.99849361161550909</v>
      </c>
      <c r="O82" s="1">
        <v>1.0014996717991724</v>
      </c>
      <c r="P82" s="1">
        <v>1.0104116807452261</v>
      </c>
      <c r="Q82" s="1">
        <v>1.004072660742559</v>
      </c>
      <c r="S82" s="1">
        <f t="shared" si="150"/>
        <v>100</v>
      </c>
      <c r="T82" s="1">
        <f t="shared" si="152"/>
        <v>101.93579554090446</v>
      </c>
      <c r="U82" s="1">
        <f t="shared" si="153"/>
        <v>102.84829480574771</v>
      </c>
      <c r="V82" s="1">
        <f t="shared" si="154"/>
        <v>102.84038487513162</v>
      </c>
      <c r="W82" s="1">
        <f t="shared" si="155"/>
        <v>102.98314095083784</v>
      </c>
      <c r="X82" s="1">
        <f t="shared" si="156"/>
        <v>101.88460965271086</v>
      </c>
      <c r="Y82" s="1">
        <f t="shared" si="157"/>
        <v>102.08000660595552</v>
      </c>
      <c r="Z82" s="1">
        <f t="shared" si="158"/>
        <v>102.08022495552929</v>
      </c>
      <c r="AA82" s="1">
        <f t="shared" si="159"/>
        <v>102.07426085311963</v>
      </c>
      <c r="AB82" s="1">
        <f t="shared" si="160"/>
        <v>102.0852837348463</v>
      </c>
      <c r="AC82" s="1">
        <f t="shared" si="161"/>
        <v>102.16447230418397</v>
      </c>
      <c r="AD82" s="1">
        <f t="shared" si="162"/>
        <v>102.01057292979731</v>
      </c>
      <c r="AE82" s="1">
        <f t="shared" si="163"/>
        <v>102.08225393406371</v>
      </c>
      <c r="AF82" s="1">
        <f t="shared" si="164"/>
        <v>0.97960219476140609</v>
      </c>
      <c r="AH82" s="1" t="str">
        <f t="shared" si="165"/>
        <v>C1610.31100</v>
      </c>
      <c r="AI82" s="1">
        <f t="shared" si="128"/>
        <v>97.960219476140608</v>
      </c>
      <c r="AJ82" s="1">
        <f t="shared" si="129"/>
        <v>99.85652903661996</v>
      </c>
      <c r="AK82" s="1">
        <f t="shared" si="130"/>
        <v>100.75041531917859</v>
      </c>
      <c r="AL82" s="1">
        <f t="shared" si="131"/>
        <v>100.74266673378665</v>
      </c>
      <c r="AM82" s="1">
        <f t="shared" si="132"/>
        <v>100.88251089886398</v>
      </c>
      <c r="AN82" s="1">
        <f t="shared" si="133"/>
        <v>99.806387228204699</v>
      </c>
      <c r="AO82" s="1">
        <f t="shared" si="134"/>
        <v>99.99779851245286</v>
      </c>
      <c r="AP82" s="1">
        <f t="shared" si="135"/>
        <v>99.998012408174546</v>
      </c>
      <c r="AQ82" s="1">
        <f t="shared" si="136"/>
        <v>99.992169960364265</v>
      </c>
      <c r="AR82" s="1">
        <f t="shared" si="137"/>
        <v>100.00296799949631</v>
      </c>
      <c r="AS82" s="1">
        <f t="shared" si="138"/>
        <v>100.0805412958195</v>
      </c>
      <c r="AT82" s="1">
        <f t="shared" si="139"/>
        <v>99.929781130897922</v>
      </c>
      <c r="AU82" s="1">
        <f t="shared" ref="AU82:AW82" si="179">AT82*O82</f>
        <v>100.0796430055574</v>
      </c>
      <c r="AV82" s="1">
        <f t="shared" si="179"/>
        <v>101.12164029762747</v>
      </c>
      <c r="AW82" s="1">
        <f t="shared" si="179"/>
        <v>101.53347443229079</v>
      </c>
      <c r="AX82" s="1" t="b">
        <f t="shared" si="141"/>
        <v>1</v>
      </c>
      <c r="AY82" s="1" t="s">
        <v>90</v>
      </c>
      <c r="AZ82" s="1">
        <v>4</v>
      </c>
      <c r="BA82" s="1" t="s">
        <v>318</v>
      </c>
      <c r="BB82" s="1" t="s">
        <v>319</v>
      </c>
      <c r="BC82" s="1">
        <v>3.9570048382340057E-3</v>
      </c>
    </row>
    <row r="83" spans="1:55" x14ac:dyDescent="0.35">
      <c r="A83" s="1" t="s">
        <v>91</v>
      </c>
      <c r="B83" s="1">
        <v>0.99801765037468171</v>
      </c>
      <c r="C83" s="1">
        <v>1</v>
      </c>
      <c r="D83" s="1">
        <v>1.0002559188876259</v>
      </c>
      <c r="E83" s="1">
        <v>0.99995886388162802</v>
      </c>
      <c r="F83" s="1">
        <v>0.99999999990295108</v>
      </c>
      <c r="G83" s="1">
        <v>1.0000341014403997</v>
      </c>
      <c r="H83" s="1">
        <v>0.9995562309175372</v>
      </c>
      <c r="I83" s="1">
        <v>0.99999196930520318</v>
      </c>
      <c r="J83" s="1">
        <v>1.0005161543017993</v>
      </c>
      <c r="K83" s="1">
        <v>0.99990645787228638</v>
      </c>
      <c r="L83" s="1">
        <v>1.0036950767592014</v>
      </c>
      <c r="M83" s="1">
        <v>1.0001636150714224</v>
      </c>
      <c r="N83" s="1">
        <v>1.0001206671425327</v>
      </c>
      <c r="O83" s="1">
        <v>0.99975260390944065</v>
      </c>
      <c r="P83" s="1">
        <v>1</v>
      </c>
      <c r="Q83" s="1">
        <v>1</v>
      </c>
      <c r="S83" s="1">
        <f t="shared" si="150"/>
        <v>100</v>
      </c>
      <c r="T83" s="1">
        <f t="shared" si="152"/>
        <v>100.02559188876259</v>
      </c>
      <c r="U83" s="1">
        <f t="shared" si="153"/>
        <v>100.02147722417443</v>
      </c>
      <c r="V83" s="1">
        <f t="shared" si="154"/>
        <v>100.02147721446745</v>
      </c>
      <c r="W83" s="1">
        <f t="shared" si="155"/>
        <v>100.02488809091138</v>
      </c>
      <c r="X83" s="1">
        <f t="shared" si="156"/>
        <v>99.980500138099828</v>
      </c>
      <c r="Y83" s="1">
        <f t="shared" si="157"/>
        <v>99.979697225217592</v>
      </c>
      <c r="Z83" s="1">
        <f t="shared" si="158"/>
        <v>100.03130217603298</v>
      </c>
      <c r="AA83" s="1">
        <f t="shared" si="159"/>
        <v>100.02194503518947</v>
      </c>
      <c r="AB83" s="1">
        <f t="shared" si="160"/>
        <v>100.39153379969913</v>
      </c>
      <c r="AC83" s="1">
        <f t="shared" si="161"/>
        <v>100.40795936767198</v>
      </c>
      <c r="AD83" s="1">
        <f t="shared" si="162"/>
        <v>100.42007530921641</v>
      </c>
      <c r="AE83" s="1">
        <f t="shared" si="163"/>
        <v>100.11053728912026</v>
      </c>
      <c r="AF83" s="1">
        <f t="shared" si="164"/>
        <v>0.99889584760891825</v>
      </c>
      <c r="AH83" s="1" t="str">
        <f t="shared" si="165"/>
        <v>C1610.31210</v>
      </c>
      <c r="AI83" s="1">
        <f t="shared" si="128"/>
        <v>99.889584760891822</v>
      </c>
      <c r="AJ83" s="1">
        <f t="shared" si="129"/>
        <v>99.915148392309248</v>
      </c>
      <c r="AK83" s="1">
        <f t="shared" si="130"/>
        <v>99.911038270937837</v>
      </c>
      <c r="AL83" s="1">
        <f t="shared" si="131"/>
        <v>99.911038261241572</v>
      </c>
      <c r="AM83" s="1">
        <f t="shared" si="132"/>
        <v>99.914445371558116</v>
      </c>
      <c r="AN83" s="1">
        <f t="shared" si="133"/>
        <v>99.870106429810789</v>
      </c>
      <c r="AO83" s="1">
        <f t="shared" si="134"/>
        <v>99.869304403466742</v>
      </c>
      <c r="AP83" s="1">
        <f t="shared" si="135"/>
        <v>99.920852374552297</v>
      </c>
      <c r="AQ83" s="1">
        <f t="shared" si="136"/>
        <v>99.911505565418224</v>
      </c>
      <c r="AR83" s="1">
        <f t="shared" si="137"/>
        <v>100.28068624760984</v>
      </c>
      <c r="AS83" s="1">
        <f t="shared" si="138"/>
        <v>100.29709367925253</v>
      </c>
      <c r="AT83" s="1">
        <f t="shared" si="139"/>
        <v>100.30919624295113</v>
      </c>
      <c r="AU83" s="1">
        <f t="shared" ref="AU83:AW83" si="180">AT83*O83</f>
        <v>100.28438013995347</v>
      </c>
      <c r="AV83" s="1">
        <f t="shared" si="180"/>
        <v>100.28438013995347</v>
      </c>
      <c r="AW83" s="1">
        <f t="shared" si="180"/>
        <v>100.28438013995347</v>
      </c>
      <c r="AX83" s="1" t="b">
        <f t="shared" si="141"/>
        <v>1</v>
      </c>
      <c r="AY83" s="1" t="s">
        <v>91</v>
      </c>
      <c r="AZ83" s="1">
        <v>4</v>
      </c>
      <c r="BA83" s="1" t="s">
        <v>320</v>
      </c>
      <c r="BB83" s="1" t="s">
        <v>321</v>
      </c>
      <c r="BC83" s="1">
        <v>3.9570048382340057E-3</v>
      </c>
    </row>
    <row r="84" spans="1:55" x14ac:dyDescent="0.35">
      <c r="A84" s="1" t="s">
        <v>92</v>
      </c>
      <c r="B84" s="1">
        <v>1</v>
      </c>
      <c r="C84" s="1">
        <v>1</v>
      </c>
      <c r="D84" s="1">
        <v>1</v>
      </c>
      <c r="E84" s="1">
        <v>0.99999342072799036</v>
      </c>
      <c r="F84" s="1">
        <v>1</v>
      </c>
      <c r="G84" s="1">
        <v>1</v>
      </c>
      <c r="H84" s="1">
        <v>1.0000064477353539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1.0066577972826039</v>
      </c>
      <c r="P84" s="1">
        <v>1.0153867981096885</v>
      </c>
      <c r="Q84" s="1">
        <v>1.0120129438460781</v>
      </c>
      <c r="S84" s="1">
        <f t="shared" si="150"/>
        <v>100</v>
      </c>
      <c r="T84" s="1">
        <f t="shared" si="152"/>
        <v>100</v>
      </c>
      <c r="U84" s="1">
        <f t="shared" si="153"/>
        <v>99.999342072799038</v>
      </c>
      <c r="V84" s="1">
        <f t="shared" si="154"/>
        <v>99.999342072799038</v>
      </c>
      <c r="W84" s="1">
        <f t="shared" si="155"/>
        <v>99.999342072799038</v>
      </c>
      <c r="X84" s="1">
        <f t="shared" si="156"/>
        <v>99.999986842092284</v>
      </c>
      <c r="Y84" s="1">
        <f t="shared" si="157"/>
        <v>99.999986842092284</v>
      </c>
      <c r="Z84" s="1">
        <f t="shared" si="158"/>
        <v>99.999986842092284</v>
      </c>
      <c r="AA84" s="1">
        <f t="shared" si="159"/>
        <v>99.999986842092284</v>
      </c>
      <c r="AB84" s="1">
        <f t="shared" si="160"/>
        <v>99.999986842092284</v>
      </c>
      <c r="AC84" s="1">
        <f t="shared" si="161"/>
        <v>99.999986842092284</v>
      </c>
      <c r="AD84" s="1">
        <f t="shared" si="162"/>
        <v>99.999986842092284</v>
      </c>
      <c r="AE84" s="1">
        <f t="shared" si="163"/>
        <v>99.999827842753589</v>
      </c>
      <c r="AF84" s="1">
        <f t="shared" si="164"/>
        <v>1.000001721575428</v>
      </c>
      <c r="AH84" s="1" t="str">
        <f t="shared" si="165"/>
        <v>C1610.31310</v>
      </c>
      <c r="AI84" s="1">
        <f t="shared" si="128"/>
        <v>100.00017215754281</v>
      </c>
      <c r="AJ84" s="1">
        <f t="shared" si="129"/>
        <v>100.00017215754281</v>
      </c>
      <c r="AK84" s="1">
        <f t="shared" si="130"/>
        <v>99.999514229209169</v>
      </c>
      <c r="AL84" s="1">
        <f t="shared" si="131"/>
        <v>99.999514229209169</v>
      </c>
      <c r="AM84" s="1">
        <f t="shared" si="132"/>
        <v>99.999514229209169</v>
      </c>
      <c r="AN84" s="1">
        <f t="shared" si="133"/>
        <v>100.00015899961242</v>
      </c>
      <c r="AO84" s="1">
        <f t="shared" si="134"/>
        <v>100.00015899961242</v>
      </c>
      <c r="AP84" s="1">
        <f t="shared" si="135"/>
        <v>100.00015899961242</v>
      </c>
      <c r="AQ84" s="1">
        <f t="shared" si="136"/>
        <v>100.00015899961242</v>
      </c>
      <c r="AR84" s="1">
        <f t="shared" si="137"/>
        <v>100.00015899961242</v>
      </c>
      <c r="AS84" s="1">
        <f t="shared" si="138"/>
        <v>100.00015899961242</v>
      </c>
      <c r="AT84" s="1">
        <f t="shared" si="139"/>
        <v>100.00015899961242</v>
      </c>
      <c r="AU84" s="1">
        <f t="shared" ref="AU84:AW84" si="181">AT84*O84</f>
        <v>100.66593978646</v>
      </c>
      <c r="AV84" s="1">
        <f t="shared" si="181"/>
        <v>102.21486627847632</v>
      </c>
      <c r="AW84" s="1">
        <f t="shared" si="181"/>
        <v>103.44276772731403</v>
      </c>
      <c r="AX84" s="1" t="b">
        <f t="shared" si="141"/>
        <v>1</v>
      </c>
      <c r="AY84" s="1" t="s">
        <v>92</v>
      </c>
      <c r="AZ84" s="1">
        <v>4</v>
      </c>
      <c r="BA84" s="1" t="s">
        <v>322</v>
      </c>
      <c r="BB84" s="1" t="s">
        <v>323</v>
      </c>
      <c r="BC84" s="1">
        <v>3.9570048382340057E-3</v>
      </c>
    </row>
    <row r="85" spans="1:55" x14ac:dyDescent="0.35">
      <c r="A85" s="1" t="s">
        <v>93</v>
      </c>
      <c r="B85" s="1">
        <v>0.98695476382335656</v>
      </c>
      <c r="C85" s="1">
        <v>1</v>
      </c>
      <c r="D85" s="1">
        <v>0.97071069388358944</v>
      </c>
      <c r="E85" s="1">
        <v>1.008020013168325</v>
      </c>
      <c r="F85" s="1">
        <v>0.99649329817915755</v>
      </c>
      <c r="G85" s="1">
        <v>0.98493831847470548</v>
      </c>
      <c r="H85" s="1">
        <v>1.0169150861247294</v>
      </c>
      <c r="I85" s="1">
        <v>1.0039377438583921</v>
      </c>
      <c r="J85" s="1">
        <v>1.0001729137755888</v>
      </c>
      <c r="K85" s="1">
        <v>0.99962361311935499</v>
      </c>
      <c r="L85" s="1">
        <v>1.0082759504004826</v>
      </c>
      <c r="M85" s="1">
        <v>0.99891079991280063</v>
      </c>
      <c r="N85" s="1">
        <v>1.0014582135656906</v>
      </c>
      <c r="O85" s="1">
        <v>1.0305157761844719</v>
      </c>
      <c r="P85" s="1">
        <v>1.0004255753688174</v>
      </c>
      <c r="Q85" s="1">
        <v>0.99970434546825504</v>
      </c>
      <c r="S85" s="1">
        <f t="shared" si="150"/>
        <v>100</v>
      </c>
      <c r="T85" s="1">
        <f t="shared" si="152"/>
        <v>97.07106938835895</v>
      </c>
      <c r="U85" s="1">
        <f t="shared" si="153"/>
        <v>97.84958064311698</v>
      </c>
      <c r="V85" s="1">
        <f t="shared" si="154"/>
        <v>97.506451340507084</v>
      </c>
      <c r="W85" s="1">
        <f t="shared" si="155"/>
        <v>96.037840223754742</v>
      </c>
      <c r="X85" s="1">
        <f t="shared" si="156"/>
        <v>97.662328562372551</v>
      </c>
      <c r="Y85" s="1">
        <f t="shared" si="157"/>
        <v>98.046897796865295</v>
      </c>
      <c r="Z85" s="1">
        <f t="shared" si="158"/>
        <v>98.063851456148114</v>
      </c>
      <c r="AA85" s="1">
        <f t="shared" si="159"/>
        <v>98.026941508994497</v>
      </c>
      <c r="AB85" s="1">
        <f t="shared" si="160"/>
        <v>98.838207614833948</v>
      </c>
      <c r="AC85" s="1">
        <f t="shared" si="161"/>
        <v>98.730553030481246</v>
      </c>
      <c r="AD85" s="1">
        <f t="shared" si="162"/>
        <v>98.874523262258435</v>
      </c>
      <c r="AE85" s="1">
        <f t="shared" si="163"/>
        <v>98.059020402307638</v>
      </c>
      <c r="AF85" s="1">
        <f t="shared" si="164"/>
        <v>1.0197939933494042</v>
      </c>
      <c r="AH85" s="1" t="str">
        <f t="shared" si="165"/>
        <v>C1621.31420</v>
      </c>
      <c r="AI85" s="1">
        <f t="shared" si="128"/>
        <v>101.97939933494042</v>
      </c>
      <c r="AJ85" s="1">
        <f t="shared" si="129"/>
        <v>98.99249349025169</v>
      </c>
      <c r="AK85" s="1">
        <f t="shared" si="130"/>
        <v>99.786414591608832</v>
      </c>
      <c r="AL85" s="1">
        <f t="shared" si="131"/>
        <v>99.436493389865092</v>
      </c>
      <c r="AM85" s="1">
        <f t="shared" si="132"/>
        <v>97.938812594434893</v>
      </c>
      <c r="AN85" s="1">
        <f t="shared" si="133"/>
        <v>99.595456044423486</v>
      </c>
      <c r="AO85" s="1">
        <f t="shared" si="134"/>
        <v>99.98763743978617</v>
      </c>
      <c r="AP85" s="1">
        <f t="shared" si="135"/>
        <v>100.00492667968807</v>
      </c>
      <c r="AQ85" s="1">
        <f t="shared" si="136"/>
        <v>99.967286137285967</v>
      </c>
      <c r="AR85" s="1">
        <f t="shared" si="137"/>
        <v>100.794610439029</v>
      </c>
      <c r="AS85" s="1">
        <f t="shared" si="138"/>
        <v>100.68482494054959</v>
      </c>
      <c r="AT85" s="1">
        <f t="shared" si="139"/>
        <v>100.83164491813709</v>
      </c>
      <c r="AU85" s="1">
        <f t="shared" ref="AU85:AW85" si="182">AT85*O85</f>
        <v>103.90860082677111</v>
      </c>
      <c r="AV85" s="1">
        <f t="shared" si="182"/>
        <v>103.95282176789125</v>
      </c>
      <c r="AW85" s="1">
        <f t="shared" si="182"/>
        <v>103.9220876450479</v>
      </c>
      <c r="AX85" s="1" t="b">
        <f t="shared" si="141"/>
        <v>1</v>
      </c>
      <c r="AY85" s="1" t="s">
        <v>93</v>
      </c>
      <c r="AZ85" s="1">
        <v>4</v>
      </c>
      <c r="BA85" s="1">
        <v>31420</v>
      </c>
      <c r="BB85" s="1" t="s">
        <v>324</v>
      </c>
      <c r="BC85" s="1">
        <v>1.9604044717117068E-3</v>
      </c>
    </row>
    <row r="86" spans="1:55" x14ac:dyDescent="0.35">
      <c r="A86" s="1" t="s">
        <v>94</v>
      </c>
      <c r="B86" s="1">
        <v>1</v>
      </c>
      <c r="C86" s="1">
        <v>1</v>
      </c>
      <c r="D86" s="1">
        <v>0.94846788876034027</v>
      </c>
      <c r="E86" s="1">
        <v>1</v>
      </c>
      <c r="F86" s="1">
        <v>1</v>
      </c>
      <c r="G86" s="1">
        <v>0.99268820580907979</v>
      </c>
      <c r="H86" s="1">
        <v>1.0019044272893489</v>
      </c>
      <c r="I86" s="1">
        <v>1</v>
      </c>
      <c r="J86" s="1">
        <v>0.99821014844124689</v>
      </c>
      <c r="K86" s="1">
        <v>0.99935889825277868</v>
      </c>
      <c r="L86" s="1">
        <v>1.000138272562624</v>
      </c>
      <c r="M86" s="1">
        <v>0.9999819710404696</v>
      </c>
      <c r="N86" s="1">
        <v>0.99715573383047484</v>
      </c>
      <c r="O86" s="1">
        <v>1</v>
      </c>
      <c r="P86" s="1">
        <v>1.00127323779836</v>
      </c>
      <c r="Q86" s="1">
        <v>0.99911279347194903</v>
      </c>
      <c r="S86" s="1">
        <f t="shared" si="150"/>
        <v>100</v>
      </c>
      <c r="T86" s="1">
        <f t="shared" si="152"/>
        <v>94.846788876034026</v>
      </c>
      <c r="U86" s="1">
        <f t="shared" si="153"/>
        <v>94.846788876034026</v>
      </c>
      <c r="V86" s="1">
        <f t="shared" si="154"/>
        <v>94.846788876034026</v>
      </c>
      <c r="W86" s="1">
        <f t="shared" si="155"/>
        <v>94.153288676102804</v>
      </c>
      <c r="X86" s="1">
        <f t="shared" si="156"/>
        <v>94.332596768439515</v>
      </c>
      <c r="Y86" s="1">
        <f t="shared" si="157"/>
        <v>94.332596768439515</v>
      </c>
      <c r="Z86" s="1">
        <f t="shared" si="158"/>
        <v>94.163755423072288</v>
      </c>
      <c r="AA86" s="1">
        <f t="shared" si="159"/>
        <v>94.103386874945642</v>
      </c>
      <c r="AB86" s="1">
        <f t="shared" si="160"/>
        <v>94.116398791400442</v>
      </c>
      <c r="AC86" s="1">
        <f t="shared" si="161"/>
        <v>94.114701970655489</v>
      </c>
      <c r="AD86" s="1">
        <f t="shared" si="162"/>
        <v>93.847014707785405</v>
      </c>
      <c r="AE86" s="1">
        <f t="shared" si="163"/>
        <v>94.808675550745264</v>
      </c>
      <c r="AF86" s="1">
        <f t="shared" si="164"/>
        <v>1.0547557954912696</v>
      </c>
      <c r="AH86" s="1" t="str">
        <f t="shared" si="165"/>
        <v>C1621.31430</v>
      </c>
      <c r="AI86" s="1">
        <f t="shared" si="128"/>
        <v>105.47557954912696</v>
      </c>
      <c r="AJ86" s="1">
        <f t="shared" si="129"/>
        <v>100.04020025073378</v>
      </c>
      <c r="AK86" s="1">
        <f t="shared" si="130"/>
        <v>100.04020025073378</v>
      </c>
      <c r="AL86" s="1">
        <f t="shared" si="131"/>
        <v>100.04020025073378</v>
      </c>
      <c r="AM86" s="1">
        <f t="shared" si="132"/>
        <v>99.308726895681957</v>
      </c>
      <c r="AN86" s="1">
        <f t="shared" si="133"/>
        <v>99.497853145252591</v>
      </c>
      <c r="AO86" s="1">
        <f t="shared" si="134"/>
        <v>99.497853145252591</v>
      </c>
      <c r="AP86" s="1">
        <f t="shared" si="135"/>
        <v>99.319766757707967</v>
      </c>
      <c r="AQ86" s="1">
        <f t="shared" si="136"/>
        <v>99.256092681705994</v>
      </c>
      <c r="AR86" s="1">
        <f t="shared" si="137"/>
        <v>99.269817075997139</v>
      </c>
      <c r="AS86" s="1">
        <f t="shared" si="138"/>
        <v>99.268027344482491</v>
      </c>
      <c r="AT86" s="1">
        <f t="shared" si="139"/>
        <v>98.98568265259108</v>
      </c>
      <c r="AU86" s="1">
        <f t="shared" ref="AU86:AW86" si="183">AT86*O86</f>
        <v>98.98568265259108</v>
      </c>
      <c r="AV86" s="1">
        <f t="shared" si="183"/>
        <v>99.111714965240822</v>
      </c>
      <c r="AW86" s="1">
        <f t="shared" si="183"/>
        <v>99.023782404717338</v>
      </c>
      <c r="AX86" s="1" t="b">
        <f t="shared" si="141"/>
        <v>1</v>
      </c>
      <c r="AY86" s="1" t="s">
        <v>94</v>
      </c>
      <c r="AZ86" s="1">
        <v>4</v>
      </c>
      <c r="BA86" s="1" t="s">
        <v>325</v>
      </c>
      <c r="BB86" s="1" t="s">
        <v>326</v>
      </c>
      <c r="BC86" s="1">
        <v>1.9604044717117068E-3</v>
      </c>
    </row>
    <row r="87" spans="1:55" x14ac:dyDescent="0.35">
      <c r="A87" s="1" t="s">
        <v>95</v>
      </c>
      <c r="B87" s="1">
        <v>1</v>
      </c>
      <c r="C87" s="1">
        <v>1</v>
      </c>
      <c r="D87" s="1">
        <v>0.99870436334056523</v>
      </c>
      <c r="E87" s="1">
        <v>0.99736207240221753</v>
      </c>
      <c r="F87" s="1">
        <v>1.0020338984604951</v>
      </c>
      <c r="G87" s="1">
        <v>0.99399806354392906</v>
      </c>
      <c r="H87" s="1">
        <v>1</v>
      </c>
      <c r="I87" s="1">
        <v>1</v>
      </c>
      <c r="J87" s="1">
        <v>0.9973593184218299</v>
      </c>
      <c r="K87" s="1">
        <v>0.9840880083131115</v>
      </c>
      <c r="L87" s="1">
        <v>1.0010866138089121</v>
      </c>
      <c r="M87" s="1">
        <v>1.046583558494242</v>
      </c>
      <c r="N87" s="1">
        <v>1.0053727065363549</v>
      </c>
      <c r="O87" s="1">
        <v>1.001630309920885</v>
      </c>
      <c r="P87" s="1">
        <v>1</v>
      </c>
      <c r="Q87" s="1">
        <v>1</v>
      </c>
      <c r="S87" s="1">
        <f t="shared" si="150"/>
        <v>100</v>
      </c>
      <c r="T87" s="1">
        <f t="shared" si="152"/>
        <v>99.870436334056521</v>
      </c>
      <c r="U87" s="1">
        <f t="shared" si="153"/>
        <v>99.60698535384833</v>
      </c>
      <c r="V87" s="1">
        <f t="shared" si="154"/>
        <v>99.809575848014077</v>
      </c>
      <c r="W87" s="1">
        <f t="shared" si="155"/>
        <v>99.210525116066904</v>
      </c>
      <c r="X87" s="1">
        <f t="shared" si="156"/>
        <v>99.210525116066904</v>
      </c>
      <c r="Y87" s="1">
        <f t="shared" si="157"/>
        <v>99.210525116066904</v>
      </c>
      <c r="Z87" s="1">
        <f t="shared" si="158"/>
        <v>98.94854171003233</v>
      </c>
      <c r="AA87" s="1">
        <f t="shared" si="159"/>
        <v>97.374073336912559</v>
      </c>
      <c r="AB87" s="1">
        <f t="shared" si="160"/>
        <v>97.47988134963046</v>
      </c>
      <c r="AC87" s="1">
        <f t="shared" si="161"/>
        <v>102.02084110449275</v>
      </c>
      <c r="AD87" s="1">
        <f t="shared" si="162"/>
        <v>102.56896914433928</v>
      </c>
      <c r="AE87" s="1">
        <f t="shared" si="163"/>
        <v>99.609239960793914</v>
      </c>
      <c r="AF87" s="1">
        <f t="shared" si="164"/>
        <v>1.0039229296334344</v>
      </c>
      <c r="AH87" s="1" t="str">
        <f t="shared" si="165"/>
        <v>C1621.31440</v>
      </c>
      <c r="AI87" s="1">
        <f t="shared" si="128"/>
        <v>100.39229296334344</v>
      </c>
      <c r="AJ87" s="1">
        <f t="shared" si="129"/>
        <v>100.26222102825542</v>
      </c>
      <c r="AK87" s="1">
        <f t="shared" si="130"/>
        <v>99.997736548390009</v>
      </c>
      <c r="AL87" s="1">
        <f t="shared" si="131"/>
        <v>100.20112179080877</v>
      </c>
      <c r="AM87" s="1">
        <f t="shared" si="132"/>
        <v>99.599721024993315</v>
      </c>
      <c r="AN87" s="1">
        <f t="shared" si="133"/>
        <v>99.599721024993315</v>
      </c>
      <c r="AO87" s="1">
        <f t="shared" si="134"/>
        <v>99.599721024993315</v>
      </c>
      <c r="AP87" s="1">
        <f t="shared" si="135"/>
        <v>99.336709876491739</v>
      </c>
      <c r="AQ87" s="1">
        <f t="shared" si="136"/>
        <v>97.756064974734159</v>
      </c>
      <c r="AR87" s="1">
        <f t="shared" si="137"/>
        <v>97.862288064840598</v>
      </c>
      <c r="AS87" s="1">
        <f t="shared" si="138"/>
        <v>102.42106168528947</v>
      </c>
      <c r="AT87" s="1">
        <f t="shared" si="139"/>
        <v>102.97133999286643</v>
      </c>
      <c r="AU87" s="1">
        <f t="shared" ref="AU87:AW87" si="184">AT87*O87</f>
        <v>103.13921519002362</v>
      </c>
      <c r="AV87" s="1">
        <f t="shared" si="184"/>
        <v>103.13921519002362</v>
      </c>
      <c r="AW87" s="1">
        <f t="shared" si="184"/>
        <v>103.13921519002362</v>
      </c>
      <c r="AX87" s="1" t="b">
        <f t="shared" si="141"/>
        <v>1</v>
      </c>
      <c r="AY87" s="1" t="s">
        <v>95</v>
      </c>
      <c r="AZ87" s="1">
        <v>4</v>
      </c>
      <c r="BA87" s="1" t="s">
        <v>327</v>
      </c>
      <c r="BB87" s="1" t="s">
        <v>328</v>
      </c>
      <c r="BC87" s="1">
        <v>1.9604044717117068E-3</v>
      </c>
    </row>
    <row r="88" spans="1:55" x14ac:dyDescent="0.35">
      <c r="A88" s="1" t="s">
        <v>96</v>
      </c>
      <c r="B88" s="1">
        <v>0.99366316298446455</v>
      </c>
      <c r="C88" s="1">
        <v>1</v>
      </c>
      <c r="D88" s="1">
        <v>0.99953609473378391</v>
      </c>
      <c r="E88" s="1">
        <v>0.9994907593939637</v>
      </c>
      <c r="F88" s="1">
        <v>0.99723236736840748</v>
      </c>
      <c r="G88" s="1">
        <v>0.99657214056081977</v>
      </c>
      <c r="H88" s="1">
        <v>1.0036568907135004</v>
      </c>
      <c r="I88" s="1">
        <v>1.0006368235636764</v>
      </c>
      <c r="J88" s="1">
        <v>0.99793840186915495</v>
      </c>
      <c r="K88" s="1">
        <v>0.99487990214855127</v>
      </c>
      <c r="L88" s="1">
        <v>1.0028339054252209</v>
      </c>
      <c r="M88" s="1">
        <v>1.0014224985591791</v>
      </c>
      <c r="N88" s="1">
        <v>1.0009299423280058</v>
      </c>
      <c r="O88" s="1">
        <v>1.0017018085152214</v>
      </c>
      <c r="P88" s="1">
        <v>1.0000301556078341</v>
      </c>
      <c r="Q88" s="1">
        <v>1</v>
      </c>
      <c r="S88" s="1">
        <f t="shared" si="150"/>
        <v>100</v>
      </c>
      <c r="T88" s="1">
        <f t="shared" si="152"/>
        <v>99.953609473378393</v>
      </c>
      <c r="U88" s="1">
        <f t="shared" si="153"/>
        <v>99.902709036714654</v>
      </c>
      <c r="V88" s="1">
        <f t="shared" si="154"/>
        <v>99.626215039200147</v>
      </c>
      <c r="W88" s="1">
        <f t="shared" si="155"/>
        <v>99.284710377588226</v>
      </c>
      <c r="X88" s="1">
        <f t="shared" si="156"/>
        <v>99.647783712960603</v>
      </c>
      <c r="Y88" s="1">
        <f t="shared" si="157"/>
        <v>99.711241769697153</v>
      </c>
      <c r="Z88" s="1">
        <f t="shared" si="158"/>
        <v>99.5056772600405</v>
      </c>
      <c r="AA88" s="1">
        <f t="shared" si="159"/>
        <v>98.996198455694412</v>
      </c>
      <c r="AB88" s="1">
        <f t="shared" si="160"/>
        <v>99.276744319574249</v>
      </c>
      <c r="AC88" s="1">
        <f t="shared" si="161"/>
        <v>99.417965345328838</v>
      </c>
      <c r="AD88" s="1">
        <f t="shared" si="162"/>
        <v>99.510418319467675</v>
      </c>
      <c r="AE88" s="1">
        <f t="shared" si="163"/>
        <v>99.569439425803736</v>
      </c>
      <c r="AF88" s="1">
        <f t="shared" si="164"/>
        <v>1.0043242241462764</v>
      </c>
      <c r="AH88" s="1" t="str">
        <f t="shared" si="165"/>
        <v>C1622.31600</v>
      </c>
      <c r="AI88" s="1">
        <f t="shared" si="128"/>
        <v>100.43242241462764</v>
      </c>
      <c r="AJ88" s="1">
        <f t="shared" si="129"/>
        <v>100.38583128497066</v>
      </c>
      <c r="AK88" s="1">
        <f t="shared" si="130"/>
        <v>100.33471074340964</v>
      </c>
      <c r="AL88" s="1">
        <f t="shared" si="131"/>
        <v>100.05702112387479</v>
      </c>
      <c r="AM88" s="1">
        <f t="shared" si="132"/>
        <v>99.714039719559054</v>
      </c>
      <c r="AN88" s="1">
        <f t="shared" si="133"/>
        <v>100.07868306541512</v>
      </c>
      <c r="AO88" s="1">
        <f t="shared" si="134"/>
        <v>100.14241552901288</v>
      </c>
      <c r="AP88" s="1">
        <f t="shared" si="135"/>
        <v>99.935962112339951</v>
      </c>
      <c r="AQ88" s="1">
        <f t="shared" si="136"/>
        <v>99.424280207446103</v>
      </c>
      <c r="AR88" s="1">
        <f t="shared" si="137"/>
        <v>99.706039214524665</v>
      </c>
      <c r="AS88" s="1">
        <f t="shared" si="138"/>
        <v>99.847870911648783</v>
      </c>
      <c r="AT88" s="1">
        <f t="shared" si="139"/>
        <v>99.94072367317078</v>
      </c>
      <c r="AU88" s="1">
        <f t="shared" ref="AU88:AW88" si="185">AT88*O88</f>
        <v>100.11080364773517</v>
      </c>
      <c r="AV88" s="1">
        <f t="shared" si="185"/>
        <v>100.11382254986994</v>
      </c>
      <c r="AW88" s="1">
        <f t="shared" si="185"/>
        <v>100.11382254986994</v>
      </c>
      <c r="AX88" s="1" t="b">
        <f t="shared" si="141"/>
        <v>1</v>
      </c>
      <c r="AY88" s="1" t="s">
        <v>96</v>
      </c>
      <c r="AZ88" s="1">
        <v>4</v>
      </c>
      <c r="BA88" s="1" t="s">
        <v>329</v>
      </c>
      <c r="BB88" s="1" t="s">
        <v>330</v>
      </c>
      <c r="BC88" s="1">
        <v>1.9604044717117068E-3</v>
      </c>
    </row>
    <row r="89" spans="1:55" x14ac:dyDescent="0.35">
      <c r="A89" s="1" t="s">
        <v>97</v>
      </c>
      <c r="B89" s="1">
        <v>0.9932453087558768</v>
      </c>
      <c r="C89" s="1">
        <v>1</v>
      </c>
      <c r="D89" s="1">
        <v>1.0055693059785031</v>
      </c>
      <c r="E89" s="1">
        <v>1.0019708584941136</v>
      </c>
      <c r="F89" s="1">
        <v>0.99243977828741192</v>
      </c>
      <c r="G89" s="1">
        <v>1.0068888961388132</v>
      </c>
      <c r="H89" s="1">
        <v>0.99401425568337387</v>
      </c>
      <c r="I89" s="1">
        <v>0.97923601748083133</v>
      </c>
      <c r="J89" s="1">
        <v>0.9996683518984758</v>
      </c>
      <c r="K89" s="1">
        <v>1.0147110034341906</v>
      </c>
      <c r="L89" s="1">
        <v>0.99999833668979421</v>
      </c>
      <c r="M89" s="1">
        <v>1.000749044506847</v>
      </c>
      <c r="N89" s="1">
        <v>0.99994889782899432</v>
      </c>
      <c r="O89" s="1">
        <v>0.99870102494843671</v>
      </c>
      <c r="P89" s="1">
        <v>1.025768530000255</v>
      </c>
      <c r="Q89" s="1">
        <v>1.006846850368375</v>
      </c>
      <c r="S89" s="1">
        <f t="shared" si="150"/>
        <v>100</v>
      </c>
      <c r="T89" s="1">
        <f t="shared" si="152"/>
        <v>100.55693059785031</v>
      </c>
      <c r="U89" s="1">
        <f t="shared" si="153"/>
        <v>100.75511407866108</v>
      </c>
      <c r="V89" s="1">
        <f t="shared" si="154"/>
        <v>99.993383077549296</v>
      </c>
      <c r="W89" s="1">
        <f t="shared" si="155"/>
        <v>100.68222710813909</v>
      </c>
      <c r="X89" s="1">
        <f t="shared" si="156"/>
        <v>100.07956903944128</v>
      </c>
      <c r="Y89" s="1">
        <f t="shared" si="157"/>
        <v>98.001518617380384</v>
      </c>
      <c r="Z89" s="1">
        <f t="shared" si="158"/>
        <v>97.969016599784439</v>
      </c>
      <c r="AA89" s="1">
        <f t="shared" si="159"/>
        <v>99.410239139428143</v>
      </c>
      <c r="AB89" s="1">
        <f t="shared" si="160"/>
        <v>99.410073789362826</v>
      </c>
      <c r="AC89" s="1">
        <f t="shared" si="161"/>
        <v>99.484536359060002</v>
      </c>
      <c r="AD89" s="1">
        <f t="shared" si="162"/>
        <v>99.479452483270563</v>
      </c>
      <c r="AE89" s="1">
        <f t="shared" si="163"/>
        <v>99.651838407493941</v>
      </c>
      <c r="AF89" s="1">
        <f t="shared" si="164"/>
        <v>1.0034937799248858</v>
      </c>
      <c r="AH89" s="1" t="str">
        <f t="shared" si="165"/>
        <v>C1702.32153</v>
      </c>
      <c r="AI89" s="1">
        <f t="shared" si="128"/>
        <v>100.34937799248857</v>
      </c>
      <c r="AJ89" s="1">
        <f t="shared" si="129"/>
        <v>100.9082543832812</v>
      </c>
      <c r="AK89" s="1">
        <f t="shared" si="130"/>
        <v>101.10713027355868</v>
      </c>
      <c r="AL89" s="1">
        <f t="shared" si="131"/>
        <v>100.34273795196705</v>
      </c>
      <c r="AM89" s="1">
        <f t="shared" si="132"/>
        <v>101.03398865200229</v>
      </c>
      <c r="AN89" s="1">
        <f t="shared" si="133"/>
        <v>100.42922502864251</v>
      </c>
      <c r="AO89" s="1">
        <f t="shared" si="134"/>
        <v>98.3439143557341</v>
      </c>
      <c r="AP89" s="1">
        <f t="shared" si="135"/>
        <v>98.311298783241568</v>
      </c>
      <c r="AQ89" s="1">
        <f t="shared" si="136"/>
        <v>99.757556637261573</v>
      </c>
      <c r="AR89" s="1">
        <f t="shared" si="137"/>
        <v>99.757390709499518</v>
      </c>
      <c r="AS89" s="1">
        <f t="shared" si="138"/>
        <v>99.83211343502785</v>
      </c>
      <c r="AT89" s="1">
        <f t="shared" si="139"/>
        <v>99.827011797295242</v>
      </c>
      <c r="AU89" s="1">
        <f t="shared" ref="AU89:AW89" si="186">AT89*O89</f>
        <v>99.697338999498442</v>
      </c>
      <c r="AV89" s="1">
        <f t="shared" si="186"/>
        <v>102.26639287045262</v>
      </c>
      <c r="AW89" s="1">
        <f t="shared" si="186"/>
        <v>102.96659556015005</v>
      </c>
      <c r="AX89" s="1" t="b">
        <f t="shared" si="141"/>
        <v>1</v>
      </c>
      <c r="AY89" s="1" t="s">
        <v>97</v>
      </c>
      <c r="AZ89" s="1">
        <v>4</v>
      </c>
      <c r="BA89" s="1" t="s">
        <v>331</v>
      </c>
      <c r="BB89" s="1" t="s">
        <v>332</v>
      </c>
      <c r="BC89" s="1">
        <v>1.4241801640192791E-2</v>
      </c>
    </row>
    <row r="90" spans="1:55" x14ac:dyDescent="0.35">
      <c r="A90" s="1" t="s">
        <v>98</v>
      </c>
      <c r="B90" s="1">
        <v>0.9964912966847187</v>
      </c>
      <c r="C90" s="1">
        <v>1</v>
      </c>
      <c r="D90" s="1">
        <v>1.0030303056592147</v>
      </c>
      <c r="E90" s="1">
        <v>1.0006238930786826</v>
      </c>
      <c r="F90" s="1">
        <v>0.99250241552298768</v>
      </c>
      <c r="G90" s="1">
        <v>1.0013324620771724</v>
      </c>
      <c r="H90" s="1">
        <v>1.0018492790726801</v>
      </c>
      <c r="I90" s="1">
        <v>1.0102035478247293</v>
      </c>
      <c r="J90" s="1">
        <v>0.98411421299987611</v>
      </c>
      <c r="K90" s="1">
        <v>1.0055795511480825</v>
      </c>
      <c r="L90" s="1">
        <v>0.99750030992620797</v>
      </c>
      <c r="M90" s="1">
        <v>0.99783017019481524</v>
      </c>
      <c r="N90" s="1">
        <v>0.99734180626794278</v>
      </c>
      <c r="O90" s="1">
        <v>1.0050358385125633</v>
      </c>
      <c r="P90" s="1">
        <v>1.0000021670446932</v>
      </c>
      <c r="Q90" s="1">
        <v>1</v>
      </c>
      <c r="S90" s="1">
        <f t="shared" si="150"/>
        <v>100</v>
      </c>
      <c r="T90" s="1">
        <f t="shared" si="152"/>
        <v>100.30303056592147</v>
      </c>
      <c r="U90" s="1">
        <f t="shared" si="153"/>
        <v>100.36560893246244</v>
      </c>
      <c r="V90" s="1">
        <f t="shared" si="154"/>
        <v>99.613109300904512</v>
      </c>
      <c r="W90" s="1">
        <f t="shared" si="155"/>
        <v>99.745839991437194</v>
      </c>
      <c r="X90" s="1">
        <f t="shared" si="156"/>
        <v>99.930297885920254</v>
      </c>
      <c r="Y90" s="1">
        <f t="shared" si="157"/>
        <v>100.94994145953869</v>
      </c>
      <c r="Z90" s="1">
        <f t="shared" si="158"/>
        <v>99.346272191837485</v>
      </c>
      <c r="AA90" s="1">
        <f t="shared" si="159"/>
        <v>99.900579798903166</v>
      </c>
      <c r="AB90" s="1">
        <f t="shared" si="160"/>
        <v>99.650859311213779</v>
      </c>
      <c r="AC90" s="1">
        <f t="shared" si="161"/>
        <v>99.434633906568038</v>
      </c>
      <c r="AD90" s="1">
        <f t="shared" si="162"/>
        <v>99.17031738596819</v>
      </c>
      <c r="AE90" s="1">
        <f t="shared" si="163"/>
        <v>99.867540894222941</v>
      </c>
      <c r="AF90" s="1">
        <f t="shared" si="164"/>
        <v>1.0013263479263734</v>
      </c>
      <c r="AH90" s="1" t="str">
        <f t="shared" si="165"/>
        <v>C1709.32193</v>
      </c>
      <c r="AI90" s="1">
        <f t="shared" si="128"/>
        <v>100.13263479263735</v>
      </c>
      <c r="AJ90" s="1">
        <f t="shared" si="129"/>
        <v>100.43606728252155</v>
      </c>
      <c r="AK90" s="1">
        <f t="shared" si="130"/>
        <v>100.49872864974921</v>
      </c>
      <c r="AL90" s="1">
        <f t="shared" si="131"/>
        <v>99.745230941865373</v>
      </c>
      <c r="AM90" s="1">
        <f t="shared" si="132"/>
        <v>99.878137679474207</v>
      </c>
      <c r="AN90" s="1">
        <f t="shared" si="133"/>
        <v>100.06284022930312</v>
      </c>
      <c r="AO90" s="1">
        <f t="shared" si="134"/>
        <v>101.08383620506108</v>
      </c>
      <c r="AP90" s="1">
        <f t="shared" si="135"/>
        <v>99.47803991395206</v>
      </c>
      <c r="AQ90" s="1">
        <f t="shared" si="136"/>
        <v>100.03308272576294</v>
      </c>
      <c r="AR90" s="1">
        <f t="shared" si="137"/>
        <v>99.783031021822538</v>
      </c>
      <c r="AS90" s="1">
        <f t="shared" si="138"/>
        <v>99.56651882705971</v>
      </c>
      <c r="AT90" s="1">
        <f t="shared" si="139"/>
        <v>99.301851730790858</v>
      </c>
      <c r="AU90" s="1">
        <f t="shared" ref="AU90:AW90" si="187">AT90*O90</f>
        <v>99.801919820105624</v>
      </c>
      <c r="AV90" s="1">
        <f t="shared" si="187"/>
        <v>99.802136095326347</v>
      </c>
      <c r="AW90" s="1">
        <f t="shared" si="187"/>
        <v>99.802136095326347</v>
      </c>
      <c r="AX90" s="1" t="b">
        <f t="shared" si="141"/>
        <v>1</v>
      </c>
      <c r="AY90" s="1" t="s">
        <v>98</v>
      </c>
      <c r="AZ90" s="1">
        <v>4</v>
      </c>
      <c r="BA90" s="1" t="s">
        <v>333</v>
      </c>
      <c r="BB90" s="1" t="s">
        <v>334</v>
      </c>
      <c r="BC90" s="1">
        <v>5.523264297943949E-3</v>
      </c>
    </row>
    <row r="91" spans="1:55" x14ac:dyDescent="0.35">
      <c r="A91" s="1" t="s">
        <v>99</v>
      </c>
      <c r="B91" s="1">
        <v>0.99981842023701095</v>
      </c>
      <c r="C91" s="1">
        <v>1</v>
      </c>
      <c r="D91" s="1">
        <v>0.99876713357507441</v>
      </c>
      <c r="E91" s="1">
        <v>0.99203279314537962</v>
      </c>
      <c r="F91" s="1">
        <v>0.9992417554213584</v>
      </c>
      <c r="G91" s="1">
        <v>0.99766611628883195</v>
      </c>
      <c r="H91" s="1">
        <v>0.99575066150209746</v>
      </c>
      <c r="I91" s="1">
        <v>0.99968138446847954</v>
      </c>
      <c r="J91" s="1">
        <v>0.99943614800305536</v>
      </c>
      <c r="K91" s="1">
        <v>0.99973002796971366</v>
      </c>
      <c r="L91" s="1">
        <v>0.99993672721108207</v>
      </c>
      <c r="M91" s="1">
        <v>0.99963643600020258</v>
      </c>
      <c r="N91" s="1">
        <v>0.99925987404687522</v>
      </c>
      <c r="O91" s="1">
        <v>1.0007150394224273</v>
      </c>
      <c r="P91" s="1">
        <v>1.0088246805526131</v>
      </c>
      <c r="Q91" s="1">
        <v>1</v>
      </c>
      <c r="S91" s="1">
        <f t="shared" si="150"/>
        <v>100</v>
      </c>
      <c r="T91" s="1">
        <f t="shared" si="152"/>
        <v>99.876713357507441</v>
      </c>
      <c r="U91" s="1">
        <f t="shared" si="153"/>
        <v>99.080974922228549</v>
      </c>
      <c r="V91" s="1">
        <f t="shared" si="154"/>
        <v>99.005847310147246</v>
      </c>
      <c r="W91" s="1">
        <f t="shared" si="155"/>
        <v>98.774779175799708</v>
      </c>
      <c r="X91" s="1">
        <f t="shared" si="156"/>
        <v>98.355051704026152</v>
      </c>
      <c r="Y91" s="1">
        <f t="shared" si="157"/>
        <v>98.323714256949756</v>
      </c>
      <c r="Z91" s="1">
        <f t="shared" si="158"/>
        <v>98.268274234318966</v>
      </c>
      <c r="AA91" s="1">
        <f t="shared" si="159"/>
        <v>98.241744548811198</v>
      </c>
      <c r="AB91" s="1">
        <f t="shared" si="160"/>
        <v>98.235528519645428</v>
      </c>
      <c r="AC91" s="1">
        <f t="shared" si="161"/>
        <v>98.199813617974613</v>
      </c>
      <c r="AD91" s="1">
        <f t="shared" si="162"/>
        <v>98.127133387323937</v>
      </c>
      <c r="AE91" s="1">
        <f t="shared" si="163"/>
        <v>98.707464586227744</v>
      </c>
      <c r="AF91" s="1">
        <f t="shared" si="164"/>
        <v>1.0130946065648676</v>
      </c>
      <c r="AH91" s="1" t="str">
        <f t="shared" si="165"/>
        <v>C1709.32199</v>
      </c>
      <c r="AI91" s="1">
        <f t="shared" ref="AI91:AI122" si="188">$AF91*S91</f>
        <v>101.30946065648676</v>
      </c>
      <c r="AJ91" s="1">
        <f t="shared" ref="AJ91:AJ122" si="189">$AF91*T91</f>
        <v>101.18455962391606</v>
      </c>
      <c r="AK91" s="1">
        <f t="shared" ref="AK91:AK122" si="190">$AF91*U91</f>
        <v>100.37840130689865</v>
      </c>
      <c r="AL91" s="1">
        <f t="shared" ref="AL91:AL122" si="191">$AF91*V91</f>
        <v>100.30228992829498</v>
      </c>
      <c r="AM91" s="1">
        <f t="shared" ref="AM91:AM122" si="192">$AF91*W91</f>
        <v>100.06819604763848</v>
      </c>
      <c r="AN91" s="1">
        <f t="shared" ref="AN91:AN122" si="193">$AF91*X91</f>
        <v>99.64297240975759</v>
      </c>
      <c r="AO91" s="1">
        <f t="shared" ref="AO91:AO122" si="194">$AF91*Y91</f>
        <v>99.611224611140983</v>
      </c>
      <c r="AP91" s="1">
        <f t="shared" ref="AP91:AP122" si="195">$AF91*Z91</f>
        <v>99.555058623225889</v>
      </c>
      <c r="AQ91" s="1">
        <f t="shared" ref="AQ91:AQ122" si="196">$AF91*AA91</f>
        <v>99.528181541924113</v>
      </c>
      <c r="AR91" s="1">
        <f t="shared" ref="AR91:AR122" si="197">$AF91*AB91</f>
        <v>99.521884116302019</v>
      </c>
      <c r="AS91" s="1">
        <f t="shared" ref="AS91:AS122" si="198">$AF91*AC91</f>
        <v>99.485701542045319</v>
      </c>
      <c r="AT91" s="1">
        <f t="shared" ref="AT91:AT122" si="199">$AF91*AD91</f>
        <v>99.412069592369235</v>
      </c>
      <c r="AU91" s="1">
        <f t="shared" ref="AU91:AW91" si="200">AT91*O91</f>
        <v>99.483153141192872</v>
      </c>
      <c r="AV91" s="1">
        <f t="shared" si="200"/>
        <v>100.36106018803059</v>
      </c>
      <c r="AW91" s="1">
        <f t="shared" si="200"/>
        <v>100.36106018803059</v>
      </c>
      <c r="AX91" s="1" t="b">
        <f t="shared" si="141"/>
        <v>1</v>
      </c>
      <c r="AY91" s="1" t="s">
        <v>99</v>
      </c>
      <c r="AZ91" s="1">
        <v>4</v>
      </c>
      <c r="BA91" s="1" t="s">
        <v>335</v>
      </c>
      <c r="BB91" s="1" t="s">
        <v>336</v>
      </c>
      <c r="BC91" s="1">
        <v>2.2093057191775799E-3</v>
      </c>
    </row>
    <row r="92" spans="1:55" x14ac:dyDescent="0.35">
      <c r="A92" s="1" t="s">
        <v>100</v>
      </c>
      <c r="B92" s="1">
        <v>1</v>
      </c>
      <c r="C92" s="1">
        <v>1</v>
      </c>
      <c r="D92" s="1">
        <v>1</v>
      </c>
      <c r="E92" s="1">
        <v>0.99998264777566837</v>
      </c>
      <c r="F92" s="1">
        <v>1.0000173525254366</v>
      </c>
      <c r="G92" s="1">
        <v>1</v>
      </c>
      <c r="H92" s="1">
        <v>0.99999843976315606</v>
      </c>
      <c r="I92" s="1">
        <v>0.99917357513247085</v>
      </c>
      <c r="J92" s="1">
        <v>1</v>
      </c>
      <c r="K92" s="1">
        <v>1</v>
      </c>
      <c r="L92" s="1">
        <v>0.99280243396526913</v>
      </c>
      <c r="M92" s="1">
        <v>1</v>
      </c>
      <c r="N92" s="1">
        <v>1</v>
      </c>
      <c r="O92" s="1">
        <v>1</v>
      </c>
      <c r="P92" s="1">
        <v>1</v>
      </c>
      <c r="Q92" s="1">
        <v>0.99704866828075345</v>
      </c>
      <c r="S92" s="1">
        <f t="shared" si="150"/>
        <v>100</v>
      </c>
      <c r="T92" s="1">
        <f t="shared" si="152"/>
        <v>100</v>
      </c>
      <c r="U92" s="1">
        <f t="shared" si="153"/>
        <v>99.998264777566831</v>
      </c>
      <c r="V92" s="1">
        <f t="shared" si="154"/>
        <v>100</v>
      </c>
      <c r="W92" s="1">
        <f t="shared" si="155"/>
        <v>100</v>
      </c>
      <c r="X92" s="1">
        <f t="shared" si="156"/>
        <v>99.999843976315603</v>
      </c>
      <c r="Y92" s="1">
        <f t="shared" si="157"/>
        <v>99.917201618504535</v>
      </c>
      <c r="Z92" s="1">
        <f t="shared" si="158"/>
        <v>99.917201618504535</v>
      </c>
      <c r="AA92" s="1">
        <f t="shared" si="159"/>
        <v>99.917201618504535</v>
      </c>
      <c r="AB92" s="1">
        <f t="shared" si="160"/>
        <v>99.198040961849827</v>
      </c>
      <c r="AC92" s="1">
        <f t="shared" si="161"/>
        <v>99.198040961849827</v>
      </c>
      <c r="AD92" s="1">
        <f t="shared" si="162"/>
        <v>99.198040961849827</v>
      </c>
      <c r="AE92" s="1">
        <f t="shared" si="163"/>
        <v>99.778653041245477</v>
      </c>
      <c r="AF92" s="1">
        <f t="shared" si="164"/>
        <v>1.0022183799039963</v>
      </c>
      <c r="AH92" s="1" t="str">
        <f t="shared" si="165"/>
        <v>C1709.32700</v>
      </c>
      <c r="AI92" s="1">
        <f t="shared" si="188"/>
        <v>100.22183799039964</v>
      </c>
      <c r="AJ92" s="1">
        <f t="shared" si="189"/>
        <v>100.22183799039964</v>
      </c>
      <c r="AK92" s="1">
        <f t="shared" si="190"/>
        <v>100.22009891858389</v>
      </c>
      <c r="AL92" s="1">
        <f t="shared" si="191"/>
        <v>100.22183799039964</v>
      </c>
      <c r="AM92" s="1">
        <f t="shared" si="192"/>
        <v>100.22183799039964</v>
      </c>
      <c r="AN92" s="1">
        <f t="shared" si="193"/>
        <v>100.22168162059543</v>
      </c>
      <c r="AO92" s="1">
        <f t="shared" si="194"/>
        <v>100.13885593063857</v>
      </c>
      <c r="AP92" s="1">
        <f t="shared" si="195"/>
        <v>100.13885593063857</v>
      </c>
      <c r="AQ92" s="1">
        <f t="shared" si="196"/>
        <v>100.13885593063857</v>
      </c>
      <c r="AR92" s="1">
        <f t="shared" si="197"/>
        <v>99.418099902435401</v>
      </c>
      <c r="AS92" s="1">
        <f t="shared" si="198"/>
        <v>99.418099902435401</v>
      </c>
      <c r="AT92" s="1">
        <f t="shared" si="199"/>
        <v>99.418099902435401</v>
      </c>
      <c r="AU92" s="1">
        <f t="shared" ref="AU92:AW92" si="201">AT92*O92</f>
        <v>99.418099902435401</v>
      </c>
      <c r="AV92" s="1">
        <f t="shared" si="201"/>
        <v>99.418099902435401</v>
      </c>
      <c r="AW92" s="1">
        <f t="shared" si="201"/>
        <v>99.124684110726122</v>
      </c>
      <c r="AX92" s="1" t="b">
        <f t="shared" si="141"/>
        <v>1</v>
      </c>
      <c r="AY92" s="1" t="s">
        <v>100</v>
      </c>
      <c r="AZ92" s="1">
        <v>4</v>
      </c>
      <c r="BA92" s="1">
        <v>32700</v>
      </c>
      <c r="BB92" s="1" t="s">
        <v>337</v>
      </c>
      <c r="BC92" s="1">
        <v>3.3139585787663691E-3</v>
      </c>
    </row>
    <row r="93" spans="1:55" x14ac:dyDescent="0.35">
      <c r="A93" s="1" t="s">
        <v>101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0.98823529411764688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1.055555555555556</v>
      </c>
      <c r="Q93" s="1">
        <v>1</v>
      </c>
      <c r="S93" s="1">
        <f t="shared" si="150"/>
        <v>100</v>
      </c>
      <c r="T93" s="1">
        <f t="shared" si="152"/>
        <v>100</v>
      </c>
      <c r="U93" s="1">
        <f t="shared" si="153"/>
        <v>100</v>
      </c>
      <c r="V93" s="1">
        <f t="shared" si="154"/>
        <v>100</v>
      </c>
      <c r="W93" s="1">
        <f t="shared" si="155"/>
        <v>100</v>
      </c>
      <c r="X93" s="1">
        <f t="shared" si="156"/>
        <v>98.823529411764682</v>
      </c>
      <c r="Y93" s="1">
        <f t="shared" si="157"/>
        <v>98.823529411764682</v>
      </c>
      <c r="Z93" s="1">
        <f t="shared" si="158"/>
        <v>98.823529411764682</v>
      </c>
      <c r="AA93" s="1">
        <f t="shared" si="159"/>
        <v>98.823529411764682</v>
      </c>
      <c r="AB93" s="1">
        <f t="shared" si="160"/>
        <v>98.823529411764682</v>
      </c>
      <c r="AC93" s="1">
        <f t="shared" si="161"/>
        <v>98.823529411764682</v>
      </c>
      <c r="AD93" s="1">
        <f t="shared" si="162"/>
        <v>98.823529411764682</v>
      </c>
      <c r="AE93" s="1">
        <f t="shared" si="163"/>
        <v>99.313725490196035</v>
      </c>
      <c r="AF93" s="1">
        <f t="shared" si="164"/>
        <v>1.0069101678183618</v>
      </c>
      <c r="AH93" s="1" t="str">
        <f t="shared" si="165"/>
        <v>C1811.32690</v>
      </c>
      <c r="AI93" s="1">
        <f t="shared" si="188"/>
        <v>100.69101678183618</v>
      </c>
      <c r="AJ93" s="1">
        <f t="shared" si="189"/>
        <v>100.69101678183618</v>
      </c>
      <c r="AK93" s="1">
        <f t="shared" si="190"/>
        <v>100.69101678183618</v>
      </c>
      <c r="AL93" s="1">
        <f t="shared" si="191"/>
        <v>100.69101678183618</v>
      </c>
      <c r="AM93" s="1">
        <f t="shared" si="192"/>
        <v>100.69101678183618</v>
      </c>
      <c r="AN93" s="1">
        <f t="shared" si="193"/>
        <v>99.5064165844028</v>
      </c>
      <c r="AO93" s="1">
        <f t="shared" si="194"/>
        <v>99.5064165844028</v>
      </c>
      <c r="AP93" s="1">
        <f t="shared" si="195"/>
        <v>99.5064165844028</v>
      </c>
      <c r="AQ93" s="1">
        <f t="shared" si="196"/>
        <v>99.5064165844028</v>
      </c>
      <c r="AR93" s="1">
        <f t="shared" si="197"/>
        <v>99.5064165844028</v>
      </c>
      <c r="AS93" s="1">
        <f t="shared" si="198"/>
        <v>99.5064165844028</v>
      </c>
      <c r="AT93" s="1">
        <f t="shared" si="199"/>
        <v>99.5064165844028</v>
      </c>
      <c r="AU93" s="1">
        <f t="shared" ref="AU93:AW93" si="202">AT93*O93</f>
        <v>99.5064165844028</v>
      </c>
      <c r="AV93" s="1">
        <f t="shared" si="202"/>
        <v>105.03455083909189</v>
      </c>
      <c r="AW93" s="1">
        <f t="shared" si="202"/>
        <v>105.03455083909189</v>
      </c>
      <c r="AX93" s="1" t="b">
        <f t="shared" si="141"/>
        <v>1</v>
      </c>
      <c r="AY93" s="1" t="s">
        <v>101</v>
      </c>
      <c r="AZ93" s="1">
        <v>4</v>
      </c>
      <c r="BA93" s="1">
        <v>32690</v>
      </c>
      <c r="BB93" s="1" t="s">
        <v>337</v>
      </c>
      <c r="BC93" s="1">
        <v>9.4820987499744849E-3</v>
      </c>
    </row>
    <row r="94" spans="1:55" x14ac:dyDescent="0.35">
      <c r="A94" s="1" t="s">
        <v>102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S94" s="1">
        <f t="shared" si="150"/>
        <v>100</v>
      </c>
      <c r="T94" s="1">
        <f t="shared" si="152"/>
        <v>100</v>
      </c>
      <c r="U94" s="1">
        <f t="shared" si="153"/>
        <v>100</v>
      </c>
      <c r="V94" s="1">
        <f t="shared" si="154"/>
        <v>100</v>
      </c>
      <c r="W94" s="1">
        <f t="shared" si="155"/>
        <v>100</v>
      </c>
      <c r="X94" s="1">
        <f t="shared" si="156"/>
        <v>100</v>
      </c>
      <c r="Y94" s="1">
        <f t="shared" si="157"/>
        <v>100</v>
      </c>
      <c r="Z94" s="1">
        <f t="shared" si="158"/>
        <v>100</v>
      </c>
      <c r="AA94" s="1">
        <f t="shared" si="159"/>
        <v>100</v>
      </c>
      <c r="AB94" s="1">
        <f t="shared" si="160"/>
        <v>100</v>
      </c>
      <c r="AC94" s="1">
        <f t="shared" si="161"/>
        <v>100</v>
      </c>
      <c r="AD94" s="1">
        <f t="shared" si="162"/>
        <v>100</v>
      </c>
      <c r="AE94" s="1">
        <f t="shared" si="163"/>
        <v>100</v>
      </c>
      <c r="AF94" s="1">
        <f t="shared" si="164"/>
        <v>1</v>
      </c>
      <c r="AH94" s="1" t="str">
        <f t="shared" si="165"/>
        <v>C2011.24110</v>
      </c>
      <c r="AI94" s="1">
        <f t="shared" si="188"/>
        <v>100</v>
      </c>
      <c r="AJ94" s="1">
        <f t="shared" si="189"/>
        <v>100</v>
      </c>
      <c r="AK94" s="1">
        <f t="shared" si="190"/>
        <v>100</v>
      </c>
      <c r="AL94" s="1">
        <f t="shared" si="191"/>
        <v>100</v>
      </c>
      <c r="AM94" s="1">
        <f t="shared" si="192"/>
        <v>100</v>
      </c>
      <c r="AN94" s="1">
        <f t="shared" si="193"/>
        <v>100</v>
      </c>
      <c r="AO94" s="1">
        <f t="shared" si="194"/>
        <v>100</v>
      </c>
      <c r="AP94" s="1">
        <f t="shared" si="195"/>
        <v>100</v>
      </c>
      <c r="AQ94" s="1">
        <f t="shared" si="196"/>
        <v>100</v>
      </c>
      <c r="AR94" s="1">
        <f t="shared" si="197"/>
        <v>100</v>
      </c>
      <c r="AS94" s="1">
        <f t="shared" si="198"/>
        <v>100</v>
      </c>
      <c r="AT94" s="1">
        <f t="shared" si="199"/>
        <v>100</v>
      </c>
      <c r="AU94" s="1">
        <f t="shared" ref="AU94:AW94" si="203">AT94*O94</f>
        <v>100</v>
      </c>
      <c r="AV94" s="1">
        <f t="shared" si="203"/>
        <v>100</v>
      </c>
      <c r="AW94" s="1">
        <f t="shared" si="203"/>
        <v>100</v>
      </c>
      <c r="AX94" s="1" t="b">
        <f t="shared" si="141"/>
        <v>1</v>
      </c>
      <c r="AY94" s="1" t="s">
        <v>102</v>
      </c>
      <c r="AZ94" s="1">
        <v>4</v>
      </c>
      <c r="BA94" s="1" t="s">
        <v>338</v>
      </c>
      <c r="BB94" s="1" t="s">
        <v>339</v>
      </c>
      <c r="BC94" s="1">
        <v>6.6352856660274783E-3</v>
      </c>
    </row>
    <row r="95" spans="1:55" x14ac:dyDescent="0.35">
      <c r="A95" s="1" t="s">
        <v>103</v>
      </c>
      <c r="B95" s="1">
        <v>1</v>
      </c>
      <c r="C95" s="1">
        <v>1</v>
      </c>
      <c r="D95" s="1">
        <v>1.0051221440957947</v>
      </c>
      <c r="E95" s="1">
        <v>1.0037061384402477</v>
      </c>
      <c r="F95" s="1">
        <v>1.0052839468714623</v>
      </c>
      <c r="G95" s="1">
        <v>1.0051657668271436</v>
      </c>
      <c r="H95" s="1">
        <v>1.0049901712102915</v>
      </c>
      <c r="I95" s="1">
        <v>1.0151024631860641</v>
      </c>
      <c r="J95" s="1">
        <v>1.0246950765959597</v>
      </c>
      <c r="K95" s="1">
        <v>1.0099504938362081</v>
      </c>
      <c r="L95" s="1">
        <v>1.0164772178019232</v>
      </c>
      <c r="M95" s="1">
        <v>1.0219828310754935</v>
      </c>
      <c r="N95" s="1">
        <v>1.0164772178019232</v>
      </c>
      <c r="O95" s="1">
        <v>0.99391559790250894</v>
      </c>
      <c r="P95" s="1">
        <v>1.0108575295277171</v>
      </c>
      <c r="Q95" s="1">
        <v>0.99349346264380267</v>
      </c>
      <c r="S95" s="1">
        <f t="shared" si="150"/>
        <v>100</v>
      </c>
      <c r="T95" s="1">
        <f t="shared" si="152"/>
        <v>100.51221440957947</v>
      </c>
      <c r="U95" s="1">
        <f t="shared" si="153"/>
        <v>100.88472659111723</v>
      </c>
      <c r="V95" s="1">
        <f t="shared" si="154"/>
        <v>101.41779612656669</v>
      </c>
      <c r="W95" s="1">
        <f t="shared" si="155"/>
        <v>101.94169681347933</v>
      </c>
      <c r="X95" s="1">
        <f t="shared" si="156"/>
        <v>102.45040333404621</v>
      </c>
      <c r="Y95" s="1">
        <f t="shared" si="157"/>
        <v>103.99765677879607</v>
      </c>
      <c r="Z95" s="1">
        <f t="shared" si="158"/>
        <v>106.56588687874877</v>
      </c>
      <c r="AA95" s="1">
        <f t="shared" si="159"/>
        <v>107.6262700792858</v>
      </c>
      <c r="AB95" s="1">
        <f t="shared" si="160"/>
        <v>109.39965157259081</v>
      </c>
      <c r="AC95" s="1">
        <f t="shared" si="161"/>
        <v>111.80456563282893</v>
      </c>
      <c r="AD95" s="1">
        <f t="shared" si="162"/>
        <v>113.64679381201047</v>
      </c>
      <c r="AE95" s="1">
        <f t="shared" si="163"/>
        <v>105.02063850242079</v>
      </c>
      <c r="AF95" s="1">
        <f t="shared" si="164"/>
        <v>0.95219379186782349</v>
      </c>
      <c r="AH95" s="1" t="str">
        <f t="shared" si="165"/>
        <v>C2011.34210</v>
      </c>
      <c r="AI95" s="1">
        <f t="shared" si="188"/>
        <v>95.219379186782348</v>
      </c>
      <c r="AJ95" s="1">
        <f t="shared" si="189"/>
        <v>95.707106567689166</v>
      </c>
      <c r="AK95" s="1">
        <f t="shared" si="190"/>
        <v>96.061810354344559</v>
      </c>
      <c r="AL95" s="1">
        <f t="shared" si="191"/>
        <v>96.569395856633392</v>
      </c>
      <c r="AM95" s="1">
        <f t="shared" si="192"/>
        <v>97.068250838266891</v>
      </c>
      <c r="AN95" s="1">
        <f t="shared" si="193"/>
        <v>97.552638029033375</v>
      </c>
      <c r="AO95" s="1">
        <f t="shared" si="194"/>
        <v>99.02592315357029</v>
      </c>
      <c r="AP95" s="1">
        <f t="shared" si="195"/>
        <v>101.47137591083333</v>
      </c>
      <c r="AQ95" s="1">
        <f t="shared" si="196"/>
        <v>102.48106621138562</v>
      </c>
      <c r="AR95" s="1">
        <f t="shared" si="197"/>
        <v>104.16966905992395</v>
      </c>
      <c r="AS95" s="1">
        <f t="shared" si="198"/>
        <v>106.45961329805831</v>
      </c>
      <c r="AT95" s="1">
        <f t="shared" si="199"/>
        <v>108.21377153347895</v>
      </c>
      <c r="AU95" s="1">
        <f t="shared" ref="AU95:AW95" si="204">AT95*O95</f>
        <v>107.55535543498323</v>
      </c>
      <c r="AV95" s="1">
        <f t="shared" si="204"/>
        <v>108.72314088248267</v>
      </c>
      <c r="AW95" s="1">
        <f t="shared" si="204"/>
        <v>108.01572970484769</v>
      </c>
      <c r="AX95" s="1" t="b">
        <f t="shared" si="141"/>
        <v>1</v>
      </c>
      <c r="AY95" s="1" t="s">
        <v>103</v>
      </c>
      <c r="AZ95" s="1">
        <v>4</v>
      </c>
      <c r="BA95" s="1" t="s">
        <v>340</v>
      </c>
      <c r="BB95" s="1" t="s">
        <v>341</v>
      </c>
      <c r="BC95" s="1">
        <v>1.3705841703750997E-3</v>
      </c>
    </row>
    <row r="96" spans="1:55" x14ac:dyDescent="0.35">
      <c r="A96" s="1" t="s">
        <v>104</v>
      </c>
      <c r="B96" s="1">
        <v>0.99579485881844076</v>
      </c>
      <c r="C96" s="1">
        <v>1</v>
      </c>
      <c r="D96" s="1">
        <v>1.0041175830921931</v>
      </c>
      <c r="E96" s="1">
        <v>0.99932507341726318</v>
      </c>
      <c r="F96" s="1">
        <v>0.9994999626051676</v>
      </c>
      <c r="G96" s="1">
        <v>1.0002954934827906</v>
      </c>
      <c r="H96" s="1">
        <v>0.99977009588567212</v>
      </c>
      <c r="I96" s="1">
        <v>1</v>
      </c>
      <c r="J96" s="1">
        <v>0.99781028314304543</v>
      </c>
      <c r="K96" s="1">
        <v>0.99531364557468072</v>
      </c>
      <c r="L96" s="1">
        <v>1.0005137752453215</v>
      </c>
      <c r="M96" s="1">
        <v>0.99997693149064848</v>
      </c>
      <c r="N96" s="1">
        <v>0.9979473146376856</v>
      </c>
      <c r="O96" s="1">
        <v>1.0070103870670297</v>
      </c>
      <c r="P96" s="1">
        <v>1.0008359591461728</v>
      </c>
      <c r="Q96" s="1">
        <v>1.0023757263371051</v>
      </c>
      <c r="S96" s="1">
        <f t="shared" si="150"/>
        <v>100</v>
      </c>
      <c r="T96" s="1">
        <f t="shared" si="152"/>
        <v>100.41175830921931</v>
      </c>
      <c r="U96" s="1">
        <f t="shared" si="153"/>
        <v>100.34398774431708</v>
      </c>
      <c r="V96" s="1">
        <f t="shared" si="154"/>
        <v>100.29381199809832</v>
      </c>
      <c r="W96" s="1">
        <f t="shared" si="155"/>
        <v>100.32344816590798</v>
      </c>
      <c r="X96" s="1">
        <f t="shared" si="156"/>
        <v>100.30038339241108</v>
      </c>
      <c r="Y96" s="1">
        <f t="shared" si="157"/>
        <v>100.30038339241108</v>
      </c>
      <c r="Z96" s="1">
        <f t="shared" si="158"/>
        <v>100.08075395213771</v>
      </c>
      <c r="AA96" s="1">
        <f t="shared" si="159"/>
        <v>99.611740067964817</v>
      </c>
      <c r="AB96" s="1">
        <f t="shared" si="160"/>
        <v>99.662918114155133</v>
      </c>
      <c r="AC96" s="1">
        <f t="shared" si="161"/>
        <v>99.660619039196618</v>
      </c>
      <c r="AD96" s="1">
        <f t="shared" si="162"/>
        <v>99.45604714529567</v>
      </c>
      <c r="AE96" s="1">
        <f t="shared" si="163"/>
        <v>100.03715427675957</v>
      </c>
      <c r="AF96" s="1">
        <f t="shared" si="164"/>
        <v>0.99962859522516223</v>
      </c>
      <c r="AH96" s="1" t="str">
        <f t="shared" si="165"/>
        <v>C2011.34240</v>
      </c>
      <c r="AI96" s="1">
        <f t="shared" si="188"/>
        <v>99.962859522516226</v>
      </c>
      <c r="AJ96" s="1">
        <f t="shared" si="189"/>
        <v>100.37446490273341</v>
      </c>
      <c r="AK96" s="1">
        <f t="shared" si="190"/>
        <v>100.30671950814258</v>
      </c>
      <c r="AL96" s="1">
        <f t="shared" si="191"/>
        <v>100.25656239743554</v>
      </c>
      <c r="AM96" s="1">
        <f t="shared" si="192"/>
        <v>100.28618755823096</v>
      </c>
      <c r="AN96" s="1">
        <f t="shared" si="193"/>
        <v>100.26313135110108</v>
      </c>
      <c r="AO96" s="1">
        <f t="shared" si="194"/>
        <v>100.26313135110108</v>
      </c>
      <c r="AP96" s="1">
        <f t="shared" si="195"/>
        <v>100.04358348225053</v>
      </c>
      <c r="AQ96" s="1">
        <f t="shared" si="196"/>
        <v>99.574743792073676</v>
      </c>
      <c r="AR96" s="1">
        <f t="shared" si="197"/>
        <v>99.625902830493274</v>
      </c>
      <c r="AS96" s="1">
        <f t="shared" si="198"/>
        <v>99.623604609422173</v>
      </c>
      <c r="AT96" s="1">
        <f t="shared" si="199"/>
        <v>99.419108694499414</v>
      </c>
      <c r="AU96" s="1">
        <f t="shared" ref="AU96:AW96" si="205">AT96*O96</f>
        <v>100.11607512830696</v>
      </c>
      <c r="AV96" s="1">
        <f t="shared" si="205"/>
        <v>100.1997680769894</v>
      </c>
      <c r="AW96" s="1">
        <f t="shared" si="205"/>
        <v>100.43781530498173</v>
      </c>
      <c r="AX96" s="1" t="b">
        <f t="shared" si="141"/>
        <v>1</v>
      </c>
      <c r="AY96" s="1" t="s">
        <v>104</v>
      </c>
      <c r="AZ96" s="1">
        <v>4</v>
      </c>
      <c r="BA96" s="1" t="s">
        <v>342</v>
      </c>
      <c r="BB96" s="1" t="s">
        <v>343</v>
      </c>
      <c r="BC96" s="1">
        <v>1.3705841703750997E-3</v>
      </c>
    </row>
    <row r="97" spans="1:55" x14ac:dyDescent="0.35">
      <c r="A97" s="1" t="s">
        <v>105</v>
      </c>
      <c r="B97" s="1">
        <v>1</v>
      </c>
      <c r="C97" s="1">
        <v>1</v>
      </c>
      <c r="D97" s="1">
        <v>0.99969021096659427</v>
      </c>
      <c r="E97" s="1">
        <v>0.98834183956301602</v>
      </c>
      <c r="F97" s="1">
        <v>0.98549071769615992</v>
      </c>
      <c r="G97" s="1">
        <v>1.0029149573718421</v>
      </c>
      <c r="H97" s="1">
        <v>1.013978852553568</v>
      </c>
      <c r="I97" s="1">
        <v>1.012826927800599</v>
      </c>
      <c r="J97" s="1">
        <v>0.99455306340004135</v>
      </c>
      <c r="K97" s="1">
        <v>1</v>
      </c>
      <c r="L97" s="1">
        <v>0.98628989918248522</v>
      </c>
      <c r="M97" s="1">
        <v>0.99993614518732954</v>
      </c>
      <c r="N97" s="1">
        <v>0.99977948716253773</v>
      </c>
      <c r="O97" s="1">
        <v>0.99337748597156617</v>
      </c>
      <c r="P97" s="1">
        <v>0.98169113835379718</v>
      </c>
      <c r="Q97" s="1">
        <v>1.0136863980248181</v>
      </c>
      <c r="S97" s="1">
        <f t="shared" si="150"/>
        <v>100</v>
      </c>
      <c r="T97" s="1">
        <f t="shared" si="152"/>
        <v>99.969021096659432</v>
      </c>
      <c r="U97" s="1">
        <f t="shared" si="153"/>
        <v>98.803566209986343</v>
      </c>
      <c r="V97" s="1">
        <f t="shared" si="154"/>
        <v>97.369997375219498</v>
      </c>
      <c r="W97" s="1">
        <f t="shared" si="155"/>
        <v>97.65382676686464</v>
      </c>
      <c r="X97" s="1">
        <f t="shared" si="156"/>
        <v>99.018915212530317</v>
      </c>
      <c r="Y97" s="1">
        <f t="shared" si="157"/>
        <v>100.28902368885508</v>
      </c>
      <c r="Z97" s="1">
        <f t="shared" si="158"/>
        <v>99.742755735150141</v>
      </c>
      <c r="AA97" s="1">
        <f t="shared" si="159"/>
        <v>99.742755735150141</v>
      </c>
      <c r="AB97" s="1">
        <f t="shared" si="160"/>
        <v>98.375272498204481</v>
      </c>
      <c r="AC97" s="1">
        <f t="shared" si="161"/>
        <v>98.368990763607698</v>
      </c>
      <c r="AD97" s="1">
        <f t="shared" si="162"/>
        <v>98.347299138336112</v>
      </c>
      <c r="AE97" s="1">
        <f t="shared" si="163"/>
        <v>98.973452018380328</v>
      </c>
      <c r="AF97" s="1">
        <f t="shared" si="164"/>
        <v>1.0103719528892356</v>
      </c>
      <c r="AH97" s="1" t="str">
        <f t="shared" si="165"/>
        <v>C2011.34310</v>
      </c>
      <c r="AI97" s="1">
        <f t="shared" si="188"/>
        <v>101.03719528892357</v>
      </c>
      <c r="AJ97" s="1">
        <f t="shared" si="189"/>
        <v>101.00589507385699</v>
      </c>
      <c r="AK97" s="1">
        <f t="shared" si="190"/>
        <v>99.828352144004796</v>
      </c>
      <c r="AL97" s="1">
        <f t="shared" si="191"/>
        <v>98.379914400820269</v>
      </c>
      <c r="AM97" s="1">
        <f t="shared" si="192"/>
        <v>98.666687657544145</v>
      </c>
      <c r="AN97" s="1">
        <f t="shared" si="193"/>
        <v>100.04593473625791</v>
      </c>
      <c r="AO97" s="1">
        <f t="shared" si="194"/>
        <v>101.32921671786332</v>
      </c>
      <c r="AP97" s="1">
        <f t="shared" si="195"/>
        <v>100.77728289867765</v>
      </c>
      <c r="AQ97" s="1">
        <f t="shared" si="196"/>
        <v>100.77728289867765</v>
      </c>
      <c r="AR97" s="1">
        <f t="shared" si="197"/>
        <v>99.39561619002157</v>
      </c>
      <c r="AS97" s="1">
        <f t="shared" si="198"/>
        <v>99.389269301569499</v>
      </c>
      <c r="AT97" s="1">
        <f t="shared" si="199"/>
        <v>99.3673526917825</v>
      </c>
      <c r="AU97" s="1">
        <f t="shared" ref="AU97:AW97" si="206">AT97*O97</f>
        <v>98.709291004612837</v>
      </c>
      <c r="AV97" s="1">
        <f t="shared" si="206"/>
        <v>96.902036252414604</v>
      </c>
      <c r="AW97" s="1">
        <f t="shared" si="206"/>
        <v>98.228276089980497</v>
      </c>
      <c r="AX97" s="1" t="b">
        <f t="shared" si="141"/>
        <v>1</v>
      </c>
      <c r="AY97" s="1" t="s">
        <v>105</v>
      </c>
      <c r="AZ97" s="1">
        <v>4</v>
      </c>
      <c r="BA97" s="1" t="s">
        <v>344</v>
      </c>
      <c r="BB97" s="1" t="s">
        <v>345</v>
      </c>
      <c r="BC97" s="1">
        <v>1.3705841703750997E-3</v>
      </c>
    </row>
    <row r="98" spans="1:55" x14ac:dyDescent="0.35">
      <c r="A98" s="1" t="s">
        <v>106</v>
      </c>
      <c r="B98" s="1">
        <v>0.92297297909384135</v>
      </c>
      <c r="C98" s="1">
        <v>1</v>
      </c>
      <c r="D98" s="1">
        <v>0.99924670422454454</v>
      </c>
      <c r="E98" s="1">
        <v>0.99033793766028722</v>
      </c>
      <c r="F98" s="1">
        <v>1.0005765350723981</v>
      </c>
      <c r="G98" s="1">
        <v>1</v>
      </c>
      <c r="H98" s="1">
        <v>1.0523661100505881</v>
      </c>
      <c r="I98" s="1">
        <v>0.99872040894484915</v>
      </c>
      <c r="J98" s="1">
        <v>1</v>
      </c>
      <c r="K98" s="1">
        <v>0.99903799881532185</v>
      </c>
      <c r="L98" s="1">
        <v>1</v>
      </c>
      <c r="M98" s="1">
        <v>1</v>
      </c>
      <c r="N98" s="1">
        <v>1</v>
      </c>
      <c r="O98" s="1">
        <v>1.0084675516451129</v>
      </c>
      <c r="P98" s="1">
        <v>1</v>
      </c>
      <c r="Q98" s="1">
        <v>1.054341588356299</v>
      </c>
      <c r="S98" s="1">
        <f t="shared" si="150"/>
        <v>100</v>
      </c>
      <c r="T98" s="1">
        <f t="shared" si="152"/>
        <v>99.924670422454454</v>
      </c>
      <c r="U98" s="1">
        <f t="shared" si="153"/>
        <v>98.959192027557449</v>
      </c>
      <c r="V98" s="1">
        <f t="shared" si="154"/>
        <v>99.016245472497516</v>
      </c>
      <c r="W98" s="1">
        <f t="shared" si="155"/>
        <v>99.016245472497516</v>
      </c>
      <c r="X98" s="1">
        <f t="shared" si="156"/>
        <v>104.20134107970637</v>
      </c>
      <c r="Y98" s="1">
        <f t="shared" si="157"/>
        <v>104.06800597572605</v>
      </c>
      <c r="Z98" s="1">
        <f t="shared" si="158"/>
        <v>104.06800597572605</v>
      </c>
      <c r="AA98" s="1">
        <f t="shared" si="159"/>
        <v>103.96789243069031</v>
      </c>
      <c r="AB98" s="1">
        <f t="shared" si="160"/>
        <v>103.96789243069031</v>
      </c>
      <c r="AC98" s="1">
        <f t="shared" si="161"/>
        <v>103.96789243069031</v>
      </c>
      <c r="AD98" s="1">
        <f t="shared" si="162"/>
        <v>103.96789243069031</v>
      </c>
      <c r="AE98" s="1">
        <f t="shared" si="163"/>
        <v>102.09377301241057</v>
      </c>
      <c r="AF98" s="1">
        <f t="shared" si="164"/>
        <v>0.97949166780077723</v>
      </c>
      <c r="AH98" s="1" t="str">
        <f t="shared" si="165"/>
        <v>C2011.34340</v>
      </c>
      <c r="AI98" s="1">
        <f t="shared" si="188"/>
        <v>97.949166780077718</v>
      </c>
      <c r="AJ98" s="1">
        <f t="shared" si="189"/>
        <v>97.875382086532909</v>
      </c>
      <c r="AK98" s="1">
        <f t="shared" si="190"/>
        <v>96.929704043289618</v>
      </c>
      <c r="AL98" s="1">
        <f t="shared" si="191"/>
        <v>96.985587417227748</v>
      </c>
      <c r="AM98" s="1">
        <f t="shared" si="192"/>
        <v>96.985587417227748</v>
      </c>
      <c r="AN98" s="1">
        <f t="shared" si="193"/>
        <v>102.06434536123923</v>
      </c>
      <c r="AO98" s="1">
        <f t="shared" si="194"/>
        <v>101.93374473786517</v>
      </c>
      <c r="AP98" s="1">
        <f t="shared" si="195"/>
        <v>101.93374473786517</v>
      </c>
      <c r="AQ98" s="1">
        <f t="shared" si="196"/>
        <v>101.83568435466866</v>
      </c>
      <c r="AR98" s="1">
        <f t="shared" si="197"/>
        <v>101.83568435466866</v>
      </c>
      <c r="AS98" s="1">
        <f t="shared" si="198"/>
        <v>101.83568435466866</v>
      </c>
      <c r="AT98" s="1">
        <f t="shared" si="199"/>
        <v>101.83568435466866</v>
      </c>
      <c r="AU98" s="1">
        <f t="shared" ref="AU98:AW98" si="207">AT98*O98</f>
        <v>102.69798327125723</v>
      </c>
      <c r="AV98" s="1">
        <f t="shared" si="207"/>
        <v>102.69798327125723</v>
      </c>
      <c r="AW98" s="1">
        <f t="shared" si="207"/>
        <v>108.27875480320597</v>
      </c>
      <c r="AX98" s="1" t="b">
        <f t="shared" si="141"/>
        <v>1</v>
      </c>
      <c r="AY98" s="1" t="s">
        <v>106</v>
      </c>
      <c r="AZ98" s="1">
        <v>4</v>
      </c>
      <c r="BA98" s="1" t="s">
        <v>346</v>
      </c>
      <c r="BB98" s="1" t="s">
        <v>347</v>
      </c>
      <c r="BC98" s="1">
        <v>1.3705841703750997E-3</v>
      </c>
    </row>
    <row r="99" spans="1:55" x14ac:dyDescent="0.35">
      <c r="A99" s="1" t="s">
        <v>107</v>
      </c>
      <c r="B99" s="1">
        <v>1</v>
      </c>
      <c r="C99" s="1">
        <v>1</v>
      </c>
      <c r="D99" s="1">
        <v>0.9999999329983138</v>
      </c>
      <c r="E99" s="1">
        <v>0.99966477768234652</v>
      </c>
      <c r="F99" s="1">
        <v>0.99999999999999956</v>
      </c>
      <c r="G99" s="1">
        <v>1</v>
      </c>
      <c r="H99" s="1">
        <v>1.01487914464701</v>
      </c>
      <c r="I99" s="1">
        <v>1.0026940525628769</v>
      </c>
      <c r="J99" s="1">
        <v>1.0058020687178311</v>
      </c>
      <c r="K99" s="1">
        <v>1</v>
      </c>
      <c r="L99" s="1">
        <v>1</v>
      </c>
      <c r="M99" s="1">
        <v>1</v>
      </c>
      <c r="N99" s="1">
        <v>1.003020649442488</v>
      </c>
      <c r="O99" s="1">
        <v>0.9973927889547477</v>
      </c>
      <c r="P99" s="1">
        <v>1.017523122730569</v>
      </c>
      <c r="Q99" s="1">
        <v>1.006295638536796</v>
      </c>
      <c r="S99" s="1">
        <f t="shared" si="150"/>
        <v>100</v>
      </c>
      <c r="T99" s="1">
        <f t="shared" si="152"/>
        <v>99.999993299831374</v>
      </c>
      <c r="U99" s="1">
        <f t="shared" si="153"/>
        <v>99.966471070312068</v>
      </c>
      <c r="V99" s="1">
        <f t="shared" si="154"/>
        <v>99.966471070312025</v>
      </c>
      <c r="W99" s="1">
        <f t="shared" si="155"/>
        <v>99.966471070312025</v>
      </c>
      <c r="X99" s="1">
        <f t="shared" si="156"/>
        <v>101.45388665321833</v>
      </c>
      <c r="Y99" s="1">
        <f t="shared" si="157"/>
        <v>101.72720875657026</v>
      </c>
      <c r="Z99" s="1">
        <f t="shared" si="158"/>
        <v>102.31743701224903</v>
      </c>
      <c r="AA99" s="1">
        <f t="shared" si="159"/>
        <v>102.31743701224903</v>
      </c>
      <c r="AB99" s="1">
        <f t="shared" si="160"/>
        <v>102.31743701224903</v>
      </c>
      <c r="AC99" s="1">
        <f t="shared" si="161"/>
        <v>102.31743701224903</v>
      </c>
      <c r="AD99" s="1">
        <f t="shared" si="162"/>
        <v>102.62650212131689</v>
      </c>
      <c r="AE99" s="1">
        <f t="shared" si="163"/>
        <v>101.24806267423908</v>
      </c>
      <c r="AF99" s="1">
        <f t="shared" si="164"/>
        <v>0.98767321920761419</v>
      </c>
      <c r="AH99" s="1" t="str">
        <f t="shared" si="165"/>
        <v>C2012.34641</v>
      </c>
      <c r="AI99" s="1">
        <f t="shared" si="188"/>
        <v>98.767321920761418</v>
      </c>
      <c r="AJ99" s="1">
        <f t="shared" si="189"/>
        <v>98.767315303184304</v>
      </c>
      <c r="AK99" s="1">
        <f t="shared" si="190"/>
        <v>98.73420629483995</v>
      </c>
      <c r="AL99" s="1">
        <f t="shared" si="191"/>
        <v>98.734206294839908</v>
      </c>
      <c r="AM99" s="1">
        <f t="shared" si="192"/>
        <v>98.734206294839908</v>
      </c>
      <c r="AN99" s="1">
        <f t="shared" si="193"/>
        <v>100.20328683190856</v>
      </c>
      <c r="AO99" s="1">
        <f t="shared" si="194"/>
        <v>100.47323975360675</v>
      </c>
      <c r="AP99" s="1">
        <f t="shared" si="195"/>
        <v>101.05619239496029</v>
      </c>
      <c r="AQ99" s="1">
        <f t="shared" si="196"/>
        <v>101.05619239496029</v>
      </c>
      <c r="AR99" s="1">
        <f t="shared" si="197"/>
        <v>101.05619239496029</v>
      </c>
      <c r="AS99" s="1">
        <f t="shared" si="198"/>
        <v>101.05619239496029</v>
      </c>
      <c r="AT99" s="1">
        <f t="shared" si="199"/>
        <v>101.3614477261781</v>
      </c>
      <c r="AU99" s="1">
        <f t="shared" ref="AU99:AW99" si="208">AT99*O99</f>
        <v>101.09717704010365</v>
      </c>
      <c r="AV99" s="1">
        <f t="shared" si="208"/>
        <v>102.86871528109144</v>
      </c>
      <c r="AW99" s="1">
        <f t="shared" si="208"/>
        <v>103.51633952924578</v>
      </c>
      <c r="AX99" s="1" t="b">
        <f t="shared" si="141"/>
        <v>1</v>
      </c>
      <c r="AY99" s="1" t="s">
        <v>107</v>
      </c>
      <c r="AZ99" s="1">
        <v>4</v>
      </c>
      <c r="BA99" s="1" t="s">
        <v>348</v>
      </c>
      <c r="BB99" s="1" t="s">
        <v>349</v>
      </c>
      <c r="BC99" s="1">
        <v>1.0587367434650413E-2</v>
      </c>
    </row>
    <row r="100" spans="1:55" x14ac:dyDescent="0.35">
      <c r="A100" s="1" t="s">
        <v>108</v>
      </c>
      <c r="B100" s="1">
        <v>1.0263019463440299</v>
      </c>
      <c r="C100" s="1">
        <v>1</v>
      </c>
      <c r="D100" s="1">
        <v>1</v>
      </c>
      <c r="E100" s="1">
        <v>0.9974372116863145</v>
      </c>
      <c r="F100" s="1">
        <v>1</v>
      </c>
      <c r="G100" s="1">
        <v>1</v>
      </c>
      <c r="H100" s="1">
        <v>1.079136690647482</v>
      </c>
      <c r="I100" s="1">
        <v>0.96666666666666667</v>
      </c>
      <c r="J100" s="1">
        <v>1.004910344827586</v>
      </c>
      <c r="K100" s="1">
        <v>1</v>
      </c>
      <c r="L100" s="1">
        <v>1</v>
      </c>
      <c r="M100" s="1">
        <v>1</v>
      </c>
      <c r="N100" s="1">
        <v>1.049028220050511</v>
      </c>
      <c r="O100" s="1">
        <v>1.000007327157586</v>
      </c>
      <c r="P100" s="1">
        <v>1</v>
      </c>
      <c r="Q100" s="1">
        <v>1</v>
      </c>
      <c r="S100" s="1">
        <f t="shared" si="150"/>
        <v>100</v>
      </c>
      <c r="T100" s="1">
        <f t="shared" si="152"/>
        <v>100</v>
      </c>
      <c r="U100" s="1">
        <f t="shared" si="153"/>
        <v>99.743721168631453</v>
      </c>
      <c r="V100" s="1">
        <f t="shared" si="154"/>
        <v>99.743721168631453</v>
      </c>
      <c r="W100" s="1">
        <f t="shared" si="155"/>
        <v>99.743721168631453</v>
      </c>
      <c r="X100" s="1">
        <f t="shared" si="156"/>
        <v>107.63710917478214</v>
      </c>
      <c r="Y100" s="1">
        <f t="shared" si="157"/>
        <v>104.04920553562273</v>
      </c>
      <c r="Z100" s="1">
        <f t="shared" si="158"/>
        <v>104.56012301383902</v>
      </c>
      <c r="AA100" s="1">
        <f t="shared" si="159"/>
        <v>104.56012301383902</v>
      </c>
      <c r="AB100" s="1">
        <f t="shared" si="160"/>
        <v>104.56012301383902</v>
      </c>
      <c r="AC100" s="1">
        <f t="shared" si="161"/>
        <v>104.56012301383902</v>
      </c>
      <c r="AD100" s="1">
        <f t="shared" si="162"/>
        <v>109.68651973347002</v>
      </c>
      <c r="AE100" s="1">
        <f t="shared" si="163"/>
        <v>103.23704083376045</v>
      </c>
      <c r="AF100" s="1">
        <f t="shared" si="164"/>
        <v>0.96864457942984861</v>
      </c>
      <c r="AH100" s="1" t="str">
        <f t="shared" si="165"/>
        <v>C2012.34644</v>
      </c>
      <c r="AI100" s="1">
        <f t="shared" si="188"/>
        <v>96.864457942984856</v>
      </c>
      <c r="AJ100" s="1">
        <f t="shared" si="189"/>
        <v>96.864457942984856</v>
      </c>
      <c r="AK100" s="1">
        <f t="shared" si="190"/>
        <v>96.616214842157106</v>
      </c>
      <c r="AL100" s="1">
        <f t="shared" si="191"/>
        <v>96.616214842157106</v>
      </c>
      <c r="AM100" s="1">
        <f t="shared" si="192"/>
        <v>96.616214842157106</v>
      </c>
      <c r="AN100" s="1">
        <f t="shared" si="193"/>
        <v>104.26210234765155</v>
      </c>
      <c r="AO100" s="1">
        <f t="shared" si="194"/>
        <v>100.78669893606316</v>
      </c>
      <c r="AP100" s="1">
        <f t="shared" si="195"/>
        <v>101.28159638187333</v>
      </c>
      <c r="AQ100" s="1">
        <f t="shared" si="196"/>
        <v>101.28159638187333</v>
      </c>
      <c r="AR100" s="1">
        <f t="shared" si="197"/>
        <v>101.28159638187333</v>
      </c>
      <c r="AS100" s="1">
        <f t="shared" si="198"/>
        <v>101.28159638187333</v>
      </c>
      <c r="AT100" s="1">
        <f t="shared" si="199"/>
        <v>106.24725277635086</v>
      </c>
      <c r="AU100" s="1">
        <f t="shared" ref="AU100:AW100" si="209">AT100*O100</f>
        <v>106.24803126671503</v>
      </c>
      <c r="AV100" s="1">
        <f t="shared" si="209"/>
        <v>106.24803126671503</v>
      </c>
      <c r="AW100" s="1">
        <f t="shared" si="209"/>
        <v>106.24803126671503</v>
      </c>
      <c r="AX100" s="1" t="b">
        <f t="shared" si="141"/>
        <v>1</v>
      </c>
      <c r="AY100" s="1" t="s">
        <v>108</v>
      </c>
      <c r="AZ100" s="1">
        <v>4</v>
      </c>
      <c r="BA100" s="1">
        <v>34644</v>
      </c>
      <c r="BB100" s="1" t="s">
        <v>350</v>
      </c>
      <c r="BC100" s="1">
        <v>5.2936837173252066E-3</v>
      </c>
    </row>
    <row r="101" spans="1:55" x14ac:dyDescent="0.35">
      <c r="A101" s="1" t="s">
        <v>109</v>
      </c>
      <c r="B101" s="1">
        <v>1.0180280060026985</v>
      </c>
      <c r="C101" s="1">
        <v>1</v>
      </c>
      <c r="D101" s="1">
        <v>1</v>
      </c>
      <c r="E101" s="1">
        <v>0.9942528766993548</v>
      </c>
      <c r="F101" s="1">
        <v>0.97609149429124531</v>
      </c>
      <c r="G101" s="1">
        <v>1</v>
      </c>
      <c r="H101" s="1">
        <v>1.0224127518924404</v>
      </c>
      <c r="I101" s="1">
        <v>0.99259531996148209</v>
      </c>
      <c r="J101" s="1">
        <v>0.99033288612442494</v>
      </c>
      <c r="K101" s="1">
        <v>0.99999683231258374</v>
      </c>
      <c r="L101" s="1">
        <v>1.0153888189374367</v>
      </c>
      <c r="M101" s="1">
        <v>0.99794867075432681</v>
      </c>
      <c r="N101" s="1">
        <v>1.0233413405692771</v>
      </c>
      <c r="O101" s="1">
        <v>1.0169770945107726</v>
      </c>
      <c r="P101" s="1">
        <v>1.0039606202110076</v>
      </c>
      <c r="Q101" s="1">
        <v>1.0230414217145636</v>
      </c>
      <c r="S101" s="1">
        <f t="shared" si="150"/>
        <v>100</v>
      </c>
      <c r="T101" s="1">
        <f t="shared" si="152"/>
        <v>100</v>
      </c>
      <c r="U101" s="1">
        <f t="shared" si="153"/>
        <v>99.425287669935486</v>
      </c>
      <c r="V101" s="1">
        <f t="shared" si="154"/>
        <v>97.04817761208426</v>
      </c>
      <c r="W101" s="1">
        <f t="shared" si="155"/>
        <v>97.04817761208426</v>
      </c>
      <c r="X101" s="1">
        <f t="shared" si="156"/>
        <v>99.223294338517391</v>
      </c>
      <c r="Y101" s="1">
        <f t="shared" si="157"/>
        <v>98.488577591572991</v>
      </c>
      <c r="Z101" s="1">
        <f t="shared" si="158"/>
        <v>97.536477296551851</v>
      </c>
      <c r="AA101" s="1">
        <f t="shared" si="159"/>
        <v>97.536168331480098</v>
      </c>
      <c r="AB101" s="1">
        <f t="shared" si="160"/>
        <v>99.0371347657846</v>
      </c>
      <c r="AC101" s="1">
        <f t="shared" si="161"/>
        <v>98.833976994831872</v>
      </c>
      <c r="AD101" s="1">
        <f t="shared" si="162"/>
        <v>101.14089451168434</v>
      </c>
      <c r="AE101" s="1">
        <f t="shared" si="163"/>
        <v>98.7765138937106</v>
      </c>
      <c r="AF101" s="1">
        <f t="shared" si="164"/>
        <v>1.012386407031999</v>
      </c>
      <c r="AH101" s="1" t="str">
        <f t="shared" si="165"/>
        <v>C2012.34649</v>
      </c>
      <c r="AI101" s="1">
        <f t="shared" si="188"/>
        <v>101.23864070319991</v>
      </c>
      <c r="AJ101" s="1">
        <f t="shared" si="189"/>
        <v>101.23864070319991</v>
      </c>
      <c r="AK101" s="1">
        <f t="shared" si="190"/>
        <v>100.65680975228889</v>
      </c>
      <c r="AL101" s="1">
        <f t="shared" si="191"/>
        <v>98.250255841701275</v>
      </c>
      <c r="AM101" s="1">
        <f t="shared" si="192"/>
        <v>98.250255841701275</v>
      </c>
      <c r="AN101" s="1">
        <f t="shared" si="193"/>
        <v>100.45231444925011</v>
      </c>
      <c r="AO101" s="1">
        <f t="shared" si="194"/>
        <v>99.708497201624823</v>
      </c>
      <c r="AP101" s="1">
        <f t="shared" si="195"/>
        <v>98.744603804814275</v>
      </c>
      <c r="AQ101" s="1">
        <f t="shared" si="196"/>
        <v>98.744291012775378</v>
      </c>
      <c r="AR101" s="1">
        <f t="shared" si="197"/>
        <v>100.26384902827655</v>
      </c>
      <c r="AS101" s="1">
        <f t="shared" si="198"/>
        <v>100.05817486248108</v>
      </c>
      <c r="AT101" s="1">
        <f t="shared" si="199"/>
        <v>102.39366679868654</v>
      </c>
      <c r="AU101" s="1">
        <f t="shared" ref="AU101:AW101" si="210">AT101*O101</f>
        <v>104.1320137572324</v>
      </c>
      <c r="AV101" s="1">
        <f t="shared" si="210"/>
        <v>104.54444111553222</v>
      </c>
      <c r="AW101" s="1">
        <f t="shared" si="210"/>
        <v>106.95329367118856</v>
      </c>
      <c r="AX101" s="1" t="b">
        <f t="shared" si="141"/>
        <v>1</v>
      </c>
      <c r="AY101" s="1" t="s">
        <v>109</v>
      </c>
      <c r="AZ101" s="1">
        <v>4</v>
      </c>
      <c r="BA101" s="1" t="s">
        <v>351</v>
      </c>
      <c r="BB101" s="1" t="s">
        <v>352</v>
      </c>
      <c r="BC101" s="1">
        <v>2.6468418586626033E-3</v>
      </c>
    </row>
    <row r="102" spans="1:55" x14ac:dyDescent="0.35">
      <c r="A102" s="1" t="s">
        <v>110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0.99999912046743689</v>
      </c>
      <c r="I102" s="1">
        <v>1</v>
      </c>
      <c r="J102" s="1">
        <v>1</v>
      </c>
      <c r="K102" s="1">
        <v>1.0000133880996021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1.0339446906388645</v>
      </c>
      <c r="S102" s="1">
        <f t="shared" si="150"/>
        <v>100</v>
      </c>
      <c r="T102" s="1">
        <f t="shared" si="152"/>
        <v>100</v>
      </c>
      <c r="U102" s="1">
        <f t="shared" si="153"/>
        <v>100</v>
      </c>
      <c r="V102" s="1">
        <f t="shared" si="154"/>
        <v>100</v>
      </c>
      <c r="W102" s="1">
        <f t="shared" si="155"/>
        <v>100</v>
      </c>
      <c r="X102" s="1">
        <f t="shared" si="156"/>
        <v>99.999912046743688</v>
      </c>
      <c r="Y102" s="1">
        <f t="shared" si="157"/>
        <v>99.999912046743688</v>
      </c>
      <c r="Z102" s="1">
        <f t="shared" si="158"/>
        <v>99.999912046743688</v>
      </c>
      <c r="AA102" s="1">
        <f t="shared" si="159"/>
        <v>100.00125085552637</v>
      </c>
      <c r="AB102" s="1">
        <f t="shared" si="160"/>
        <v>100.00125085552637</v>
      </c>
      <c r="AC102" s="1">
        <f t="shared" si="161"/>
        <v>100.00125085552637</v>
      </c>
      <c r="AD102" s="1">
        <f t="shared" si="162"/>
        <v>100.00125085552637</v>
      </c>
      <c r="AE102" s="1">
        <f t="shared" si="163"/>
        <v>100.00039496352805</v>
      </c>
      <c r="AF102" s="1">
        <f t="shared" si="164"/>
        <v>0.99999605038031902</v>
      </c>
      <c r="AH102" s="1" t="str">
        <f t="shared" si="165"/>
        <v>C2012.34659</v>
      </c>
      <c r="AI102" s="1">
        <f t="shared" si="188"/>
        <v>99.999605038031902</v>
      </c>
      <c r="AJ102" s="1">
        <f t="shared" si="189"/>
        <v>99.999605038031902</v>
      </c>
      <c r="AK102" s="1">
        <f t="shared" si="190"/>
        <v>99.999605038031902</v>
      </c>
      <c r="AL102" s="1">
        <f t="shared" si="191"/>
        <v>99.999605038031902</v>
      </c>
      <c r="AM102" s="1">
        <f t="shared" si="192"/>
        <v>99.999605038031902</v>
      </c>
      <c r="AN102" s="1">
        <f t="shared" si="193"/>
        <v>99.999517085122974</v>
      </c>
      <c r="AO102" s="1">
        <f t="shared" si="194"/>
        <v>99.999517085122974</v>
      </c>
      <c r="AP102" s="1">
        <f t="shared" si="195"/>
        <v>99.999517085122974</v>
      </c>
      <c r="AQ102" s="1">
        <f t="shared" si="196"/>
        <v>100.00085588861786</v>
      </c>
      <c r="AR102" s="1">
        <f t="shared" si="197"/>
        <v>100.00085588861786</v>
      </c>
      <c r="AS102" s="1">
        <f t="shared" si="198"/>
        <v>100.00085588861786</v>
      </c>
      <c r="AT102" s="1">
        <f t="shared" si="199"/>
        <v>100.00085588861786</v>
      </c>
      <c r="AU102" s="1">
        <f t="shared" ref="AU102:AW102" si="211">AT102*O102</f>
        <v>100.00085588861786</v>
      </c>
      <c r="AV102" s="1">
        <f t="shared" si="211"/>
        <v>100.00085588861786</v>
      </c>
      <c r="AW102" s="1">
        <f t="shared" si="211"/>
        <v>103.39535400537866</v>
      </c>
      <c r="AX102" s="1" t="b">
        <f t="shared" si="141"/>
        <v>1</v>
      </c>
      <c r="AY102" s="1" t="s">
        <v>110</v>
      </c>
      <c r="AZ102" s="1">
        <v>4</v>
      </c>
      <c r="BA102" s="1" t="s">
        <v>353</v>
      </c>
      <c r="BB102" s="1" t="s">
        <v>354</v>
      </c>
      <c r="BC102" s="1">
        <v>2.6468418586626033E-3</v>
      </c>
    </row>
    <row r="103" spans="1:55" x14ac:dyDescent="0.35">
      <c r="A103" s="1" t="s">
        <v>111</v>
      </c>
      <c r="B103" s="1">
        <v>0.99981841687121831</v>
      </c>
      <c r="C103" s="1">
        <v>1</v>
      </c>
      <c r="D103" s="1">
        <v>0.99975653550849386</v>
      </c>
      <c r="E103" s="1">
        <v>0.99975353274384959</v>
      </c>
      <c r="F103" s="1">
        <v>1</v>
      </c>
      <c r="G103" s="1">
        <v>0.99962453866084999</v>
      </c>
      <c r="H103" s="1">
        <v>0.99991068978562936</v>
      </c>
      <c r="I103" s="1">
        <v>1</v>
      </c>
      <c r="J103" s="1">
        <v>1</v>
      </c>
      <c r="K103" s="1">
        <v>0.99973094813551211</v>
      </c>
      <c r="L103" s="1">
        <v>1.0000604464497393</v>
      </c>
      <c r="M103" s="1">
        <v>0.99887614097345978</v>
      </c>
      <c r="N103" s="1">
        <v>0.99927642661165061</v>
      </c>
      <c r="O103" s="1">
        <v>0.99995988801432001</v>
      </c>
      <c r="P103" s="1">
        <v>1</v>
      </c>
      <c r="Q103" s="1">
        <v>0.99029329787718945</v>
      </c>
      <c r="S103" s="1">
        <f t="shared" si="150"/>
        <v>100</v>
      </c>
      <c r="T103" s="1">
        <f t="shared" si="152"/>
        <v>99.975653550849387</v>
      </c>
      <c r="U103" s="1">
        <f t="shared" si="153"/>
        <v>99.95101282583687</v>
      </c>
      <c r="V103" s="1">
        <f t="shared" si="154"/>
        <v>99.95101282583687</v>
      </c>
      <c r="W103" s="1">
        <f t="shared" si="155"/>
        <v>99.91348508471188</v>
      </c>
      <c r="X103" s="1">
        <f t="shared" si="156"/>
        <v>99.904561789940445</v>
      </c>
      <c r="Y103" s="1">
        <f t="shared" si="157"/>
        <v>99.904561789940445</v>
      </c>
      <c r="Z103" s="1">
        <f t="shared" si="158"/>
        <v>99.904561789940445</v>
      </c>
      <c r="AA103" s="1">
        <f t="shared" si="159"/>
        <v>99.87768228132002</v>
      </c>
      <c r="AB103" s="1">
        <f t="shared" si="160"/>
        <v>99.883719532622123</v>
      </c>
      <c r="AC103" s="1">
        <f t="shared" si="161"/>
        <v>99.771464312820981</v>
      </c>
      <c r="AD103" s="1">
        <f t="shared" si="162"/>
        <v>99.699272336327567</v>
      </c>
      <c r="AE103" s="1">
        <f t="shared" si="163"/>
        <v>99.894749010012262</v>
      </c>
      <c r="AF103" s="1">
        <f t="shared" si="164"/>
        <v>1.0010536188441415</v>
      </c>
      <c r="AH103" s="1" t="str">
        <f t="shared" si="165"/>
        <v>C2021.34661</v>
      </c>
      <c r="AI103" s="1">
        <f t="shared" si="188"/>
        <v>100.10536188441415</v>
      </c>
      <c r="AJ103" s="1">
        <f t="shared" si="189"/>
        <v>100.08098978338592</v>
      </c>
      <c r="AK103" s="1">
        <f t="shared" si="190"/>
        <v>100.05632309644119</v>
      </c>
      <c r="AL103" s="1">
        <f t="shared" si="191"/>
        <v>100.05632309644119</v>
      </c>
      <c r="AM103" s="1">
        <f t="shared" si="192"/>
        <v>100.01875581538098</v>
      </c>
      <c r="AN103" s="1">
        <f t="shared" si="193"/>
        <v>100.00982311885802</v>
      </c>
      <c r="AO103" s="1">
        <f t="shared" si="194"/>
        <v>100.00982311885802</v>
      </c>
      <c r="AP103" s="1">
        <f t="shared" si="195"/>
        <v>100.00982311885802</v>
      </c>
      <c r="AQ103" s="1">
        <f t="shared" si="196"/>
        <v>99.982915289480786</v>
      </c>
      <c r="AR103" s="1">
        <f t="shared" si="197"/>
        <v>99.988958901744638</v>
      </c>
      <c r="AS103" s="1">
        <f t="shared" si="198"/>
        <v>99.876585407728555</v>
      </c>
      <c r="AT103" s="1">
        <f t="shared" si="199"/>
        <v>99.80431736840832</v>
      </c>
      <c r="AU103" s="1">
        <f t="shared" ref="AU103:AW103" si="212">AT103*O103</f>
        <v>99.800314019059243</v>
      </c>
      <c r="AV103" s="1">
        <f t="shared" si="212"/>
        <v>99.800314019059243</v>
      </c>
      <c r="AW103" s="1">
        <f t="shared" si="212"/>
        <v>98.831582099113277</v>
      </c>
      <c r="AX103" s="1" t="b">
        <f t="shared" si="141"/>
        <v>1</v>
      </c>
      <c r="AY103" s="1" t="s">
        <v>111</v>
      </c>
      <c r="AZ103" s="1">
        <v>4</v>
      </c>
      <c r="BA103" s="1" t="s">
        <v>355</v>
      </c>
      <c r="BB103" s="1" t="s">
        <v>356</v>
      </c>
      <c r="BC103" s="1">
        <v>5.2936837173252066E-3</v>
      </c>
    </row>
    <row r="104" spans="1:55" x14ac:dyDescent="0.35">
      <c r="A104" s="1" t="s">
        <v>112</v>
      </c>
      <c r="B104" s="1">
        <v>0.99985451023078231</v>
      </c>
      <c r="C104" s="1">
        <v>1</v>
      </c>
      <c r="D104" s="1">
        <v>0.98498807314570325</v>
      </c>
      <c r="E104" s="1">
        <v>0.99980213934565765</v>
      </c>
      <c r="F104" s="1">
        <v>0.97793495311322531</v>
      </c>
      <c r="G104" s="1">
        <v>0.99969961276535302</v>
      </c>
      <c r="H104" s="1">
        <v>0.99992840014447537</v>
      </c>
      <c r="I104" s="1">
        <v>0.99929415957364054</v>
      </c>
      <c r="J104" s="1">
        <v>1.008936656448582</v>
      </c>
      <c r="K104" s="1">
        <v>0.99978493238202271</v>
      </c>
      <c r="L104" s="1">
        <v>1.000035970337817</v>
      </c>
      <c r="M104" s="1">
        <v>0.99989775864009711</v>
      </c>
      <c r="N104" s="1">
        <v>0.99955515996625743</v>
      </c>
      <c r="O104" s="1">
        <v>0.99997595551514429</v>
      </c>
      <c r="P104" s="1">
        <v>1.000551189500162</v>
      </c>
      <c r="Q104" s="1">
        <v>0.9803095413046401</v>
      </c>
      <c r="S104" s="1">
        <f t="shared" si="150"/>
        <v>100</v>
      </c>
      <c r="T104" s="1">
        <f t="shared" si="152"/>
        <v>98.498807314570328</v>
      </c>
      <c r="U104" s="1">
        <f t="shared" si="153"/>
        <v>98.479318276103129</v>
      </c>
      <c r="V104" s="1">
        <f t="shared" si="154"/>
        <v>96.306367500963304</v>
      </c>
      <c r="W104" s="1">
        <f t="shared" si="155"/>
        <v>96.277438297550788</v>
      </c>
      <c r="X104" s="1">
        <f t="shared" si="156"/>
        <v>96.270544846878408</v>
      </c>
      <c r="Y104" s="1">
        <f t="shared" si="157"/>
        <v>96.202593204457827</v>
      </c>
      <c r="Z104" s="1">
        <f t="shared" si="158"/>
        <v>97.062322729388754</v>
      </c>
      <c r="AA104" s="1">
        <f t="shared" si="159"/>
        <v>97.041447766844001</v>
      </c>
      <c r="AB104" s="1">
        <f t="shared" si="160"/>
        <v>97.04493838050243</v>
      </c>
      <c r="AC104" s="1">
        <f t="shared" si="161"/>
        <v>97.035016374030718</v>
      </c>
      <c r="AD104" s="1">
        <f t="shared" si="162"/>
        <v>96.99185131407269</v>
      </c>
      <c r="AE104" s="1">
        <f t="shared" si="163"/>
        <v>97.267553833780198</v>
      </c>
      <c r="AF104" s="1">
        <f t="shared" si="164"/>
        <v>1.0280920621370746</v>
      </c>
      <c r="AH104" s="1" t="str">
        <f t="shared" si="165"/>
        <v>C2021.34663</v>
      </c>
      <c r="AI104" s="1">
        <f t="shared" si="188"/>
        <v>102.80920621370745</v>
      </c>
      <c r="AJ104" s="1">
        <f t="shared" si="189"/>
        <v>101.26584193007898</v>
      </c>
      <c r="AK104" s="1">
        <f t="shared" si="190"/>
        <v>101.24580540433216</v>
      </c>
      <c r="AL104" s="1">
        <f t="shared" si="191"/>
        <v>99.011811960996312</v>
      </c>
      <c r="AM104" s="1">
        <f t="shared" si="192"/>
        <v>98.982070076603947</v>
      </c>
      <c r="AN104" s="1">
        <f t="shared" si="193"/>
        <v>98.974982974686938</v>
      </c>
      <c r="AO104" s="1">
        <f t="shared" si="194"/>
        <v>98.905122430505173</v>
      </c>
      <c r="AP104" s="1">
        <f t="shared" si="195"/>
        <v>99.789003530671536</v>
      </c>
      <c r="AQ104" s="1">
        <f t="shared" si="196"/>
        <v>99.76754214738186</v>
      </c>
      <c r="AR104" s="1">
        <f t="shared" si="197"/>
        <v>99.771130819576086</v>
      </c>
      <c r="AS104" s="1">
        <f t="shared" si="198"/>
        <v>99.760930083482037</v>
      </c>
      <c r="AT104" s="1">
        <f t="shared" si="199"/>
        <v>99.716552427977518</v>
      </c>
      <c r="AU104" s="1">
        <f t="shared" ref="AU104:AW104" si="213">AT104*O104</f>
        <v>99.714154794842798</v>
      </c>
      <c r="AV104" s="1">
        <f t="shared" si="213"/>
        <v>99.769116189983237</v>
      </c>
      <c r="AW104" s="1">
        <f t="shared" si="213"/>
        <v>97.804616528571813</v>
      </c>
      <c r="AX104" s="1" t="b">
        <f t="shared" si="141"/>
        <v>1</v>
      </c>
      <c r="AY104" s="1" t="s">
        <v>112</v>
      </c>
      <c r="AZ104" s="1">
        <v>4</v>
      </c>
      <c r="BA104" s="1" t="s">
        <v>357</v>
      </c>
      <c r="BB104" s="1" t="s">
        <v>358</v>
      </c>
      <c r="BC104" s="1">
        <v>5.2936837173252066E-3</v>
      </c>
    </row>
    <row r="105" spans="1:55" x14ac:dyDescent="0.35">
      <c r="A105" s="1" t="s">
        <v>113</v>
      </c>
      <c r="B105" s="1">
        <v>0.99997317611196579</v>
      </c>
      <c r="C105" s="1">
        <v>1</v>
      </c>
      <c r="D105" s="1">
        <v>0.9991088667468413</v>
      </c>
      <c r="E105" s="1">
        <v>1.0015264779663235</v>
      </c>
      <c r="F105" s="1">
        <v>0.99884676690906404</v>
      </c>
      <c r="G105" s="1">
        <v>1.0034912944499732</v>
      </c>
      <c r="H105" s="1">
        <v>0.99886146239496132</v>
      </c>
      <c r="I105" s="1">
        <v>1.0022488317483469</v>
      </c>
      <c r="J105" s="1">
        <v>0.99626014411058894</v>
      </c>
      <c r="K105" s="1">
        <v>0.99931817087885455</v>
      </c>
      <c r="L105" s="1">
        <v>1.0008751287757105</v>
      </c>
      <c r="M105" s="1">
        <v>0.99947503623036249</v>
      </c>
      <c r="N105" s="1">
        <v>1.0002515901506293</v>
      </c>
      <c r="O105" s="1">
        <v>1.00248742367202</v>
      </c>
      <c r="P105" s="1">
        <v>0.99963892697863854</v>
      </c>
      <c r="Q105" s="1">
        <v>1.0002594580552464</v>
      </c>
      <c r="S105" s="1">
        <f t="shared" si="150"/>
        <v>100</v>
      </c>
      <c r="T105" s="1">
        <f t="shared" si="152"/>
        <v>99.910886674684136</v>
      </c>
      <c r="U105" s="1">
        <f t="shared" si="153"/>
        <v>100.06339844178889</v>
      </c>
      <c r="V105" s="1">
        <f t="shared" si="154"/>
        <v>99.948002019514306</v>
      </c>
      <c r="W105" s="1">
        <f t="shared" si="155"/>
        <v>100.29694992425095</v>
      </c>
      <c r="X105" s="1">
        <f t="shared" si="156"/>
        <v>100.18275807509151</v>
      </c>
      <c r="Y105" s="1">
        <f t="shared" si="157"/>
        <v>100.40805224208773</v>
      </c>
      <c r="Z105" s="1">
        <f t="shared" si="158"/>
        <v>100.03254059656587</v>
      </c>
      <c r="AA105" s="1">
        <f t="shared" si="159"/>
        <v>99.964335497324967</v>
      </c>
      <c r="AB105" s="1">
        <f t="shared" si="160"/>
        <v>100.05181716386346</v>
      </c>
      <c r="AC105" s="1">
        <f t="shared" si="161"/>
        <v>99.999293584766036</v>
      </c>
      <c r="AD105" s="1">
        <f t="shared" si="162"/>
        <v>100.02445242210185</v>
      </c>
      <c r="AE105" s="1">
        <f t="shared" si="163"/>
        <v>100.07354055350332</v>
      </c>
      <c r="AF105" s="1">
        <f t="shared" si="164"/>
        <v>0.99926513488883706</v>
      </c>
      <c r="AH105" s="1" t="str">
        <f t="shared" si="165"/>
        <v>C2022.35110</v>
      </c>
      <c r="AI105" s="1">
        <f t="shared" si="188"/>
        <v>99.9265134888837</v>
      </c>
      <c r="AJ105" s="1">
        <f t="shared" si="189"/>
        <v>99.837465649841562</v>
      </c>
      <c r="AK105" s="1">
        <f t="shared" si="190"/>
        <v>99.989865341369622</v>
      </c>
      <c r="AL105" s="1">
        <f t="shared" si="191"/>
        <v>99.874553719899723</v>
      </c>
      <c r="AM105" s="1">
        <f t="shared" si="192"/>
        <v>100.22324519499557</v>
      </c>
      <c r="AN105" s="1">
        <f t="shared" si="193"/>
        <v>100.10913726144206</v>
      </c>
      <c r="AO105" s="1">
        <f t="shared" si="194"/>
        <v>100.3342658676152</v>
      </c>
      <c r="AP105" s="1">
        <f t="shared" si="195"/>
        <v>99.959030172500462</v>
      </c>
      <c r="AQ105" s="1">
        <f t="shared" si="196"/>
        <v>99.890875194807393</v>
      </c>
      <c r="AR105" s="1">
        <f t="shared" si="197"/>
        <v>99.978292574121284</v>
      </c>
      <c r="AS105" s="1">
        <f t="shared" si="198"/>
        <v>99.925807592769658</v>
      </c>
      <c r="AT105" s="1">
        <f t="shared" si="199"/>
        <v>99.950947941753668</v>
      </c>
      <c r="AU105" s="1">
        <f t="shared" ref="AU105:AW105" si="214">AT105*O105</f>
        <v>100.19956829570484</v>
      </c>
      <c r="AV105" s="1">
        <f t="shared" si="214"/>
        <v>100.16338893484119</v>
      </c>
      <c r="AW105" s="1">
        <f t="shared" si="214"/>
        <v>100.18937713294112</v>
      </c>
      <c r="AX105" s="1" t="b">
        <f t="shared" si="141"/>
        <v>1</v>
      </c>
      <c r="AY105" s="1" t="s">
        <v>113</v>
      </c>
      <c r="AZ105" s="1">
        <v>4</v>
      </c>
      <c r="BA105" s="1" t="s">
        <v>359</v>
      </c>
      <c r="BB105" s="1" t="s">
        <v>360</v>
      </c>
      <c r="BC105" s="1">
        <v>6.2540767340639909E-3</v>
      </c>
    </row>
    <row r="106" spans="1:55" x14ac:dyDescent="0.35">
      <c r="A106" s="1" t="s">
        <v>114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1.0015004569422312</v>
      </c>
      <c r="I106" s="1">
        <v>1</v>
      </c>
      <c r="J106" s="1">
        <v>1</v>
      </c>
      <c r="K106" s="1">
        <v>1</v>
      </c>
      <c r="L106" s="1">
        <v>1.0131253628326591</v>
      </c>
      <c r="M106" s="1">
        <v>1</v>
      </c>
      <c r="N106" s="1">
        <v>1</v>
      </c>
      <c r="O106" s="1">
        <v>1.0344211990557921</v>
      </c>
      <c r="P106" s="1">
        <v>1.010256678622335</v>
      </c>
      <c r="Q106" s="1">
        <v>1.014042813831264</v>
      </c>
      <c r="S106" s="1">
        <f t="shared" si="150"/>
        <v>100</v>
      </c>
      <c r="T106" s="1">
        <f t="shared" si="152"/>
        <v>100</v>
      </c>
      <c r="U106" s="1">
        <f t="shared" si="153"/>
        <v>100</v>
      </c>
      <c r="V106" s="1">
        <f t="shared" si="154"/>
        <v>100</v>
      </c>
      <c r="W106" s="1">
        <f t="shared" si="155"/>
        <v>100</v>
      </c>
      <c r="X106" s="1">
        <f t="shared" si="156"/>
        <v>100.15004569422312</v>
      </c>
      <c r="Y106" s="1">
        <f t="shared" si="157"/>
        <v>100.15004569422312</v>
      </c>
      <c r="Z106" s="1">
        <f t="shared" si="158"/>
        <v>100.15004569422312</v>
      </c>
      <c r="AA106" s="1">
        <f t="shared" si="159"/>
        <v>100.15004569422312</v>
      </c>
      <c r="AB106" s="1">
        <f t="shared" si="160"/>
        <v>101.46455138166719</v>
      </c>
      <c r="AC106" s="1">
        <f t="shared" si="161"/>
        <v>101.46455138166719</v>
      </c>
      <c r="AD106" s="1">
        <f t="shared" si="162"/>
        <v>101.46455138166719</v>
      </c>
      <c r="AE106" s="1">
        <f t="shared" si="163"/>
        <v>100.4161530768245</v>
      </c>
      <c r="AF106" s="1">
        <f t="shared" si="164"/>
        <v>0.99585571579797405</v>
      </c>
      <c r="AH106" s="1" t="str">
        <f t="shared" si="165"/>
        <v>C2023.35321</v>
      </c>
      <c r="AI106" s="1">
        <f t="shared" si="188"/>
        <v>99.585571579797403</v>
      </c>
      <c r="AJ106" s="1">
        <f t="shared" si="189"/>
        <v>99.585571579797403</v>
      </c>
      <c r="AK106" s="1">
        <f t="shared" si="190"/>
        <v>99.585571579797403</v>
      </c>
      <c r="AL106" s="1">
        <f t="shared" si="191"/>
        <v>99.585571579797403</v>
      </c>
      <c r="AM106" s="1">
        <f t="shared" si="192"/>
        <v>99.585571579797403</v>
      </c>
      <c r="AN106" s="1">
        <f t="shared" si="193"/>
        <v>99.734995442020377</v>
      </c>
      <c r="AO106" s="1">
        <f t="shared" si="194"/>
        <v>99.734995442020377</v>
      </c>
      <c r="AP106" s="1">
        <f t="shared" si="195"/>
        <v>99.734995442020377</v>
      </c>
      <c r="AQ106" s="1">
        <f t="shared" si="196"/>
        <v>99.734995442020377</v>
      </c>
      <c r="AR106" s="1">
        <f t="shared" si="197"/>
        <v>101.04405344431049</v>
      </c>
      <c r="AS106" s="1">
        <f t="shared" si="198"/>
        <v>101.04405344431049</v>
      </c>
      <c r="AT106" s="1">
        <f t="shared" si="199"/>
        <v>101.04405344431049</v>
      </c>
      <c r="AU106" s="1">
        <f t="shared" ref="AU106:AW106" si="215">AT106*O106</f>
        <v>104.5221109213212</v>
      </c>
      <c r="AV106" s="1">
        <f t="shared" si="215"/>
        <v>105.59416062196925</v>
      </c>
      <c r="AW106" s="1">
        <f t="shared" si="215"/>
        <v>107.07699976125215</v>
      </c>
      <c r="AX106" s="1" t="b">
        <f t="shared" si="141"/>
        <v>1</v>
      </c>
      <c r="AY106" s="1" t="s">
        <v>114</v>
      </c>
      <c r="AZ106" s="1">
        <v>4</v>
      </c>
      <c r="BA106" s="1" t="s">
        <v>361</v>
      </c>
      <c r="BB106" s="1" t="s">
        <v>362</v>
      </c>
      <c r="BC106" s="1">
        <v>9.5245742561480308E-3</v>
      </c>
    </row>
    <row r="107" spans="1:55" x14ac:dyDescent="0.35">
      <c r="A107" s="1" t="s">
        <v>115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1.0084823643542731</v>
      </c>
      <c r="I107" s="1">
        <v>1</v>
      </c>
      <c r="J107" s="1">
        <v>1.0010856155021304</v>
      </c>
      <c r="K107" s="1">
        <v>1</v>
      </c>
      <c r="L107" s="1">
        <v>1.0006603391586812</v>
      </c>
      <c r="M107" s="1">
        <v>1.0003386200046771</v>
      </c>
      <c r="N107" s="1">
        <v>0.99681898986283535</v>
      </c>
      <c r="O107" s="1">
        <v>1</v>
      </c>
      <c r="P107" s="1">
        <v>1</v>
      </c>
      <c r="Q107" s="1">
        <v>1.0089966737490639</v>
      </c>
      <c r="S107" s="1">
        <f t="shared" si="150"/>
        <v>100</v>
      </c>
      <c r="T107" s="1">
        <f t="shared" si="152"/>
        <v>100</v>
      </c>
      <c r="U107" s="1">
        <f t="shared" si="153"/>
        <v>100</v>
      </c>
      <c r="V107" s="1">
        <f t="shared" si="154"/>
        <v>100</v>
      </c>
      <c r="W107" s="1">
        <f t="shared" si="155"/>
        <v>100</v>
      </c>
      <c r="X107" s="1">
        <f t="shared" si="156"/>
        <v>100.84823643542731</v>
      </c>
      <c r="Y107" s="1">
        <f t="shared" si="157"/>
        <v>100.84823643542731</v>
      </c>
      <c r="Z107" s="1">
        <f t="shared" si="158"/>
        <v>100.95771884426412</v>
      </c>
      <c r="AA107" s="1">
        <f t="shared" si="159"/>
        <v>100.95771884426412</v>
      </c>
      <c r="AB107" s="1">
        <f t="shared" si="160"/>
        <v>101.02438517938812</v>
      </c>
      <c r="AC107" s="1">
        <f t="shared" si="161"/>
        <v>101.05859405717007</v>
      </c>
      <c r="AD107" s="1">
        <f t="shared" si="162"/>
        <v>100.73712564502661</v>
      </c>
      <c r="AE107" s="1">
        <f t="shared" si="163"/>
        <v>100.53600128674732</v>
      </c>
      <c r="AF107" s="1">
        <f t="shared" si="164"/>
        <v>0.99466856369969847</v>
      </c>
      <c r="AH107" s="1" t="str">
        <f t="shared" si="165"/>
        <v>C2023.35322</v>
      </c>
      <c r="AI107" s="1">
        <f t="shared" si="188"/>
        <v>99.466856369969847</v>
      </c>
      <c r="AJ107" s="1">
        <f t="shared" si="189"/>
        <v>99.466856369969847</v>
      </c>
      <c r="AK107" s="1">
        <f t="shared" si="190"/>
        <v>99.466856369969847</v>
      </c>
      <c r="AL107" s="1">
        <f t="shared" si="191"/>
        <v>99.466856369969847</v>
      </c>
      <c r="AM107" s="1">
        <f t="shared" si="192"/>
        <v>99.466856369969847</v>
      </c>
      <c r="AN107" s="1">
        <f t="shared" si="193"/>
        <v>100.31057048687408</v>
      </c>
      <c r="AO107" s="1">
        <f t="shared" si="194"/>
        <v>100.31057048687408</v>
      </c>
      <c r="AP107" s="1">
        <f t="shared" si="195"/>
        <v>100.41946919722217</v>
      </c>
      <c r="AQ107" s="1">
        <f t="shared" si="196"/>
        <v>100.41946919722217</v>
      </c>
      <c r="AR107" s="1">
        <f t="shared" si="197"/>
        <v>100.48578010502709</v>
      </c>
      <c r="AS107" s="1">
        <f t="shared" si="198"/>
        <v>100.51980660035623</v>
      </c>
      <c r="AT107" s="1">
        <f t="shared" si="199"/>
        <v>100.20005207657468</v>
      </c>
      <c r="AU107" s="1">
        <f t="shared" ref="AU107:AW107" si="216">AT107*O107</f>
        <v>100.20005207657468</v>
      </c>
      <c r="AV107" s="1">
        <f t="shared" si="216"/>
        <v>100.20005207657468</v>
      </c>
      <c r="AW107" s="1">
        <f t="shared" si="216"/>
        <v>101.10151925474683</v>
      </c>
      <c r="AX107" s="1" t="b">
        <f t="shared" si="141"/>
        <v>1</v>
      </c>
      <c r="AY107" s="1" t="s">
        <v>115</v>
      </c>
      <c r="AZ107" s="1">
        <v>4</v>
      </c>
      <c r="BA107" s="1" t="s">
        <v>363</v>
      </c>
      <c r="BB107" s="1" t="s">
        <v>364</v>
      </c>
      <c r="BC107" s="1">
        <v>9.5245742561480308E-3</v>
      </c>
    </row>
    <row r="108" spans="1:55" x14ac:dyDescent="0.35">
      <c r="A108" s="1" t="s">
        <v>116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0.9957474500295137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1.0047335297053581</v>
      </c>
      <c r="P108" s="1">
        <v>1.0016564073236525</v>
      </c>
      <c r="Q108" s="1">
        <v>1.0029517650527282</v>
      </c>
      <c r="S108" s="1">
        <f t="shared" si="150"/>
        <v>100</v>
      </c>
      <c r="T108" s="1">
        <f t="shared" si="152"/>
        <v>100</v>
      </c>
      <c r="U108" s="1">
        <f t="shared" si="153"/>
        <v>100</v>
      </c>
      <c r="V108" s="1">
        <f t="shared" si="154"/>
        <v>100</v>
      </c>
      <c r="W108" s="1">
        <f t="shared" si="155"/>
        <v>100</v>
      </c>
      <c r="X108" s="1">
        <f t="shared" si="156"/>
        <v>99.574745002951374</v>
      </c>
      <c r="Y108" s="1">
        <f t="shared" si="157"/>
        <v>99.574745002951374</v>
      </c>
      <c r="Z108" s="1">
        <f t="shared" si="158"/>
        <v>99.574745002951374</v>
      </c>
      <c r="AA108" s="1">
        <f t="shared" si="159"/>
        <v>99.574745002951374</v>
      </c>
      <c r="AB108" s="1">
        <f t="shared" si="160"/>
        <v>99.574745002951374</v>
      </c>
      <c r="AC108" s="1">
        <f t="shared" si="161"/>
        <v>99.574745002951374</v>
      </c>
      <c r="AD108" s="1">
        <f t="shared" si="162"/>
        <v>99.574745002951374</v>
      </c>
      <c r="AE108" s="1">
        <f t="shared" si="163"/>
        <v>99.751934585054997</v>
      </c>
      <c r="AF108" s="1">
        <f t="shared" si="164"/>
        <v>1.0024868230974857</v>
      </c>
      <c r="AH108" s="1" t="str">
        <f t="shared" si="165"/>
        <v>C2023.35323</v>
      </c>
      <c r="AI108" s="1">
        <f t="shared" si="188"/>
        <v>100.24868230974857</v>
      </c>
      <c r="AJ108" s="1">
        <f t="shared" si="189"/>
        <v>100.24868230974857</v>
      </c>
      <c r="AK108" s="1">
        <f t="shared" si="190"/>
        <v>100.24868230974857</v>
      </c>
      <c r="AL108" s="1">
        <f t="shared" si="191"/>
        <v>100.24868230974857</v>
      </c>
      <c r="AM108" s="1">
        <f t="shared" si="192"/>
        <v>100.24868230974857</v>
      </c>
      <c r="AN108" s="1">
        <f t="shared" si="193"/>
        <v>99.822369778750968</v>
      </c>
      <c r="AO108" s="1">
        <f t="shared" si="194"/>
        <v>99.822369778750968</v>
      </c>
      <c r="AP108" s="1">
        <f t="shared" si="195"/>
        <v>99.822369778750968</v>
      </c>
      <c r="AQ108" s="1">
        <f t="shared" si="196"/>
        <v>99.822369778750968</v>
      </c>
      <c r="AR108" s="1">
        <f t="shared" si="197"/>
        <v>99.822369778750968</v>
      </c>
      <c r="AS108" s="1">
        <f t="shared" si="198"/>
        <v>99.822369778750968</v>
      </c>
      <c r="AT108" s="1">
        <f t="shared" si="199"/>
        <v>99.822369778750968</v>
      </c>
      <c r="AU108" s="1">
        <f t="shared" ref="AU108:AW108" si="217">AT108*O108</f>
        <v>100.29488193135793</v>
      </c>
      <c r="AV108" s="1">
        <f t="shared" si="217"/>
        <v>100.4610111083139</v>
      </c>
      <c r="AW108" s="1">
        <f t="shared" si="217"/>
        <v>100.75754841006516</v>
      </c>
      <c r="AX108" s="1" t="b">
        <f t="shared" si="141"/>
        <v>1</v>
      </c>
      <c r="AY108" s="1" t="s">
        <v>116</v>
      </c>
      <c r="AZ108" s="1">
        <v>4</v>
      </c>
      <c r="BA108" s="1" t="s">
        <v>365</v>
      </c>
      <c r="BB108" s="1" t="s">
        <v>366</v>
      </c>
      <c r="BC108" s="1">
        <v>8.1639207909840264E-3</v>
      </c>
    </row>
    <row r="109" spans="1:55" x14ac:dyDescent="0.35">
      <c r="A109" s="1" t="s">
        <v>117</v>
      </c>
      <c r="B109" s="1">
        <v>1.0003401946453376</v>
      </c>
      <c r="C109" s="1">
        <v>1</v>
      </c>
      <c r="D109" s="1">
        <v>0.98885404486935136</v>
      </c>
      <c r="E109" s="1">
        <v>0.99768405488963041</v>
      </c>
      <c r="F109" s="1">
        <v>1.0035285135695646</v>
      </c>
      <c r="G109" s="1">
        <v>1.0006512231729878</v>
      </c>
      <c r="H109" s="1">
        <v>0.9977033055108776</v>
      </c>
      <c r="I109" s="1">
        <v>0.97835537034543618</v>
      </c>
      <c r="J109" s="1">
        <v>1.0217911418722725</v>
      </c>
      <c r="K109" s="1">
        <v>1.0008096827858113</v>
      </c>
      <c r="L109" s="1">
        <v>1.0017955606366433</v>
      </c>
      <c r="M109" s="1">
        <v>0.97660569818825071</v>
      </c>
      <c r="N109" s="1">
        <v>0.99739135012049562</v>
      </c>
      <c r="O109" s="1">
        <v>0.9896973947866784</v>
      </c>
      <c r="P109" s="1">
        <v>1.0228553123598405</v>
      </c>
      <c r="Q109" s="1">
        <v>1.004430151917697</v>
      </c>
      <c r="S109" s="1">
        <f t="shared" si="150"/>
        <v>100</v>
      </c>
      <c r="T109" s="1">
        <f t="shared" si="152"/>
        <v>98.88540448693513</v>
      </c>
      <c r="U109" s="1">
        <f t="shared" si="153"/>
        <v>98.65639131792669</v>
      </c>
      <c r="V109" s="1">
        <f t="shared" si="154"/>
        <v>99.004501733416276</v>
      </c>
      <c r="W109" s="1">
        <f t="shared" si="155"/>
        <v>99.068975759175189</v>
      </c>
      <c r="X109" s="1">
        <f t="shared" si="156"/>
        <v>98.841444588506093</v>
      </c>
      <c r="Y109" s="1">
        <f t="shared" si="157"/>
        <v>96.70205812586579</v>
      </c>
      <c r="Z109" s="1">
        <f t="shared" si="158"/>
        <v>98.809306393827271</v>
      </c>
      <c r="AA109" s="1">
        <f t="shared" si="159"/>
        <v>98.889310588292304</v>
      </c>
      <c r="AB109" s="1">
        <f t="shared" si="160"/>
        <v>99.066872341769439</v>
      </c>
      <c r="AC109" s="1">
        <f t="shared" si="161"/>
        <v>96.749272030660052</v>
      </c>
      <c r="AD109" s="1">
        <f t="shared" si="162"/>
        <v>96.496887053835138</v>
      </c>
      <c r="AE109" s="1">
        <f t="shared" si="163"/>
        <v>98.430868701684119</v>
      </c>
      <c r="AF109" s="1">
        <f t="shared" si="164"/>
        <v>1.0159414553484383</v>
      </c>
      <c r="AH109" s="1" t="str">
        <f t="shared" si="165"/>
        <v>C2029.35420</v>
      </c>
      <c r="AI109" s="1">
        <f t="shared" si="188"/>
        <v>101.59414553484383</v>
      </c>
      <c r="AJ109" s="1">
        <f t="shared" si="189"/>
        <v>100.46178174717586</v>
      </c>
      <c r="AK109" s="1">
        <f t="shared" si="190"/>
        <v>100.22911777495948</v>
      </c>
      <c r="AL109" s="1">
        <f t="shared" si="191"/>
        <v>100.58277757709391</v>
      </c>
      <c r="AM109" s="1">
        <f t="shared" si="192"/>
        <v>100.6482794126556</v>
      </c>
      <c r="AN109" s="1">
        <f t="shared" si="193"/>
        <v>100.4171210639889</v>
      </c>
      <c r="AO109" s="1">
        <f t="shared" si="194"/>
        <v>98.243629667581359</v>
      </c>
      <c r="AP109" s="1">
        <f t="shared" si="195"/>
        <v>100.38447053971463</v>
      </c>
      <c r="AQ109" s="1">
        <f t="shared" si="196"/>
        <v>100.46575011747341</v>
      </c>
      <c r="AR109" s="1">
        <f t="shared" si="197"/>
        <v>100.64614246371519</v>
      </c>
      <c r="AS109" s="1">
        <f t="shared" si="198"/>
        <v>98.291596230730732</v>
      </c>
      <c r="AT109" s="1">
        <f t="shared" si="199"/>
        <v>98.035187870067148</v>
      </c>
      <c r="AU109" s="1">
        <f t="shared" ref="AU109:AW109" si="218">AT109*O109</f>
        <v>97.025170032428036</v>
      </c>
      <c r="AV109" s="1">
        <f t="shared" si="218"/>
        <v>99.242710600285818</v>
      </c>
      <c r="AW109" s="1">
        <f t="shared" si="218"/>
        <v>99.682370884969131</v>
      </c>
      <c r="AX109" s="1" t="b">
        <f t="shared" si="141"/>
        <v>1</v>
      </c>
      <c r="AY109" s="1" t="s">
        <v>117</v>
      </c>
      <c r="AZ109" s="1">
        <v>4</v>
      </c>
      <c r="BA109" s="1" t="s">
        <v>367</v>
      </c>
      <c r="BB109" s="1" t="s">
        <v>368</v>
      </c>
      <c r="BC109" s="1">
        <v>1.3705841703750997E-3</v>
      </c>
    </row>
    <row r="110" spans="1:55" x14ac:dyDescent="0.35">
      <c r="A110" s="1" t="s">
        <v>118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1.0000275938189851</v>
      </c>
      <c r="S110" s="1">
        <f t="shared" si="150"/>
        <v>100</v>
      </c>
      <c r="T110" s="1">
        <f t="shared" si="152"/>
        <v>100</v>
      </c>
      <c r="U110" s="1">
        <f t="shared" si="153"/>
        <v>100</v>
      </c>
      <c r="V110" s="1">
        <f t="shared" si="154"/>
        <v>100</v>
      </c>
      <c r="W110" s="1">
        <f t="shared" si="155"/>
        <v>100</v>
      </c>
      <c r="X110" s="1">
        <f t="shared" si="156"/>
        <v>100</v>
      </c>
      <c r="Y110" s="1">
        <f t="shared" si="157"/>
        <v>100</v>
      </c>
      <c r="Z110" s="1">
        <f t="shared" si="158"/>
        <v>100</v>
      </c>
      <c r="AA110" s="1">
        <f t="shared" si="159"/>
        <v>100</v>
      </c>
      <c r="AB110" s="1">
        <f t="shared" si="160"/>
        <v>100</v>
      </c>
      <c r="AC110" s="1">
        <f t="shared" si="161"/>
        <v>100</v>
      </c>
      <c r="AD110" s="1">
        <f t="shared" si="162"/>
        <v>100</v>
      </c>
      <c r="AE110" s="1">
        <f t="shared" si="163"/>
        <v>100</v>
      </c>
      <c r="AF110" s="1">
        <f t="shared" si="164"/>
        <v>1</v>
      </c>
      <c r="AH110" s="1" t="str">
        <f t="shared" si="165"/>
        <v>C2029.35450</v>
      </c>
      <c r="AI110" s="1">
        <f t="shared" si="188"/>
        <v>100</v>
      </c>
      <c r="AJ110" s="1">
        <f t="shared" si="189"/>
        <v>100</v>
      </c>
      <c r="AK110" s="1">
        <f t="shared" si="190"/>
        <v>100</v>
      </c>
      <c r="AL110" s="1">
        <f t="shared" si="191"/>
        <v>100</v>
      </c>
      <c r="AM110" s="1">
        <f t="shared" si="192"/>
        <v>100</v>
      </c>
      <c r="AN110" s="1">
        <f t="shared" si="193"/>
        <v>100</v>
      </c>
      <c r="AO110" s="1">
        <f t="shared" si="194"/>
        <v>100</v>
      </c>
      <c r="AP110" s="1">
        <f t="shared" si="195"/>
        <v>100</v>
      </c>
      <c r="AQ110" s="1">
        <f t="shared" si="196"/>
        <v>100</v>
      </c>
      <c r="AR110" s="1">
        <f t="shared" si="197"/>
        <v>100</v>
      </c>
      <c r="AS110" s="1">
        <f t="shared" si="198"/>
        <v>100</v>
      </c>
      <c r="AT110" s="1">
        <f t="shared" si="199"/>
        <v>100</v>
      </c>
      <c r="AU110" s="1">
        <f t="shared" ref="AU110:AW110" si="219">AT110*O110</f>
        <v>100</v>
      </c>
      <c r="AV110" s="1">
        <f t="shared" si="219"/>
        <v>100</v>
      </c>
      <c r="AW110" s="1">
        <f t="shared" si="219"/>
        <v>100.00275938189851</v>
      </c>
      <c r="AX110" s="1" t="b">
        <f t="shared" si="141"/>
        <v>1</v>
      </c>
      <c r="AY110" s="1" t="s">
        <v>118</v>
      </c>
      <c r="AZ110" s="1">
        <v>4</v>
      </c>
      <c r="BA110" s="1" t="s">
        <v>369</v>
      </c>
      <c r="BB110" s="1" t="s">
        <v>370</v>
      </c>
      <c r="BC110" s="1">
        <v>1.3705841703750997E-3</v>
      </c>
    </row>
    <row r="111" spans="1:55" x14ac:dyDescent="0.35">
      <c r="A111" s="1" t="s">
        <v>119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1.0085631201411021</v>
      </c>
      <c r="L111" s="1">
        <v>1.0125045040042477</v>
      </c>
      <c r="M111" s="1">
        <v>1</v>
      </c>
      <c r="N111" s="1">
        <v>1.0096961945493159</v>
      </c>
      <c r="O111" s="1">
        <v>1</v>
      </c>
      <c r="P111" s="1">
        <v>1</v>
      </c>
      <c r="Q111" s="1">
        <v>1</v>
      </c>
      <c r="S111" s="1">
        <f t="shared" si="150"/>
        <v>100</v>
      </c>
      <c r="T111" s="1">
        <f t="shared" si="152"/>
        <v>100</v>
      </c>
      <c r="U111" s="1">
        <f t="shared" si="153"/>
        <v>100</v>
      </c>
      <c r="V111" s="1">
        <f t="shared" si="154"/>
        <v>100</v>
      </c>
      <c r="W111" s="1">
        <f t="shared" si="155"/>
        <v>100</v>
      </c>
      <c r="X111" s="1">
        <f t="shared" si="156"/>
        <v>100</v>
      </c>
      <c r="Y111" s="1">
        <f t="shared" si="157"/>
        <v>100</v>
      </c>
      <c r="Z111" s="1">
        <f t="shared" si="158"/>
        <v>100</v>
      </c>
      <c r="AA111" s="1">
        <f t="shared" si="159"/>
        <v>100.8563120141102</v>
      </c>
      <c r="AB111" s="1">
        <f t="shared" si="160"/>
        <v>102.1174701715443</v>
      </c>
      <c r="AC111" s="1">
        <f t="shared" si="161"/>
        <v>102.1174701715443</v>
      </c>
      <c r="AD111" s="1">
        <f t="shared" si="162"/>
        <v>103.10762102921156</v>
      </c>
      <c r="AE111" s="1">
        <f t="shared" si="163"/>
        <v>100.68323944886752</v>
      </c>
      <c r="AF111" s="1">
        <f t="shared" si="164"/>
        <v>0.99321397034295356</v>
      </c>
      <c r="AH111" s="1" t="str">
        <f t="shared" si="165"/>
        <v>C2029.35460</v>
      </c>
      <c r="AI111" s="1">
        <f t="shared" si="188"/>
        <v>99.321397034295359</v>
      </c>
      <c r="AJ111" s="1">
        <f t="shared" si="189"/>
        <v>99.321397034295359</v>
      </c>
      <c r="AK111" s="1">
        <f t="shared" si="190"/>
        <v>99.321397034295359</v>
      </c>
      <c r="AL111" s="1">
        <f t="shared" si="191"/>
        <v>99.321397034295359</v>
      </c>
      <c r="AM111" s="1">
        <f t="shared" si="192"/>
        <v>99.321397034295359</v>
      </c>
      <c r="AN111" s="1">
        <f t="shared" si="193"/>
        <v>99.321397034295359</v>
      </c>
      <c r="AO111" s="1">
        <f t="shared" si="194"/>
        <v>99.321397034295359</v>
      </c>
      <c r="AP111" s="1">
        <f t="shared" si="195"/>
        <v>99.321397034295359</v>
      </c>
      <c r="AQ111" s="1">
        <f t="shared" si="196"/>
        <v>100.17189808968212</v>
      </c>
      <c r="AR111" s="1">
        <f t="shared" si="197"/>
        <v>101.42449799045764</v>
      </c>
      <c r="AS111" s="1">
        <f t="shared" si="198"/>
        <v>101.42449799045764</v>
      </c>
      <c r="AT111" s="1">
        <f t="shared" si="199"/>
        <v>102.40792965503982</v>
      </c>
      <c r="AU111" s="1">
        <f t="shared" ref="AU111:AW111" si="220">AT111*O111</f>
        <v>102.40792965503982</v>
      </c>
      <c r="AV111" s="1">
        <f t="shared" si="220"/>
        <v>102.40792965503982</v>
      </c>
      <c r="AW111" s="1">
        <f t="shared" si="220"/>
        <v>102.40792965503982</v>
      </c>
      <c r="AX111" s="1" t="b">
        <f t="shared" si="141"/>
        <v>1</v>
      </c>
      <c r="AY111" s="1" t="s">
        <v>119</v>
      </c>
      <c r="AZ111" s="1">
        <v>4</v>
      </c>
      <c r="BA111" s="1" t="s">
        <v>371</v>
      </c>
      <c r="BB111" s="1" t="s">
        <v>372</v>
      </c>
      <c r="BC111" s="1">
        <v>1.3705841703750997E-3</v>
      </c>
    </row>
    <row r="112" spans="1:55" x14ac:dyDescent="0.35">
      <c r="A112" s="1" t="s">
        <v>120</v>
      </c>
      <c r="B112" s="1">
        <v>1.0148411946864364</v>
      </c>
      <c r="C112" s="1">
        <v>1</v>
      </c>
      <c r="D112" s="1">
        <v>0.9947037006940298</v>
      </c>
      <c r="E112" s="1">
        <v>0.99929391987387539</v>
      </c>
      <c r="F112" s="1">
        <v>1.0024850047962293</v>
      </c>
      <c r="G112" s="1">
        <v>1.0010474009352315</v>
      </c>
      <c r="H112" s="1">
        <v>1.0000744611706487</v>
      </c>
      <c r="I112" s="1">
        <v>0.99717695271354112</v>
      </c>
      <c r="J112" s="1">
        <v>0.99999659782510719</v>
      </c>
      <c r="K112" s="1">
        <v>0.99873546326024609</v>
      </c>
      <c r="L112" s="1">
        <v>1.0024866487841437</v>
      </c>
      <c r="M112" s="1">
        <v>0.99825272560632705</v>
      </c>
      <c r="N112" s="1">
        <v>0.99992366523621357</v>
      </c>
      <c r="O112" s="1">
        <v>0.99996056941999556</v>
      </c>
      <c r="P112" s="1">
        <v>0.99122173206119846</v>
      </c>
      <c r="Q112" s="1">
        <v>0.99936156290462275</v>
      </c>
      <c r="S112" s="1">
        <f t="shared" si="150"/>
        <v>100</v>
      </c>
      <c r="T112" s="1">
        <f t="shared" si="152"/>
        <v>99.470370069402975</v>
      </c>
      <c r="U112" s="1">
        <f t="shared" si="153"/>
        <v>99.400136017958715</v>
      </c>
      <c r="V112" s="1">
        <f t="shared" si="154"/>
        <v>99.647145832709185</v>
      </c>
      <c r="W112" s="1">
        <f t="shared" si="155"/>
        <v>99.751516346447517</v>
      </c>
      <c r="X112" s="1">
        <f t="shared" si="156"/>
        <v>99.758943961128651</v>
      </c>
      <c r="Y112" s="1">
        <f t="shared" si="157"/>
        <v>99.477319745079186</v>
      </c>
      <c r="Z112" s="1">
        <f t="shared" si="158"/>
        <v>99.476981305839544</v>
      </c>
      <c r="AA112" s="1">
        <f t="shared" si="159"/>
        <v>99.351189008218498</v>
      </c>
      <c r="AB112" s="1">
        <f t="shared" si="160"/>
        <v>99.598240521569025</v>
      </c>
      <c r="AC112" s="1">
        <f t="shared" si="161"/>
        <v>99.42421506625081</v>
      </c>
      <c r="AD112" s="1">
        <f t="shared" si="162"/>
        <v>99.416625542279078</v>
      </c>
      <c r="AE112" s="1">
        <f t="shared" si="163"/>
        <v>99.56439028474027</v>
      </c>
      <c r="AF112" s="1">
        <f t="shared" si="164"/>
        <v>1.0043751557561287</v>
      </c>
      <c r="AH112" s="1" t="str">
        <f t="shared" si="165"/>
        <v>C2029.35490</v>
      </c>
      <c r="AI112" s="1">
        <f t="shared" si="188"/>
        <v>100.43751557561286</v>
      </c>
      <c r="AJ112" s="1">
        <f t="shared" si="189"/>
        <v>99.90556843157637</v>
      </c>
      <c r="AK112" s="1">
        <f t="shared" si="190"/>
        <v>99.835027095217654</v>
      </c>
      <c r="AL112" s="1">
        <f t="shared" si="191"/>
        <v>100.08311761638096</v>
      </c>
      <c r="AM112" s="1">
        <f t="shared" si="192"/>
        <v>100.18794476737324</v>
      </c>
      <c r="AN112" s="1">
        <f t="shared" si="193"/>
        <v>100.1954048790255</v>
      </c>
      <c r="AO112" s="1">
        <f t="shared" si="194"/>
        <v>99.912548513166115</v>
      </c>
      <c r="AP112" s="1">
        <f t="shared" si="195"/>
        <v>99.912208593202095</v>
      </c>
      <c r="AQ112" s="1">
        <f t="shared" si="196"/>
        <v>99.785865934686029</v>
      </c>
      <c r="AR112" s="1">
        <f t="shared" si="197"/>
        <v>100.03399833688725</v>
      </c>
      <c r="AS112" s="1">
        <f t="shared" si="198"/>
        <v>99.859211493096495</v>
      </c>
      <c r="AT112" s="1">
        <f t="shared" si="199"/>
        <v>99.851588763775268</v>
      </c>
      <c r="AU112" s="1">
        <f t="shared" ref="AU112:AW112" si="221">AT112*O112</f>
        <v>99.847651557715949</v>
      </c>
      <c r="AV112" s="1">
        <f t="shared" si="221"/>
        <v>98.971162119282226</v>
      </c>
      <c r="AW112" s="1">
        <f t="shared" si="221"/>
        <v>98.907975258012684</v>
      </c>
      <c r="AX112" s="1" t="b">
        <f t="shared" si="141"/>
        <v>1</v>
      </c>
      <c r="AY112" s="1" t="s">
        <v>120</v>
      </c>
      <c r="AZ112" s="1">
        <v>4</v>
      </c>
      <c r="BA112" s="1" t="s">
        <v>373</v>
      </c>
      <c r="BB112" s="1" t="s">
        <v>374</v>
      </c>
      <c r="BC112" s="1">
        <v>1.3705841703750997E-3</v>
      </c>
    </row>
    <row r="113" spans="1:55" x14ac:dyDescent="0.35">
      <c r="A113" s="1" t="s">
        <v>121</v>
      </c>
      <c r="B113" s="1">
        <v>1.000005273836422</v>
      </c>
      <c r="C113" s="1">
        <v>1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0.99999472619139096</v>
      </c>
      <c r="P113" s="1">
        <v>1</v>
      </c>
      <c r="Q113" s="1">
        <v>1</v>
      </c>
      <c r="S113" s="1">
        <f t="shared" si="150"/>
        <v>100</v>
      </c>
      <c r="T113" s="1">
        <f t="shared" si="152"/>
        <v>100</v>
      </c>
      <c r="U113" s="1">
        <f t="shared" si="153"/>
        <v>100</v>
      </c>
      <c r="V113" s="1">
        <f t="shared" si="154"/>
        <v>100</v>
      </c>
      <c r="W113" s="1">
        <f t="shared" si="155"/>
        <v>100</v>
      </c>
      <c r="X113" s="1">
        <f t="shared" si="156"/>
        <v>100</v>
      </c>
      <c r="Y113" s="1">
        <f t="shared" si="157"/>
        <v>100</v>
      </c>
      <c r="Z113" s="1">
        <f t="shared" si="158"/>
        <v>100</v>
      </c>
      <c r="AA113" s="1">
        <f t="shared" si="159"/>
        <v>100</v>
      </c>
      <c r="AB113" s="1">
        <f t="shared" si="160"/>
        <v>100</v>
      </c>
      <c r="AC113" s="1">
        <f t="shared" si="161"/>
        <v>100</v>
      </c>
      <c r="AD113" s="1">
        <f t="shared" si="162"/>
        <v>100</v>
      </c>
      <c r="AE113" s="1">
        <f t="shared" si="163"/>
        <v>100</v>
      </c>
      <c r="AF113" s="1">
        <f t="shared" si="164"/>
        <v>1</v>
      </c>
      <c r="AH113" s="1" t="str">
        <f t="shared" si="165"/>
        <v>C2029.38998</v>
      </c>
      <c r="AI113" s="1">
        <f t="shared" si="188"/>
        <v>100</v>
      </c>
      <c r="AJ113" s="1">
        <f t="shared" si="189"/>
        <v>100</v>
      </c>
      <c r="AK113" s="1">
        <f t="shared" si="190"/>
        <v>100</v>
      </c>
      <c r="AL113" s="1">
        <f t="shared" si="191"/>
        <v>100</v>
      </c>
      <c r="AM113" s="1">
        <f t="shared" si="192"/>
        <v>100</v>
      </c>
      <c r="AN113" s="1">
        <f t="shared" si="193"/>
        <v>100</v>
      </c>
      <c r="AO113" s="1">
        <f t="shared" si="194"/>
        <v>100</v>
      </c>
      <c r="AP113" s="1">
        <f t="shared" si="195"/>
        <v>100</v>
      </c>
      <c r="AQ113" s="1">
        <f t="shared" si="196"/>
        <v>100</v>
      </c>
      <c r="AR113" s="1">
        <f t="shared" si="197"/>
        <v>100</v>
      </c>
      <c r="AS113" s="1">
        <f t="shared" si="198"/>
        <v>100</v>
      </c>
      <c r="AT113" s="1">
        <f t="shared" si="199"/>
        <v>100</v>
      </c>
      <c r="AU113" s="1">
        <f t="shared" ref="AU113:AW113" si="222">AT113*O113</f>
        <v>99.999472619139098</v>
      </c>
      <c r="AV113" s="1">
        <f t="shared" si="222"/>
        <v>99.999472619139098</v>
      </c>
      <c r="AW113" s="1">
        <f t="shared" si="222"/>
        <v>99.999472619139098</v>
      </c>
      <c r="AX113" s="1" t="b">
        <f t="shared" si="141"/>
        <v>1</v>
      </c>
      <c r="AY113" s="1" t="s">
        <v>121</v>
      </c>
      <c r="AZ113" s="1">
        <v>4</v>
      </c>
      <c r="BA113" s="1" t="s">
        <v>375</v>
      </c>
      <c r="BB113" s="1" t="s">
        <v>376</v>
      </c>
      <c r="BC113" s="1">
        <v>1.3705841703750997E-3</v>
      </c>
    </row>
    <row r="114" spans="1:55" x14ac:dyDescent="0.35">
      <c r="A114" s="1" t="s">
        <v>122</v>
      </c>
      <c r="B114" s="1">
        <v>1.0059896177294214</v>
      </c>
      <c r="C114" s="1">
        <v>1</v>
      </c>
      <c r="D114" s="1">
        <v>1.0049509874478975</v>
      </c>
      <c r="E114" s="1">
        <v>1.0013661919631076</v>
      </c>
      <c r="F114" s="1">
        <v>1.0000254139313485</v>
      </c>
      <c r="G114" s="1">
        <v>1</v>
      </c>
      <c r="H114" s="1">
        <v>1.0024915411119899</v>
      </c>
      <c r="I114" s="1">
        <v>1</v>
      </c>
      <c r="J114" s="1">
        <v>1</v>
      </c>
      <c r="K114" s="1">
        <v>1.0023398758112931</v>
      </c>
      <c r="L114" s="1">
        <v>0.99926485113363228</v>
      </c>
      <c r="M114" s="1">
        <v>1</v>
      </c>
      <c r="N114" s="1">
        <v>0.99996801858792506</v>
      </c>
      <c r="O114" s="1">
        <v>1.0170597452970385</v>
      </c>
      <c r="P114" s="1">
        <v>1.0005140342800884</v>
      </c>
      <c r="Q114" s="1">
        <v>1</v>
      </c>
      <c r="S114" s="1">
        <f t="shared" si="150"/>
        <v>100</v>
      </c>
      <c r="T114" s="1">
        <f t="shared" si="152"/>
        <v>100.49509874478974</v>
      </c>
      <c r="U114" s="1">
        <f t="shared" si="153"/>
        <v>100.63239434102658</v>
      </c>
      <c r="V114" s="1">
        <f t="shared" si="154"/>
        <v>100.63495180578779</v>
      </c>
      <c r="W114" s="1">
        <f t="shared" si="155"/>
        <v>100.63495180578779</v>
      </c>
      <c r="X114" s="1">
        <f t="shared" si="156"/>
        <v>100.88568792551503</v>
      </c>
      <c r="Y114" s="1">
        <f t="shared" si="157"/>
        <v>100.88568792551503</v>
      </c>
      <c r="Z114" s="1">
        <f t="shared" si="158"/>
        <v>100.88568792551503</v>
      </c>
      <c r="AA114" s="1">
        <f t="shared" si="159"/>
        <v>101.12174790639762</v>
      </c>
      <c r="AB114" s="1">
        <f t="shared" si="160"/>
        <v>101.04740836805911</v>
      </c>
      <c r="AC114" s="1">
        <f t="shared" si="161"/>
        <v>101.04740836805911</v>
      </c>
      <c r="AD114" s="1">
        <f t="shared" si="162"/>
        <v>101.04417672925298</v>
      </c>
      <c r="AE114" s="1">
        <f t="shared" si="163"/>
        <v>100.7762668204755</v>
      </c>
      <c r="AF114" s="1">
        <f t="shared" si="164"/>
        <v>0.99229712664532066</v>
      </c>
      <c r="AH114" s="1" t="str">
        <f t="shared" si="165"/>
        <v>C2100.35260</v>
      </c>
      <c r="AI114" s="1">
        <f t="shared" si="188"/>
        <v>99.229712664532059</v>
      </c>
      <c r="AJ114" s="1">
        <f t="shared" si="189"/>
        <v>99.720997726392639</v>
      </c>
      <c r="AK114" s="1">
        <f t="shared" si="190"/>
        <v>99.8572357520395</v>
      </c>
      <c r="AL114" s="1">
        <f t="shared" si="191"/>
        <v>99.859773516973547</v>
      </c>
      <c r="AM114" s="1">
        <f t="shared" si="192"/>
        <v>99.859773516973547</v>
      </c>
      <c r="AN114" s="1">
        <f t="shared" si="193"/>
        <v>100.10857824812508</v>
      </c>
      <c r="AO114" s="1">
        <f t="shared" si="194"/>
        <v>100.10857824812508</v>
      </c>
      <c r="AP114" s="1">
        <f t="shared" si="195"/>
        <v>100.10857824812508</v>
      </c>
      <c r="AQ114" s="1">
        <f t="shared" si="196"/>
        <v>100.34281988887082</v>
      </c>
      <c r="AR114" s="1">
        <f t="shared" si="197"/>
        <v>100.26905297858139</v>
      </c>
      <c r="AS114" s="1">
        <f t="shared" si="198"/>
        <v>100.26905297858139</v>
      </c>
      <c r="AT114" s="1">
        <f t="shared" si="199"/>
        <v>100.26584623267971</v>
      </c>
      <c r="AU114" s="1">
        <f t="shared" ref="AU114:AW114" si="223">AT114*O114</f>
        <v>101.97635603140125</v>
      </c>
      <c r="AV114" s="1">
        <f t="shared" si="223"/>
        <v>102.02877537415989</v>
      </c>
      <c r="AW114" s="1">
        <f t="shared" si="223"/>
        <v>102.02877537415989</v>
      </c>
      <c r="AX114" s="1" t="b">
        <f t="shared" si="141"/>
        <v>1</v>
      </c>
      <c r="AY114" s="1" t="s">
        <v>122</v>
      </c>
      <c r="AZ114" s="1">
        <v>4</v>
      </c>
      <c r="BA114" s="1" t="s">
        <v>377</v>
      </c>
      <c r="BB114" s="1" t="s">
        <v>378</v>
      </c>
      <c r="BC114" s="1">
        <v>1.285127635878091E-2</v>
      </c>
    </row>
    <row r="115" spans="1:55" x14ac:dyDescent="0.35">
      <c r="A115" s="1" t="s">
        <v>123</v>
      </c>
      <c r="B115" s="1">
        <v>1</v>
      </c>
      <c r="C115" s="1">
        <v>1</v>
      </c>
      <c r="D115" s="1">
        <v>1</v>
      </c>
      <c r="E115" s="1">
        <v>1.0102535446579124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S115" s="1">
        <f t="shared" si="150"/>
        <v>100</v>
      </c>
      <c r="T115" s="1">
        <f t="shared" si="152"/>
        <v>100</v>
      </c>
      <c r="U115" s="1">
        <f t="shared" si="153"/>
        <v>101.02535446579124</v>
      </c>
      <c r="V115" s="1">
        <f t="shared" si="154"/>
        <v>101.02535446579124</v>
      </c>
      <c r="W115" s="1">
        <f t="shared" si="155"/>
        <v>101.02535446579124</v>
      </c>
      <c r="X115" s="1">
        <f t="shared" si="156"/>
        <v>101.02535446579124</v>
      </c>
      <c r="Y115" s="1">
        <f t="shared" si="157"/>
        <v>101.02535446579124</v>
      </c>
      <c r="Z115" s="1">
        <f t="shared" si="158"/>
        <v>101.02535446579124</v>
      </c>
      <c r="AA115" s="1">
        <f t="shared" si="159"/>
        <v>101.02535446579124</v>
      </c>
      <c r="AB115" s="1">
        <f t="shared" si="160"/>
        <v>101.02535446579124</v>
      </c>
      <c r="AC115" s="1">
        <f t="shared" si="161"/>
        <v>101.02535446579124</v>
      </c>
      <c r="AD115" s="1">
        <f t="shared" si="162"/>
        <v>101.02535446579124</v>
      </c>
      <c r="AE115" s="1">
        <f t="shared" si="163"/>
        <v>100.85446205482602</v>
      </c>
      <c r="AF115" s="1">
        <f t="shared" si="164"/>
        <v>0.99152777143006809</v>
      </c>
      <c r="AH115" s="1" t="str">
        <f t="shared" si="165"/>
        <v>C2100.35270</v>
      </c>
      <c r="AI115" s="1">
        <f t="shared" si="188"/>
        <v>99.152777143006816</v>
      </c>
      <c r="AJ115" s="1">
        <f t="shared" si="189"/>
        <v>99.152777143006816</v>
      </c>
      <c r="AK115" s="1">
        <f t="shared" si="190"/>
        <v>100.16944457139867</v>
      </c>
      <c r="AL115" s="1">
        <f t="shared" si="191"/>
        <v>100.16944457139867</v>
      </c>
      <c r="AM115" s="1">
        <f t="shared" si="192"/>
        <v>100.16944457139867</v>
      </c>
      <c r="AN115" s="1">
        <f t="shared" si="193"/>
        <v>100.16944457139867</v>
      </c>
      <c r="AO115" s="1">
        <f t="shared" si="194"/>
        <v>100.16944457139867</v>
      </c>
      <c r="AP115" s="1">
        <f t="shared" si="195"/>
        <v>100.16944457139867</v>
      </c>
      <c r="AQ115" s="1">
        <f t="shared" si="196"/>
        <v>100.16944457139867</v>
      </c>
      <c r="AR115" s="1">
        <f t="shared" si="197"/>
        <v>100.16944457139867</v>
      </c>
      <c r="AS115" s="1">
        <f t="shared" si="198"/>
        <v>100.16944457139867</v>
      </c>
      <c r="AT115" s="1">
        <f t="shared" si="199"/>
        <v>100.16944457139867</v>
      </c>
      <c r="AU115" s="1">
        <f t="shared" ref="AU115:AW115" si="224">AT115*O115</f>
        <v>100.16944457139867</v>
      </c>
      <c r="AV115" s="1">
        <f t="shared" si="224"/>
        <v>100.16944457139867</v>
      </c>
      <c r="AW115" s="1">
        <f t="shared" si="224"/>
        <v>100.16944457139867</v>
      </c>
      <c r="AX115" s="1" t="b">
        <f t="shared" si="141"/>
        <v>1</v>
      </c>
      <c r="AY115" s="1" t="s">
        <v>123</v>
      </c>
      <c r="AZ115" s="1">
        <v>4</v>
      </c>
      <c r="BA115" s="1" t="s">
        <v>379</v>
      </c>
      <c r="BB115" s="1" t="s">
        <v>380</v>
      </c>
      <c r="BC115" s="1">
        <v>8.5675175725206075E-3</v>
      </c>
    </row>
    <row r="116" spans="1:55" x14ac:dyDescent="0.35">
      <c r="A116" s="1" t="s">
        <v>124</v>
      </c>
      <c r="B116" s="1">
        <v>1</v>
      </c>
      <c r="C116" s="1">
        <v>1</v>
      </c>
      <c r="D116" s="1">
        <v>1</v>
      </c>
      <c r="E116" s="1">
        <v>0.99999974447144124</v>
      </c>
      <c r="F116" s="1">
        <v>0.99952459921092018</v>
      </c>
      <c r="G116" s="1">
        <v>1</v>
      </c>
      <c r="H116" s="1">
        <v>1.0014866049756752</v>
      </c>
      <c r="I116" s="1">
        <v>1.0151806904784209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1.010122887977889</v>
      </c>
      <c r="P116" s="1">
        <v>1</v>
      </c>
      <c r="Q116" s="1">
        <v>1</v>
      </c>
      <c r="S116" s="1">
        <f t="shared" si="150"/>
        <v>100</v>
      </c>
      <c r="T116" s="1">
        <f t="shared" si="152"/>
        <v>100</v>
      </c>
      <c r="U116" s="1">
        <f t="shared" si="153"/>
        <v>99.999974447144126</v>
      </c>
      <c r="V116" s="1">
        <f t="shared" si="154"/>
        <v>99.952434380383991</v>
      </c>
      <c r="W116" s="1">
        <f t="shared" si="155"/>
        <v>99.952434380383991</v>
      </c>
      <c r="X116" s="1">
        <f t="shared" si="156"/>
        <v>100.10102416666471</v>
      </c>
      <c r="Y116" s="1">
        <f t="shared" si="157"/>
        <v>101.62062683111178</v>
      </c>
      <c r="Z116" s="1">
        <f t="shared" si="158"/>
        <v>101.62062683111178</v>
      </c>
      <c r="AA116" s="1">
        <f t="shared" si="159"/>
        <v>101.62062683111178</v>
      </c>
      <c r="AB116" s="1">
        <f t="shared" si="160"/>
        <v>101.62062683111178</v>
      </c>
      <c r="AC116" s="1">
        <f t="shared" si="161"/>
        <v>101.62062683111178</v>
      </c>
      <c r="AD116" s="1">
        <f t="shared" si="162"/>
        <v>101.62062683111178</v>
      </c>
      <c r="AE116" s="1">
        <f t="shared" si="163"/>
        <v>100.81080236343729</v>
      </c>
      <c r="AF116" s="1">
        <f t="shared" si="164"/>
        <v>0.99195718767802055</v>
      </c>
      <c r="AH116" s="1" t="str">
        <f t="shared" si="165"/>
        <v>C2220.36320</v>
      </c>
      <c r="AI116" s="1">
        <f t="shared" si="188"/>
        <v>99.195718767802049</v>
      </c>
      <c r="AJ116" s="1">
        <f t="shared" si="189"/>
        <v>99.195718767802049</v>
      </c>
      <c r="AK116" s="1">
        <f t="shared" si="190"/>
        <v>99.195693420463002</v>
      </c>
      <c r="AL116" s="1">
        <f t="shared" si="191"/>
        <v>99.148535709537597</v>
      </c>
      <c r="AM116" s="1">
        <f t="shared" si="192"/>
        <v>99.148535709537597</v>
      </c>
      <c r="AN116" s="1">
        <f t="shared" si="193"/>
        <v>99.295930416054304</v>
      </c>
      <c r="AO116" s="1">
        <f t="shared" si="194"/>
        <v>100.80331120146724</v>
      </c>
      <c r="AP116" s="1">
        <f t="shared" si="195"/>
        <v>100.80331120146724</v>
      </c>
      <c r="AQ116" s="1">
        <f t="shared" si="196"/>
        <v>100.80331120146724</v>
      </c>
      <c r="AR116" s="1">
        <f t="shared" si="197"/>
        <v>100.80331120146724</v>
      </c>
      <c r="AS116" s="1">
        <f t="shared" si="198"/>
        <v>100.80331120146724</v>
      </c>
      <c r="AT116" s="1">
        <f t="shared" si="199"/>
        <v>100.80331120146724</v>
      </c>
      <c r="AU116" s="1">
        <f t="shared" ref="AU116:AW116" si="225">AT116*O116</f>
        <v>101.82373182855997</v>
      </c>
      <c r="AV116" s="1">
        <f t="shared" si="225"/>
        <v>101.82373182855997</v>
      </c>
      <c r="AW116" s="1">
        <f t="shared" si="225"/>
        <v>101.82373182855997</v>
      </c>
      <c r="AX116" s="1" t="b">
        <f t="shared" si="141"/>
        <v>1</v>
      </c>
      <c r="AY116" s="1" t="s">
        <v>124</v>
      </c>
      <c r="AZ116" s="1">
        <v>4</v>
      </c>
      <c r="BA116" s="1" t="s">
        <v>381</v>
      </c>
      <c r="BB116" s="1" t="s">
        <v>382</v>
      </c>
      <c r="BC116" s="1">
        <v>1.0225709959568917E-2</v>
      </c>
    </row>
    <row r="117" spans="1:55" x14ac:dyDescent="0.35">
      <c r="A117" s="1" t="s">
        <v>125</v>
      </c>
      <c r="B117" s="1">
        <v>0.99488129433311434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1.0041095272793994</v>
      </c>
      <c r="M117" s="1">
        <v>1</v>
      </c>
      <c r="N117" s="1">
        <v>1</v>
      </c>
      <c r="O117" s="1">
        <v>1.0072360010792725</v>
      </c>
      <c r="P117" s="1">
        <v>1</v>
      </c>
      <c r="Q117" s="1">
        <v>1</v>
      </c>
      <c r="S117" s="1">
        <f t="shared" si="150"/>
        <v>100</v>
      </c>
      <c r="T117" s="1">
        <f t="shared" si="152"/>
        <v>100</v>
      </c>
      <c r="U117" s="1">
        <f t="shared" si="153"/>
        <v>100</v>
      </c>
      <c r="V117" s="1">
        <f t="shared" si="154"/>
        <v>100</v>
      </c>
      <c r="W117" s="1">
        <f t="shared" si="155"/>
        <v>100</v>
      </c>
      <c r="X117" s="1">
        <f t="shared" si="156"/>
        <v>100</v>
      </c>
      <c r="Y117" s="1">
        <f t="shared" si="157"/>
        <v>100</v>
      </c>
      <c r="Z117" s="1">
        <f t="shared" si="158"/>
        <v>100</v>
      </c>
      <c r="AA117" s="1">
        <f t="shared" si="159"/>
        <v>100</v>
      </c>
      <c r="AB117" s="1">
        <f t="shared" si="160"/>
        <v>100.41095272793994</v>
      </c>
      <c r="AC117" s="1">
        <f t="shared" si="161"/>
        <v>100.41095272793994</v>
      </c>
      <c r="AD117" s="1">
        <f t="shared" si="162"/>
        <v>100.41095272793994</v>
      </c>
      <c r="AE117" s="1">
        <f t="shared" si="163"/>
        <v>100.10273818198499</v>
      </c>
      <c r="AF117" s="1">
        <f t="shared" si="164"/>
        <v>0.9989736726102515</v>
      </c>
      <c r="AH117" s="1" t="str">
        <f t="shared" si="165"/>
        <v>C2220.36410</v>
      </c>
      <c r="AI117" s="1">
        <f t="shared" si="188"/>
        <v>99.897367261025153</v>
      </c>
      <c r="AJ117" s="1">
        <f t="shared" si="189"/>
        <v>99.897367261025153</v>
      </c>
      <c r="AK117" s="1">
        <f t="shared" si="190"/>
        <v>99.897367261025153</v>
      </c>
      <c r="AL117" s="1">
        <f t="shared" si="191"/>
        <v>99.897367261025153</v>
      </c>
      <c r="AM117" s="1">
        <f t="shared" si="192"/>
        <v>99.897367261025153</v>
      </c>
      <c r="AN117" s="1">
        <f t="shared" si="193"/>
        <v>99.897367261025153</v>
      </c>
      <c r="AO117" s="1">
        <f t="shared" si="194"/>
        <v>99.897367261025153</v>
      </c>
      <c r="AP117" s="1">
        <f t="shared" si="195"/>
        <v>99.897367261025153</v>
      </c>
      <c r="AQ117" s="1">
        <f t="shared" si="196"/>
        <v>99.897367261025153</v>
      </c>
      <c r="AR117" s="1">
        <f t="shared" si="197"/>
        <v>100.30789821692451</v>
      </c>
      <c r="AS117" s="1">
        <f t="shared" si="198"/>
        <v>100.30789821692451</v>
      </c>
      <c r="AT117" s="1">
        <f t="shared" si="199"/>
        <v>100.30789821692451</v>
      </c>
      <c r="AU117" s="1">
        <f t="shared" ref="AU117:AW117" si="226">AT117*O117</f>
        <v>101.03372627668173</v>
      </c>
      <c r="AV117" s="1">
        <f t="shared" si="226"/>
        <v>101.03372627668173</v>
      </c>
      <c r="AW117" s="1">
        <f t="shared" si="226"/>
        <v>101.03372627668173</v>
      </c>
      <c r="AX117" s="1" t="b">
        <f t="shared" si="141"/>
        <v>1</v>
      </c>
      <c r="AY117" s="1" t="s">
        <v>125</v>
      </c>
      <c r="AZ117" s="1">
        <v>4</v>
      </c>
      <c r="BA117" s="1" t="s">
        <v>383</v>
      </c>
      <c r="BB117" s="1" t="s">
        <v>384</v>
      </c>
      <c r="BC117" s="1">
        <v>1.0225709959568917E-2</v>
      </c>
    </row>
    <row r="118" spans="1:55" x14ac:dyDescent="0.35">
      <c r="A118" s="1" t="s">
        <v>126</v>
      </c>
      <c r="B118" s="1">
        <v>0.99989911827728817</v>
      </c>
      <c r="C118" s="1">
        <v>1</v>
      </c>
      <c r="D118" s="1">
        <v>1</v>
      </c>
      <c r="E118" s="1">
        <v>0.99986307149158948</v>
      </c>
      <c r="F118" s="1">
        <v>0.99957868200210376</v>
      </c>
      <c r="G118" s="1">
        <v>1.0062948287537485</v>
      </c>
      <c r="H118" s="1">
        <v>0.99995038337085074</v>
      </c>
      <c r="I118" s="1">
        <v>0.99982859352017261</v>
      </c>
      <c r="J118" s="1">
        <v>0.99985024683390877</v>
      </c>
      <c r="K118" s="1">
        <v>1.003659704839398</v>
      </c>
      <c r="L118" s="1">
        <v>0.99995683659509682</v>
      </c>
      <c r="M118" s="1">
        <v>0.99932022524538078</v>
      </c>
      <c r="N118" s="1">
        <v>0.99979159301413434</v>
      </c>
      <c r="O118" s="1">
        <v>1.0054268367118291</v>
      </c>
      <c r="P118" s="1">
        <v>0.9994146078309778</v>
      </c>
      <c r="Q118" s="1">
        <v>0.99986414055180239</v>
      </c>
      <c r="S118" s="1">
        <f t="shared" si="150"/>
        <v>100</v>
      </c>
      <c r="T118" s="1">
        <f t="shared" si="152"/>
        <v>100</v>
      </c>
      <c r="U118" s="1">
        <f t="shared" si="153"/>
        <v>99.986307149158947</v>
      </c>
      <c r="V118" s="1">
        <f t="shared" si="154"/>
        <v>99.944181118413823</v>
      </c>
      <c r="W118" s="1">
        <f t="shared" si="155"/>
        <v>100.57331262348787</v>
      </c>
      <c r="X118" s="1">
        <f t="shared" si="156"/>
        <v>100.56832251473311</v>
      </c>
      <c r="Y118" s="1">
        <f t="shared" si="157"/>
        <v>100.55108445258871</v>
      </c>
      <c r="Z118" s="1">
        <f t="shared" si="158"/>
        <v>100.53602660933802</v>
      </c>
      <c r="AA118" s="1">
        <f t="shared" si="159"/>
        <v>100.90395879245406</v>
      </c>
      <c r="AB118" s="1">
        <f t="shared" si="160"/>
        <v>100.89960343402437</v>
      </c>
      <c r="AC118" s="1">
        <f t="shared" si="161"/>
        <v>100.83101443085883</v>
      </c>
      <c r="AD118" s="1">
        <f t="shared" si="162"/>
        <v>100.81000054305952</v>
      </c>
      <c r="AE118" s="1">
        <f t="shared" si="163"/>
        <v>100.46698430567643</v>
      </c>
      <c r="AF118" s="1">
        <f t="shared" si="164"/>
        <v>0.99535186301346912</v>
      </c>
      <c r="AH118" s="1" t="str">
        <f t="shared" si="165"/>
        <v>C2220.36490</v>
      </c>
      <c r="AI118" s="1">
        <f t="shared" si="188"/>
        <v>99.535186301346911</v>
      </c>
      <c r="AJ118" s="1">
        <f t="shared" si="189"/>
        <v>99.535186301346911</v>
      </c>
      <c r="AK118" s="1">
        <f t="shared" si="190"/>
        <v>99.521557096752304</v>
      </c>
      <c r="AL118" s="1">
        <f t="shared" si="191"/>
        <v>99.479626873568776</v>
      </c>
      <c r="AM118" s="1">
        <f t="shared" si="192"/>
        <v>100.1058340892247</v>
      </c>
      <c r="AN118" s="1">
        <f t="shared" si="193"/>
        <v>100.10086717517902</v>
      </c>
      <c r="AO118" s="1">
        <f t="shared" si="194"/>
        <v>100.08370923790885</v>
      </c>
      <c r="AP118" s="1">
        <f t="shared" si="195"/>
        <v>100.06872138557631</v>
      </c>
      <c r="AQ118" s="1">
        <f t="shared" si="196"/>
        <v>100.43494336950347</v>
      </c>
      <c r="AR118" s="1">
        <f t="shared" si="197"/>
        <v>100.43060825537638</v>
      </c>
      <c r="AS118" s="1">
        <f t="shared" si="198"/>
        <v>100.36233806329332</v>
      </c>
      <c r="AT118" s="1">
        <f t="shared" si="199"/>
        <v>100.34142185092313</v>
      </c>
      <c r="AU118" s="1">
        <f t="shared" ref="AU118:AW118" si="227">AT118*O118</f>
        <v>100.88595836274085</v>
      </c>
      <c r="AV118" s="1">
        <f t="shared" si="227"/>
        <v>100.826900512751</v>
      </c>
      <c r="AW118" s="1">
        <f t="shared" si="227"/>
        <v>100.81320222568385</v>
      </c>
      <c r="AX118" s="1" t="b">
        <f t="shared" si="141"/>
        <v>1</v>
      </c>
      <c r="AY118" s="1" t="s">
        <v>126</v>
      </c>
      <c r="AZ118" s="1">
        <v>4</v>
      </c>
      <c r="BA118" s="1" t="s">
        <v>385</v>
      </c>
      <c r="BB118" s="1" t="s">
        <v>386</v>
      </c>
      <c r="BC118" s="1">
        <v>1.0225709959568917E-2</v>
      </c>
    </row>
    <row r="119" spans="1:55" x14ac:dyDescent="0.35">
      <c r="A119" s="1" t="s">
        <v>127</v>
      </c>
      <c r="B119" s="1">
        <v>1</v>
      </c>
      <c r="C119" s="1">
        <v>1</v>
      </c>
      <c r="D119" s="1">
        <v>1</v>
      </c>
      <c r="E119" s="1">
        <v>1.0137043552177676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0.97687315984743706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S119" s="1">
        <f t="shared" si="150"/>
        <v>100</v>
      </c>
      <c r="T119" s="1">
        <f t="shared" si="152"/>
        <v>100</v>
      </c>
      <c r="U119" s="1">
        <f t="shared" si="153"/>
        <v>101.37043552177676</v>
      </c>
      <c r="V119" s="1">
        <f t="shared" si="154"/>
        <v>101.37043552177676</v>
      </c>
      <c r="W119" s="1">
        <f t="shared" si="155"/>
        <v>101.37043552177676</v>
      </c>
      <c r="X119" s="1">
        <f t="shared" si="156"/>
        <v>101.37043552177676</v>
      </c>
      <c r="Y119" s="1">
        <f t="shared" si="157"/>
        <v>101.37043552177676</v>
      </c>
      <c r="Z119" s="1">
        <f t="shared" si="158"/>
        <v>101.37043552177676</v>
      </c>
      <c r="AA119" s="1">
        <f t="shared" si="159"/>
        <v>101.37043552177676</v>
      </c>
      <c r="AB119" s="1">
        <f t="shared" si="160"/>
        <v>99.026057663268929</v>
      </c>
      <c r="AC119" s="1">
        <f t="shared" si="161"/>
        <v>99.026057663268929</v>
      </c>
      <c r="AD119" s="1">
        <f t="shared" si="162"/>
        <v>99.026057663268929</v>
      </c>
      <c r="AE119" s="1">
        <f t="shared" si="163"/>
        <v>100.55593513685365</v>
      </c>
      <c r="AF119" s="1">
        <f t="shared" si="164"/>
        <v>0.99447138414955782</v>
      </c>
      <c r="AH119" s="1" t="str">
        <f t="shared" si="165"/>
        <v>C2220.36920</v>
      </c>
      <c r="AI119" s="1">
        <f t="shared" si="188"/>
        <v>99.447138414955788</v>
      </c>
      <c r="AJ119" s="1">
        <f t="shared" si="189"/>
        <v>99.447138414955788</v>
      </c>
      <c r="AK119" s="1">
        <f t="shared" si="190"/>
        <v>100.80999732518484</v>
      </c>
      <c r="AL119" s="1">
        <f t="shared" si="191"/>
        <v>100.80999732518484</v>
      </c>
      <c r="AM119" s="1">
        <f t="shared" si="192"/>
        <v>100.80999732518484</v>
      </c>
      <c r="AN119" s="1">
        <f t="shared" si="193"/>
        <v>100.80999732518484</v>
      </c>
      <c r="AO119" s="1">
        <f t="shared" si="194"/>
        <v>100.80999732518484</v>
      </c>
      <c r="AP119" s="1">
        <f t="shared" si="195"/>
        <v>100.80999732518484</v>
      </c>
      <c r="AQ119" s="1">
        <f t="shared" si="196"/>
        <v>100.80999732518484</v>
      </c>
      <c r="AR119" s="1">
        <f t="shared" si="197"/>
        <v>98.478580631264975</v>
      </c>
      <c r="AS119" s="1">
        <f t="shared" si="198"/>
        <v>98.478580631264975</v>
      </c>
      <c r="AT119" s="1">
        <f t="shared" si="199"/>
        <v>98.478580631264975</v>
      </c>
      <c r="AU119" s="1">
        <f t="shared" ref="AU119:AW119" si="228">AT119*O119</f>
        <v>98.478580631264975</v>
      </c>
      <c r="AV119" s="1">
        <f t="shared" si="228"/>
        <v>98.478580631264975</v>
      </c>
      <c r="AW119" s="1">
        <f t="shared" si="228"/>
        <v>98.478580631264975</v>
      </c>
      <c r="AX119" s="1" t="b">
        <f t="shared" si="141"/>
        <v>1</v>
      </c>
      <c r="AY119" s="1" t="s">
        <v>127</v>
      </c>
      <c r="AZ119" s="1">
        <v>4</v>
      </c>
      <c r="BA119" s="1" t="s">
        <v>387</v>
      </c>
      <c r="BB119" s="1" t="s">
        <v>388</v>
      </c>
      <c r="BC119" s="1">
        <v>1.0225709959568917E-2</v>
      </c>
    </row>
    <row r="120" spans="1:55" x14ac:dyDescent="0.35">
      <c r="A120" s="1" t="s">
        <v>128</v>
      </c>
      <c r="B120" s="1">
        <v>0.9974293788623726</v>
      </c>
      <c r="C120" s="1">
        <v>1</v>
      </c>
      <c r="D120" s="1">
        <v>1</v>
      </c>
      <c r="E120" s="1">
        <v>0.99999986138827324</v>
      </c>
      <c r="F120" s="1">
        <v>1.0023259916777818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0.9999993852802096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S120" s="1">
        <f t="shared" si="150"/>
        <v>100</v>
      </c>
      <c r="T120" s="1">
        <f t="shared" si="152"/>
        <v>100</v>
      </c>
      <c r="U120" s="1">
        <f t="shared" si="153"/>
        <v>99.999986138827325</v>
      </c>
      <c r="V120" s="1">
        <f t="shared" si="154"/>
        <v>100.23258527436454</v>
      </c>
      <c r="W120" s="1">
        <f t="shared" si="155"/>
        <v>100.23258527436454</v>
      </c>
      <c r="X120" s="1">
        <f t="shared" si="156"/>
        <v>100.23258527436454</v>
      </c>
      <c r="Y120" s="1">
        <f t="shared" si="157"/>
        <v>100.23258527436454</v>
      </c>
      <c r="Z120" s="1">
        <f t="shared" si="158"/>
        <v>100.23258527436454</v>
      </c>
      <c r="AA120" s="1">
        <f t="shared" si="159"/>
        <v>100.23258527436454</v>
      </c>
      <c r="AB120" s="1">
        <f t="shared" si="160"/>
        <v>100.23252365941073</v>
      </c>
      <c r="AC120" s="1">
        <f t="shared" si="161"/>
        <v>100.23252365941073</v>
      </c>
      <c r="AD120" s="1">
        <f t="shared" si="162"/>
        <v>100.23252365941073</v>
      </c>
      <c r="AE120" s="1">
        <f t="shared" si="163"/>
        <v>100.17442239693723</v>
      </c>
      <c r="AF120" s="1">
        <f t="shared" si="164"/>
        <v>0.9982588130506399</v>
      </c>
      <c r="AH120" s="1" t="str">
        <f t="shared" si="165"/>
        <v>C2220.36950</v>
      </c>
      <c r="AI120" s="1">
        <f t="shared" si="188"/>
        <v>99.825881305063987</v>
      </c>
      <c r="AJ120" s="1">
        <f t="shared" si="189"/>
        <v>99.825881305063987</v>
      </c>
      <c r="AK120" s="1">
        <f t="shared" si="190"/>
        <v>99.825867468026203</v>
      </c>
      <c r="AL120" s="1">
        <f t="shared" si="191"/>
        <v>100.05806160498419</v>
      </c>
      <c r="AM120" s="1">
        <f t="shared" si="192"/>
        <v>100.05806160498419</v>
      </c>
      <c r="AN120" s="1">
        <f t="shared" si="193"/>
        <v>100.05806160498419</v>
      </c>
      <c r="AO120" s="1">
        <f t="shared" si="194"/>
        <v>100.05806160498419</v>
      </c>
      <c r="AP120" s="1">
        <f t="shared" si="195"/>
        <v>100.05806160498419</v>
      </c>
      <c r="AQ120" s="1">
        <f t="shared" si="196"/>
        <v>100.05806160498419</v>
      </c>
      <c r="AR120" s="1">
        <f t="shared" si="197"/>
        <v>100.05800009731354</v>
      </c>
      <c r="AS120" s="1">
        <f t="shared" si="198"/>
        <v>100.05800009731354</v>
      </c>
      <c r="AT120" s="1">
        <f t="shared" si="199"/>
        <v>100.05800009731354</v>
      </c>
      <c r="AU120" s="1">
        <f t="shared" ref="AU120:AW120" si="229">AT120*O120</f>
        <v>100.05800009731354</v>
      </c>
      <c r="AV120" s="1">
        <f t="shared" si="229"/>
        <v>100.05800009731354</v>
      </c>
      <c r="AW120" s="1">
        <f t="shared" si="229"/>
        <v>100.05800009731354</v>
      </c>
      <c r="AX120" s="1" t="b">
        <f t="shared" si="141"/>
        <v>1</v>
      </c>
      <c r="AY120" s="1" t="s">
        <v>128</v>
      </c>
      <c r="AZ120" s="1">
        <v>4</v>
      </c>
      <c r="BA120" s="1" t="s">
        <v>389</v>
      </c>
      <c r="BB120" s="1" t="s">
        <v>390</v>
      </c>
      <c r="BC120" s="1">
        <v>1.0225709959568917E-2</v>
      </c>
    </row>
    <row r="121" spans="1:55" x14ac:dyDescent="0.35">
      <c r="A121" s="1" t="s">
        <v>129</v>
      </c>
      <c r="B121" s="1">
        <v>1</v>
      </c>
      <c r="C121" s="1">
        <v>1</v>
      </c>
      <c r="D121" s="1">
        <v>1</v>
      </c>
      <c r="E121" s="1">
        <v>1</v>
      </c>
      <c r="F121" s="1">
        <v>0.99999979308682563</v>
      </c>
      <c r="G121" s="1">
        <v>0.99999975468668478</v>
      </c>
      <c r="H121" s="1">
        <v>0.9999999941775839</v>
      </c>
      <c r="I121" s="1">
        <v>1</v>
      </c>
      <c r="J121" s="1">
        <v>0.99999633336030458</v>
      </c>
      <c r="K121" s="1">
        <v>0.99999995924307961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0.99976660047005972</v>
      </c>
      <c r="S121" s="1">
        <f t="shared" si="150"/>
        <v>100</v>
      </c>
      <c r="T121" s="1">
        <f t="shared" si="152"/>
        <v>100</v>
      </c>
      <c r="U121" s="1">
        <f t="shared" si="153"/>
        <v>100</v>
      </c>
      <c r="V121" s="1">
        <f t="shared" si="154"/>
        <v>99.999979308682569</v>
      </c>
      <c r="W121" s="1">
        <f t="shared" si="155"/>
        <v>99.999954777356123</v>
      </c>
      <c r="X121" s="1">
        <f t="shared" si="156"/>
        <v>99.999954195114782</v>
      </c>
      <c r="Y121" s="1">
        <f t="shared" si="157"/>
        <v>99.999954195114782</v>
      </c>
      <c r="Z121" s="1">
        <f t="shared" si="158"/>
        <v>99.999587531313196</v>
      </c>
      <c r="AA121" s="1">
        <f t="shared" si="159"/>
        <v>99.999583455637961</v>
      </c>
      <c r="AB121" s="1">
        <f t="shared" si="160"/>
        <v>99.999583455637961</v>
      </c>
      <c r="AC121" s="1">
        <f t="shared" si="161"/>
        <v>99.999583455637961</v>
      </c>
      <c r="AD121" s="1">
        <f t="shared" si="162"/>
        <v>99.999583455637961</v>
      </c>
      <c r="AE121" s="1">
        <f t="shared" si="163"/>
        <v>99.999813652511122</v>
      </c>
      <c r="AF121" s="1">
        <f t="shared" si="164"/>
        <v>1.0000018634783614</v>
      </c>
      <c r="AH121" s="1" t="str">
        <f t="shared" si="165"/>
        <v>C2220.36990</v>
      </c>
      <c r="AI121" s="1">
        <f t="shared" si="188"/>
        <v>100.00018634783613</v>
      </c>
      <c r="AJ121" s="1">
        <f t="shared" si="189"/>
        <v>100.00018634783613</v>
      </c>
      <c r="AK121" s="1">
        <f t="shared" si="190"/>
        <v>100.00018634783613</v>
      </c>
      <c r="AL121" s="1">
        <f t="shared" si="191"/>
        <v>100.00016565648015</v>
      </c>
      <c r="AM121" s="1">
        <f t="shared" si="192"/>
        <v>100.00014112510799</v>
      </c>
      <c r="AN121" s="1">
        <f t="shared" si="193"/>
        <v>100.00014054286557</v>
      </c>
      <c r="AO121" s="1">
        <f t="shared" si="194"/>
        <v>100.00014054286557</v>
      </c>
      <c r="AP121" s="1">
        <f t="shared" si="195"/>
        <v>99.999773878380708</v>
      </c>
      <c r="AQ121" s="1">
        <f t="shared" si="196"/>
        <v>99.999769802697884</v>
      </c>
      <c r="AR121" s="1">
        <f t="shared" si="197"/>
        <v>99.999769802697884</v>
      </c>
      <c r="AS121" s="1">
        <f t="shared" si="198"/>
        <v>99.999769802697884</v>
      </c>
      <c r="AT121" s="1">
        <f t="shared" si="199"/>
        <v>99.999769802697884</v>
      </c>
      <c r="AU121" s="1">
        <f t="shared" ref="AU121:AW121" si="230">AT121*O121</f>
        <v>99.999769802697884</v>
      </c>
      <c r="AV121" s="1">
        <f t="shared" si="230"/>
        <v>99.999769802697884</v>
      </c>
      <c r="AW121" s="1">
        <f t="shared" si="230"/>
        <v>99.976429903431793</v>
      </c>
      <c r="AX121" s="1" t="b">
        <f t="shared" si="141"/>
        <v>1</v>
      </c>
      <c r="AY121" s="1" t="s">
        <v>129</v>
      </c>
      <c r="AZ121" s="1">
        <v>4</v>
      </c>
      <c r="BA121" s="1" t="s">
        <v>391</v>
      </c>
      <c r="BB121" s="1" t="s">
        <v>392</v>
      </c>
      <c r="BC121" s="1">
        <v>1.0225709959568917E-2</v>
      </c>
    </row>
    <row r="122" spans="1:55" x14ac:dyDescent="0.35">
      <c r="A122" s="1" t="s">
        <v>130</v>
      </c>
      <c r="B122" s="1">
        <v>0.99940605756026479</v>
      </c>
      <c r="C122" s="1">
        <v>1</v>
      </c>
      <c r="D122" s="1">
        <v>0.99904209050881865</v>
      </c>
      <c r="E122" s="1">
        <v>0.99929848457306136</v>
      </c>
      <c r="F122" s="1">
        <v>0.99733800655378169</v>
      </c>
      <c r="G122" s="1">
        <v>0.99769580529745694</v>
      </c>
      <c r="H122" s="1">
        <v>0.99951272671456748</v>
      </c>
      <c r="I122" s="1">
        <v>0.9990412078934664</v>
      </c>
      <c r="J122" s="1">
        <v>0.9979874600401637</v>
      </c>
      <c r="K122" s="1">
        <v>0.99839546459482176</v>
      </c>
      <c r="L122" s="1">
        <v>1</v>
      </c>
      <c r="M122" s="1">
        <v>0.99974258271722671</v>
      </c>
      <c r="N122" s="1">
        <v>0.99830030277201043</v>
      </c>
      <c r="O122" s="1">
        <v>1.0132061711340969</v>
      </c>
      <c r="P122" s="1">
        <v>1.0001800180382601</v>
      </c>
      <c r="Q122" s="1">
        <v>0.99803971961534454</v>
      </c>
      <c r="S122" s="1">
        <f t="shared" si="150"/>
        <v>100</v>
      </c>
      <c r="T122" s="1">
        <f t="shared" si="152"/>
        <v>99.90420905088186</v>
      </c>
      <c r="U122" s="1">
        <f t="shared" si="153"/>
        <v>99.834124707016571</v>
      </c>
      <c r="V122" s="1">
        <f t="shared" si="154"/>
        <v>99.568366921337557</v>
      </c>
      <c r="W122" s="1">
        <f t="shared" si="155"/>
        <v>99.338942017736542</v>
      </c>
      <c r="X122" s="1">
        <f t="shared" si="156"/>
        <v>99.290536805088166</v>
      </c>
      <c r="Y122" s="1">
        <f t="shared" si="157"/>
        <v>99.195337822145959</v>
      </c>
      <c r="Z122" s="1">
        <f t="shared" si="158"/>
        <v>98.995703240949425</v>
      </c>
      <c r="AA122" s="1">
        <f t="shared" si="159"/>
        <v>98.8368611301388</v>
      </c>
      <c r="AB122" s="1">
        <f t="shared" si="160"/>
        <v>98.8368611301388</v>
      </c>
      <c r="AC122" s="1">
        <f t="shared" si="161"/>
        <v>98.811418813908844</v>
      </c>
      <c r="AD122" s="1">
        <f t="shared" si="162"/>
        <v>98.643469319257122</v>
      </c>
      <c r="AE122" s="1">
        <f t="shared" si="163"/>
        <v>99.271319246549965</v>
      </c>
      <c r="AF122" s="1">
        <f t="shared" si="164"/>
        <v>1.0073402948503212</v>
      </c>
      <c r="AH122" s="1" t="str">
        <f t="shared" si="165"/>
        <v>C2310.37191</v>
      </c>
      <c r="AI122" s="1">
        <f t="shared" si="188"/>
        <v>100.73402948503212</v>
      </c>
      <c r="AJ122" s="1">
        <f t="shared" si="189"/>
        <v>100.63753540210345</v>
      </c>
      <c r="AK122" s="1">
        <f t="shared" si="190"/>
        <v>100.56693661848981</v>
      </c>
      <c r="AL122" s="1">
        <f t="shared" si="191"/>
        <v>100.29922809230514</v>
      </c>
      <c r="AM122" s="1">
        <f t="shared" si="192"/>
        <v>100.06811914226569</v>
      </c>
      <c r="AN122" s="1">
        <f t="shared" si="193"/>
        <v>100.01935862108418</v>
      </c>
      <c r="AO122" s="1">
        <f t="shared" si="194"/>
        <v>99.923460849537719</v>
      </c>
      <c r="AP122" s="1">
        <f t="shared" si="195"/>
        <v>99.722360891652883</v>
      </c>
      <c r="AQ122" s="1">
        <f t="shared" si="196"/>
        <v>99.562352832914272</v>
      </c>
      <c r="AR122" s="1">
        <f t="shared" si="197"/>
        <v>99.562352832914272</v>
      </c>
      <c r="AS122" s="1">
        <f t="shared" si="198"/>
        <v>99.536723762581502</v>
      </c>
      <c r="AT122" s="1">
        <f t="shared" si="199"/>
        <v>99.367541469119075</v>
      </c>
      <c r="AU122" s="1">
        <f t="shared" ref="AU122:AW122" si="231">AT122*O122</f>
        <v>100.67980622693473</v>
      </c>
      <c r="AV122" s="1">
        <f t="shared" si="231"/>
        <v>100.6979304081441</v>
      </c>
      <c r="AW122" s="1">
        <f t="shared" si="231"/>
        <v>100.50053423038962</v>
      </c>
      <c r="AX122" s="1" t="b">
        <f t="shared" si="141"/>
        <v>1</v>
      </c>
      <c r="AY122" s="1" t="s">
        <v>130</v>
      </c>
      <c r="AZ122" s="1">
        <v>4</v>
      </c>
      <c r="BA122" s="1" t="s">
        <v>393</v>
      </c>
      <c r="BB122" s="1" t="s">
        <v>394</v>
      </c>
      <c r="BC122" s="1">
        <v>4.8781114478136595E-3</v>
      </c>
    </row>
    <row r="123" spans="1:55" x14ac:dyDescent="0.35">
      <c r="A123" s="1" t="s">
        <v>131</v>
      </c>
      <c r="B123" s="1">
        <v>0.99564960379047995</v>
      </c>
      <c r="C123" s="1">
        <v>1</v>
      </c>
      <c r="D123" s="1">
        <v>1</v>
      </c>
      <c r="E123" s="1">
        <v>1</v>
      </c>
      <c r="F123" s="1">
        <v>1</v>
      </c>
      <c r="G123" s="1">
        <v>0.98842665705950472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1.0000217596198222</v>
      </c>
      <c r="N123" s="1">
        <v>1</v>
      </c>
      <c r="O123" s="1">
        <v>0.99993177545201306</v>
      </c>
      <c r="P123" s="1">
        <v>1.0007985648964628</v>
      </c>
      <c r="Q123" s="1">
        <v>0.99898135164048385</v>
      </c>
      <c r="S123" s="1">
        <f t="shared" si="150"/>
        <v>100</v>
      </c>
      <c r="T123" s="1">
        <f t="shared" si="152"/>
        <v>100</v>
      </c>
      <c r="U123" s="1">
        <f t="shared" si="153"/>
        <v>100</v>
      </c>
      <c r="V123" s="1">
        <f t="shared" si="154"/>
        <v>100</v>
      </c>
      <c r="W123" s="1">
        <f t="shared" si="155"/>
        <v>98.842665705950466</v>
      </c>
      <c r="X123" s="1">
        <f t="shared" si="156"/>
        <v>98.842665705950466</v>
      </c>
      <c r="Y123" s="1">
        <f t="shared" si="157"/>
        <v>98.842665705950466</v>
      </c>
      <c r="Z123" s="1">
        <f t="shared" si="158"/>
        <v>98.842665705950466</v>
      </c>
      <c r="AA123" s="1">
        <f t="shared" si="159"/>
        <v>98.842665705950466</v>
      </c>
      <c r="AB123" s="1">
        <f t="shared" si="160"/>
        <v>98.842665705950466</v>
      </c>
      <c r="AC123" s="1">
        <f t="shared" si="161"/>
        <v>98.844816484778434</v>
      </c>
      <c r="AD123" s="1">
        <f t="shared" si="162"/>
        <v>98.844816484778434</v>
      </c>
      <c r="AE123" s="1">
        <f t="shared" si="163"/>
        <v>99.228802267104982</v>
      </c>
      <c r="AF123" s="1">
        <f t="shared" si="164"/>
        <v>1.0077719141547139</v>
      </c>
      <c r="AH123" s="1" t="str">
        <f t="shared" si="165"/>
        <v>C2392.37210</v>
      </c>
      <c r="AI123" s="1">
        <f t="shared" ref="AI123:AI151" si="232">$AF123*S123</f>
        <v>100.77719141547139</v>
      </c>
      <c r="AJ123" s="1">
        <f t="shared" ref="AJ123:AJ151" si="233">$AF123*T123</f>
        <v>100.77719141547139</v>
      </c>
      <c r="AK123" s="1">
        <f t="shared" ref="AK123:AK151" si="234">$AF123*U123</f>
        <v>100.77719141547139</v>
      </c>
      <c r="AL123" s="1">
        <f t="shared" ref="AL123:AL151" si="235">$AF123*V123</f>
        <v>100.77719141547139</v>
      </c>
      <c r="AM123" s="1">
        <f t="shared" ref="AM123:AM151" si="236">$AF123*W123</f>
        <v>99.610862418640195</v>
      </c>
      <c r="AN123" s="1">
        <f t="shared" ref="AN123:AN151" si="237">$AF123*X123</f>
        <v>99.610862418640195</v>
      </c>
      <c r="AO123" s="1">
        <f t="shared" ref="AO123:AO151" si="238">$AF123*Y123</f>
        <v>99.610862418640195</v>
      </c>
      <c r="AP123" s="1">
        <f t="shared" ref="AP123:AP151" si="239">$AF123*Z123</f>
        <v>99.610862418640195</v>
      </c>
      <c r="AQ123" s="1">
        <f t="shared" ref="AQ123:AQ151" si="240">$AF123*AA123</f>
        <v>99.610862418640195</v>
      </c>
      <c r="AR123" s="1">
        <f t="shared" ref="AR123:AR151" si="241">$AF123*AB123</f>
        <v>99.610862418640195</v>
      </c>
      <c r="AS123" s="1">
        <f t="shared" ref="AS123:AS151" si="242">$AF123*AC123</f>
        <v>99.613029913136586</v>
      </c>
      <c r="AT123" s="1">
        <f t="shared" ref="AT123:AT151" si="243">$AF123*AD123</f>
        <v>99.613029913136586</v>
      </c>
      <c r="AU123" s="1">
        <f t="shared" ref="AU123:AW123" si="244">AT123*O123</f>
        <v>99.606233859197147</v>
      </c>
      <c r="AV123" s="1">
        <f t="shared" si="244"/>
        <v>99.685775901025963</v>
      </c>
      <c r="AW123" s="1">
        <f t="shared" si="244"/>
        <v>99.584231148937292</v>
      </c>
      <c r="AX123" s="1" t="b">
        <f t="shared" ref="AX123:AX151" si="245">AY123=AH123</f>
        <v>1</v>
      </c>
      <c r="AY123" s="1" t="s">
        <v>131</v>
      </c>
      <c r="AZ123" s="1">
        <v>4</v>
      </c>
      <c r="BA123" s="1" t="s">
        <v>395</v>
      </c>
      <c r="BB123" s="1" t="s">
        <v>396</v>
      </c>
      <c r="BC123" s="1">
        <v>2.3892277674524187E-3</v>
      </c>
    </row>
    <row r="124" spans="1:55" x14ac:dyDescent="0.35">
      <c r="A124" s="1" t="s">
        <v>132</v>
      </c>
      <c r="B124" s="1">
        <v>1</v>
      </c>
      <c r="C124" s="1">
        <v>1</v>
      </c>
      <c r="D124" s="1">
        <v>1</v>
      </c>
      <c r="E124" s="1">
        <v>1.0182579991628851</v>
      </c>
      <c r="F124" s="1">
        <v>1</v>
      </c>
      <c r="G124" s="1">
        <v>1</v>
      </c>
      <c r="H124" s="1">
        <v>0.99998676315681356</v>
      </c>
      <c r="I124" s="1">
        <v>1</v>
      </c>
      <c r="J124" s="1">
        <v>1</v>
      </c>
      <c r="K124" s="1">
        <v>1</v>
      </c>
      <c r="L124" s="1">
        <v>1</v>
      </c>
      <c r="M124" s="1">
        <v>0.99997749484758525</v>
      </c>
      <c r="N124" s="1">
        <v>1</v>
      </c>
      <c r="O124" s="1">
        <v>1</v>
      </c>
      <c r="P124" s="1">
        <v>1</v>
      </c>
      <c r="Q124" s="1">
        <v>1</v>
      </c>
      <c r="S124" s="1">
        <f t="shared" si="150"/>
        <v>100</v>
      </c>
      <c r="T124" s="1">
        <f t="shared" si="152"/>
        <v>100</v>
      </c>
      <c r="U124" s="1">
        <f t="shared" si="153"/>
        <v>101.8257999162885</v>
      </c>
      <c r="V124" s="1">
        <f t="shared" si="154"/>
        <v>101.8257999162885</v>
      </c>
      <c r="W124" s="1">
        <f t="shared" si="155"/>
        <v>101.8257999162885</v>
      </c>
      <c r="X124" s="1">
        <f t="shared" si="156"/>
        <v>101.82445206414268</v>
      </c>
      <c r="Y124" s="1">
        <f t="shared" si="157"/>
        <v>101.82445206414268</v>
      </c>
      <c r="Z124" s="1">
        <f t="shared" si="158"/>
        <v>101.82445206414268</v>
      </c>
      <c r="AA124" s="1">
        <f t="shared" si="159"/>
        <v>101.82445206414268</v>
      </c>
      <c r="AB124" s="1">
        <f t="shared" si="160"/>
        <v>101.82445206414268</v>
      </c>
      <c r="AC124" s="1">
        <f t="shared" si="161"/>
        <v>101.82216048932942</v>
      </c>
      <c r="AD124" s="1">
        <f t="shared" si="162"/>
        <v>101.82216048932942</v>
      </c>
      <c r="AE124" s="1">
        <f t="shared" si="163"/>
        <v>101.52033175401978</v>
      </c>
      <c r="AF124" s="1">
        <f t="shared" si="164"/>
        <v>0.98502436184208408</v>
      </c>
      <c r="AH124" s="1" t="str">
        <f t="shared" si="165"/>
        <v>C2392.37350</v>
      </c>
      <c r="AI124" s="1">
        <f t="shared" si="232"/>
        <v>98.502436184208406</v>
      </c>
      <c r="AJ124" s="1">
        <f t="shared" si="233"/>
        <v>98.502436184208406</v>
      </c>
      <c r="AK124" s="1">
        <f t="shared" si="234"/>
        <v>100.30089358160183</v>
      </c>
      <c r="AL124" s="1">
        <f t="shared" si="235"/>
        <v>100.30089358160183</v>
      </c>
      <c r="AM124" s="1">
        <f t="shared" si="236"/>
        <v>100.30089358160183</v>
      </c>
      <c r="AN124" s="1">
        <f t="shared" si="237"/>
        <v>100.29956591440202</v>
      </c>
      <c r="AO124" s="1">
        <f t="shared" si="238"/>
        <v>100.29956591440202</v>
      </c>
      <c r="AP124" s="1">
        <f t="shared" si="239"/>
        <v>100.29956591440202</v>
      </c>
      <c r="AQ124" s="1">
        <f t="shared" si="240"/>
        <v>100.29956591440202</v>
      </c>
      <c r="AR124" s="1">
        <f t="shared" si="241"/>
        <v>100.29956591440202</v>
      </c>
      <c r="AS124" s="1">
        <f t="shared" si="242"/>
        <v>100.29730865738398</v>
      </c>
      <c r="AT124" s="1">
        <f t="shared" si="243"/>
        <v>100.29730865738398</v>
      </c>
      <c r="AU124" s="1">
        <f t="shared" ref="AU124:AW124" si="246">AT124*O124</f>
        <v>100.29730865738398</v>
      </c>
      <c r="AV124" s="1">
        <f t="shared" si="246"/>
        <v>100.29730865738398</v>
      </c>
      <c r="AW124" s="1">
        <f t="shared" si="246"/>
        <v>100.29730865738398</v>
      </c>
      <c r="AX124" s="1" t="b">
        <f t="shared" si="245"/>
        <v>1</v>
      </c>
      <c r="AY124" s="1" t="s">
        <v>132</v>
      </c>
      <c r="AZ124" s="1">
        <v>4</v>
      </c>
      <c r="BA124" s="1" t="s">
        <v>397</v>
      </c>
      <c r="BB124" s="1" t="s">
        <v>398</v>
      </c>
      <c r="BC124" s="1">
        <v>4.1959682970845683E-3</v>
      </c>
    </row>
    <row r="125" spans="1:55" x14ac:dyDescent="0.35">
      <c r="A125" s="1" t="s">
        <v>133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  <c r="G125" s="1">
        <v>1</v>
      </c>
      <c r="H125" s="1">
        <v>0.99999506169181496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S125" s="1">
        <f t="shared" si="150"/>
        <v>100</v>
      </c>
      <c r="T125" s="1">
        <f t="shared" si="152"/>
        <v>100</v>
      </c>
      <c r="U125" s="1">
        <f t="shared" si="153"/>
        <v>100</v>
      </c>
      <c r="V125" s="1">
        <f t="shared" si="154"/>
        <v>100</v>
      </c>
      <c r="W125" s="1">
        <f t="shared" si="155"/>
        <v>100</v>
      </c>
      <c r="X125" s="1">
        <f t="shared" si="156"/>
        <v>99.999506169181501</v>
      </c>
      <c r="Y125" s="1">
        <f t="shared" si="157"/>
        <v>99.999506169181501</v>
      </c>
      <c r="Z125" s="1">
        <f t="shared" si="158"/>
        <v>99.999506169181501</v>
      </c>
      <c r="AA125" s="1">
        <f t="shared" si="159"/>
        <v>99.999506169181501</v>
      </c>
      <c r="AB125" s="1">
        <f t="shared" si="160"/>
        <v>99.999506169181501</v>
      </c>
      <c r="AC125" s="1">
        <f t="shared" si="161"/>
        <v>99.999506169181501</v>
      </c>
      <c r="AD125" s="1">
        <f t="shared" si="162"/>
        <v>99.999506169181501</v>
      </c>
      <c r="AE125" s="1">
        <f t="shared" si="163"/>
        <v>99.999711932022535</v>
      </c>
      <c r="AF125" s="1">
        <f t="shared" si="164"/>
        <v>1.000002880688073</v>
      </c>
      <c r="AH125" s="1" t="str">
        <f t="shared" si="165"/>
        <v>C2392.37370</v>
      </c>
      <c r="AI125" s="1">
        <f t="shared" si="232"/>
        <v>100.00028806880729</v>
      </c>
      <c r="AJ125" s="1">
        <f t="shared" si="233"/>
        <v>100.00028806880729</v>
      </c>
      <c r="AK125" s="1">
        <f t="shared" si="234"/>
        <v>100.00028806880729</v>
      </c>
      <c r="AL125" s="1">
        <f t="shared" si="235"/>
        <v>100.00028806880729</v>
      </c>
      <c r="AM125" s="1">
        <f t="shared" si="236"/>
        <v>100.00028806880729</v>
      </c>
      <c r="AN125" s="1">
        <f t="shared" si="237"/>
        <v>99.999794236566231</v>
      </c>
      <c r="AO125" s="1">
        <f t="shared" si="238"/>
        <v>99.999794236566231</v>
      </c>
      <c r="AP125" s="1">
        <f t="shared" si="239"/>
        <v>99.999794236566231</v>
      </c>
      <c r="AQ125" s="1">
        <f t="shared" si="240"/>
        <v>99.999794236566231</v>
      </c>
      <c r="AR125" s="1">
        <f t="shared" si="241"/>
        <v>99.999794236566231</v>
      </c>
      <c r="AS125" s="1">
        <f t="shared" si="242"/>
        <v>99.999794236566231</v>
      </c>
      <c r="AT125" s="1">
        <f t="shared" si="243"/>
        <v>99.999794236566231</v>
      </c>
      <c r="AU125" s="1">
        <f t="shared" ref="AU125:AW125" si="247">AT125*O125</f>
        <v>99.999794236566231</v>
      </c>
      <c r="AV125" s="1">
        <f t="shared" si="247"/>
        <v>99.999794236566231</v>
      </c>
      <c r="AW125" s="1">
        <f t="shared" si="247"/>
        <v>99.999794236566231</v>
      </c>
      <c r="AX125" s="1" t="b">
        <f t="shared" si="245"/>
        <v>1</v>
      </c>
      <c r="AY125" s="1" t="s">
        <v>133</v>
      </c>
      <c r="AZ125" s="1">
        <v>4</v>
      </c>
      <c r="BA125" s="1" t="s">
        <v>399</v>
      </c>
      <c r="BB125" s="1" t="s">
        <v>400</v>
      </c>
      <c r="BC125" s="1">
        <v>4.1959682970845683E-3</v>
      </c>
    </row>
    <row r="126" spans="1:55" x14ac:dyDescent="0.35">
      <c r="A126" s="1" t="s">
        <v>134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1.0000114867930641</v>
      </c>
      <c r="L126" s="1">
        <v>1</v>
      </c>
      <c r="M126" s="1">
        <v>1</v>
      </c>
      <c r="N126" s="1">
        <v>1</v>
      </c>
      <c r="O126" s="1">
        <v>1</v>
      </c>
      <c r="P126" s="1">
        <v>1.0000015951080321</v>
      </c>
      <c r="Q126" s="1">
        <v>1</v>
      </c>
      <c r="S126" s="1">
        <f t="shared" si="150"/>
        <v>100</v>
      </c>
      <c r="T126" s="1">
        <f t="shared" si="152"/>
        <v>100</v>
      </c>
      <c r="U126" s="1">
        <f t="shared" si="153"/>
        <v>100</v>
      </c>
      <c r="V126" s="1">
        <f t="shared" si="154"/>
        <v>100</v>
      </c>
      <c r="W126" s="1">
        <f t="shared" si="155"/>
        <v>100</v>
      </c>
      <c r="X126" s="1">
        <f t="shared" si="156"/>
        <v>100</v>
      </c>
      <c r="Y126" s="1">
        <f t="shared" si="157"/>
        <v>100</v>
      </c>
      <c r="Z126" s="1">
        <f t="shared" si="158"/>
        <v>100</v>
      </c>
      <c r="AA126" s="1">
        <f t="shared" si="159"/>
        <v>100.00114867930641</v>
      </c>
      <c r="AB126" s="1">
        <f t="shared" si="160"/>
        <v>100.00114867930641</v>
      </c>
      <c r="AC126" s="1">
        <f t="shared" si="161"/>
        <v>100.00114867930641</v>
      </c>
      <c r="AD126" s="1">
        <f t="shared" si="162"/>
        <v>100.00114867930641</v>
      </c>
      <c r="AE126" s="1">
        <f t="shared" si="163"/>
        <v>100.00038289310214</v>
      </c>
      <c r="AF126" s="1">
        <f t="shared" si="164"/>
        <v>0.99999617108363925</v>
      </c>
      <c r="AH126" s="1" t="str">
        <f t="shared" si="165"/>
        <v>C2394.37440</v>
      </c>
      <c r="AI126" s="1">
        <f t="shared" si="232"/>
        <v>99.999617108363921</v>
      </c>
      <c r="AJ126" s="1">
        <f t="shared" si="233"/>
        <v>99.999617108363921</v>
      </c>
      <c r="AK126" s="1">
        <f t="shared" si="234"/>
        <v>99.999617108363921</v>
      </c>
      <c r="AL126" s="1">
        <f t="shared" si="235"/>
        <v>99.999617108363921</v>
      </c>
      <c r="AM126" s="1">
        <f t="shared" si="236"/>
        <v>99.999617108363921</v>
      </c>
      <c r="AN126" s="1">
        <f t="shared" si="237"/>
        <v>99.999617108363921</v>
      </c>
      <c r="AO126" s="1">
        <f t="shared" si="238"/>
        <v>99.999617108363921</v>
      </c>
      <c r="AP126" s="1">
        <f t="shared" si="239"/>
        <v>99.999617108363921</v>
      </c>
      <c r="AQ126" s="1">
        <f t="shared" si="240"/>
        <v>100.00076578327214</v>
      </c>
      <c r="AR126" s="1">
        <f t="shared" si="241"/>
        <v>100.00076578327214</v>
      </c>
      <c r="AS126" s="1">
        <f t="shared" si="242"/>
        <v>100.00076578327214</v>
      </c>
      <c r="AT126" s="1">
        <f t="shared" si="243"/>
        <v>100.00076578327214</v>
      </c>
      <c r="AU126" s="1">
        <f t="shared" ref="AU126:AW126" si="248">AT126*O126</f>
        <v>100.00076578327214</v>
      </c>
      <c r="AV126" s="1">
        <f t="shared" si="248"/>
        <v>100.00092529529687</v>
      </c>
      <c r="AW126" s="1">
        <f t="shared" si="248"/>
        <v>100.00092529529687</v>
      </c>
      <c r="AX126" s="1" t="b">
        <f t="shared" si="245"/>
        <v>1</v>
      </c>
      <c r="AY126" s="1" t="s">
        <v>134</v>
      </c>
      <c r="AZ126" s="1">
        <v>4</v>
      </c>
      <c r="BA126" s="1" t="s">
        <v>401</v>
      </c>
      <c r="BB126" s="1" t="s">
        <v>402</v>
      </c>
      <c r="BC126" s="1">
        <v>4.3949921110845391E-2</v>
      </c>
    </row>
    <row r="127" spans="1:55" x14ac:dyDescent="0.35">
      <c r="A127" s="1" t="s">
        <v>135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0.99999999478598312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0.99999548210035971</v>
      </c>
      <c r="S127" s="1">
        <f t="shared" si="150"/>
        <v>100</v>
      </c>
      <c r="T127" s="1">
        <f t="shared" si="152"/>
        <v>100</v>
      </c>
      <c r="U127" s="1">
        <f t="shared" si="153"/>
        <v>100</v>
      </c>
      <c r="V127" s="1">
        <f t="shared" si="154"/>
        <v>100</v>
      </c>
      <c r="W127" s="1">
        <f t="shared" si="155"/>
        <v>99.999999478598312</v>
      </c>
      <c r="X127" s="1">
        <f t="shared" si="156"/>
        <v>99.999999478598312</v>
      </c>
      <c r="Y127" s="1">
        <f t="shared" si="157"/>
        <v>99.999999478598312</v>
      </c>
      <c r="Z127" s="1">
        <f t="shared" si="158"/>
        <v>99.999999478598312</v>
      </c>
      <c r="AA127" s="1">
        <f t="shared" si="159"/>
        <v>99.999999478598312</v>
      </c>
      <c r="AB127" s="1">
        <f t="shared" si="160"/>
        <v>99.999999478598312</v>
      </c>
      <c r="AC127" s="1">
        <f t="shared" si="161"/>
        <v>99.999999478598312</v>
      </c>
      <c r="AD127" s="1">
        <f t="shared" si="162"/>
        <v>99.999999478598312</v>
      </c>
      <c r="AE127" s="1">
        <f t="shared" si="163"/>
        <v>99.999999652398856</v>
      </c>
      <c r="AF127" s="1">
        <f t="shared" si="164"/>
        <v>1.0000000034760115</v>
      </c>
      <c r="AH127" s="1" t="str">
        <f t="shared" si="165"/>
        <v>C2395.37510</v>
      </c>
      <c r="AI127" s="1">
        <f t="shared" si="232"/>
        <v>100.00000034760114</v>
      </c>
      <c r="AJ127" s="1">
        <f t="shared" si="233"/>
        <v>100.00000034760114</v>
      </c>
      <c r="AK127" s="1">
        <f t="shared" si="234"/>
        <v>100.00000034760114</v>
      </c>
      <c r="AL127" s="1">
        <f t="shared" si="235"/>
        <v>100.00000034760114</v>
      </c>
      <c r="AM127" s="1">
        <f t="shared" si="236"/>
        <v>99.999999826199456</v>
      </c>
      <c r="AN127" s="1">
        <f t="shared" si="237"/>
        <v>99.999999826199456</v>
      </c>
      <c r="AO127" s="1">
        <f t="shared" si="238"/>
        <v>99.999999826199456</v>
      </c>
      <c r="AP127" s="1">
        <f t="shared" si="239"/>
        <v>99.999999826199456</v>
      </c>
      <c r="AQ127" s="1">
        <f t="shared" si="240"/>
        <v>99.999999826199456</v>
      </c>
      <c r="AR127" s="1">
        <f t="shared" si="241"/>
        <v>99.999999826199456</v>
      </c>
      <c r="AS127" s="1">
        <f t="shared" si="242"/>
        <v>99.999999826199456</v>
      </c>
      <c r="AT127" s="1">
        <f t="shared" si="243"/>
        <v>99.999999826199456</v>
      </c>
      <c r="AU127" s="1">
        <f t="shared" ref="AU127:AW127" si="249">AT127*O127</f>
        <v>99.999999826199456</v>
      </c>
      <c r="AV127" s="1">
        <f t="shared" si="249"/>
        <v>99.999999826199456</v>
      </c>
      <c r="AW127" s="1">
        <f t="shared" si="249"/>
        <v>99.999548036236206</v>
      </c>
      <c r="AX127" s="1" t="b">
        <f t="shared" si="245"/>
        <v>1</v>
      </c>
      <c r="AY127" s="1" t="s">
        <v>135</v>
      </c>
      <c r="AZ127" s="1">
        <v>4</v>
      </c>
      <c r="BA127" s="1" t="s">
        <v>403</v>
      </c>
      <c r="BB127" s="1" t="s">
        <v>404</v>
      </c>
      <c r="BC127" s="1">
        <v>5.1360703781434015E-3</v>
      </c>
    </row>
    <row r="128" spans="1:55" x14ac:dyDescent="0.35">
      <c r="A128" s="1" t="s">
        <v>136</v>
      </c>
      <c r="B128" s="1">
        <v>1</v>
      </c>
      <c r="C128" s="1">
        <v>1</v>
      </c>
      <c r="D128" s="1">
        <v>1.0015029254846823</v>
      </c>
      <c r="E128" s="1">
        <v>0.99825207017940321</v>
      </c>
      <c r="F128" s="1">
        <v>1</v>
      </c>
      <c r="G128" s="1">
        <v>1.0003988696016231</v>
      </c>
      <c r="H128" s="1">
        <v>1.0000327282202222</v>
      </c>
      <c r="I128" s="1">
        <v>1.0000638162912112</v>
      </c>
      <c r="J128" s="1">
        <v>1</v>
      </c>
      <c r="K128" s="1">
        <v>1</v>
      </c>
      <c r="L128" s="1">
        <v>1.0146679481839236</v>
      </c>
      <c r="M128" s="1">
        <v>1</v>
      </c>
      <c r="N128" s="1">
        <v>1</v>
      </c>
      <c r="O128" s="1">
        <v>1.0024373122350523</v>
      </c>
      <c r="P128" s="1">
        <v>1.0220219630990448</v>
      </c>
      <c r="Q128" s="1">
        <v>1</v>
      </c>
      <c r="S128" s="1">
        <f t="shared" si="150"/>
        <v>100</v>
      </c>
      <c r="T128" s="1">
        <f t="shared" si="152"/>
        <v>100.15029254846823</v>
      </c>
      <c r="U128" s="1">
        <f t="shared" si="153"/>
        <v>99.975236865581266</v>
      </c>
      <c r="V128" s="1">
        <f t="shared" si="154"/>
        <v>99.975236865581266</v>
      </c>
      <c r="W128" s="1">
        <f t="shared" si="155"/>
        <v>100.01511394848201</v>
      </c>
      <c r="X128" s="1">
        <f t="shared" si="156"/>
        <v>100.01838726515686</v>
      </c>
      <c r="Y128" s="1">
        <f t="shared" si="157"/>
        <v>100.02477006768505</v>
      </c>
      <c r="Z128" s="1">
        <f t="shared" si="158"/>
        <v>100.02477006768505</v>
      </c>
      <c r="AA128" s="1">
        <f t="shared" si="159"/>
        <v>100.02477006768505</v>
      </c>
      <c r="AB128" s="1">
        <f t="shared" si="160"/>
        <v>101.49192821214673</v>
      </c>
      <c r="AC128" s="1">
        <f t="shared" si="161"/>
        <v>101.49192821214673</v>
      </c>
      <c r="AD128" s="1">
        <f t="shared" si="162"/>
        <v>101.49192821214673</v>
      </c>
      <c r="AE128" s="1">
        <f t="shared" si="163"/>
        <v>100.39036352773041</v>
      </c>
      <c r="AF128" s="1">
        <f t="shared" si="164"/>
        <v>0.99611154383734668</v>
      </c>
      <c r="AH128" s="1" t="str">
        <f t="shared" si="165"/>
        <v>C2395.37540</v>
      </c>
      <c r="AI128" s="1">
        <f t="shared" si="232"/>
        <v>99.611154383734672</v>
      </c>
      <c r="AJ128" s="1">
        <f t="shared" si="233"/>
        <v>99.760862526216599</v>
      </c>
      <c r="AK128" s="1">
        <f t="shared" si="234"/>
        <v>99.586487539678572</v>
      </c>
      <c r="AL128" s="1">
        <f t="shared" si="235"/>
        <v>99.586487539678572</v>
      </c>
      <c r="AM128" s="1">
        <f t="shared" si="236"/>
        <v>99.626209562290555</v>
      </c>
      <c r="AN128" s="1">
        <f t="shared" si="237"/>
        <v>99.629470150817014</v>
      </c>
      <c r="AO128" s="1">
        <f t="shared" si="238"/>
        <v>99.63582813409738</v>
      </c>
      <c r="AP128" s="1">
        <f t="shared" si="239"/>
        <v>99.63582813409738</v>
      </c>
      <c r="AQ128" s="1">
        <f t="shared" si="240"/>
        <v>99.63582813409738</v>
      </c>
      <c r="AR128" s="1">
        <f t="shared" si="241"/>
        <v>101.09728129843064</v>
      </c>
      <c r="AS128" s="1">
        <f t="shared" si="242"/>
        <v>101.09728129843064</v>
      </c>
      <c r="AT128" s="1">
        <f t="shared" si="243"/>
        <v>101.09728129843064</v>
      </c>
      <c r="AU128" s="1">
        <f t="shared" ref="AU128:AW128" si="250">AT128*O128</f>
        <v>101.34368693906983</v>
      </c>
      <c r="AV128" s="1">
        <f t="shared" si="250"/>
        <v>103.57547387316318</v>
      </c>
      <c r="AW128" s="1">
        <f t="shared" si="250"/>
        <v>103.57547387316318</v>
      </c>
      <c r="AX128" s="1" t="b">
        <f t="shared" si="245"/>
        <v>1</v>
      </c>
      <c r="AY128" s="1" t="s">
        <v>136</v>
      </c>
      <c r="AZ128" s="1">
        <v>4</v>
      </c>
      <c r="BA128" s="1" t="s">
        <v>405</v>
      </c>
      <c r="BB128" s="1" t="s">
        <v>406</v>
      </c>
      <c r="BC128" s="1">
        <v>4.2022394002991462E-3</v>
      </c>
    </row>
    <row r="129" spans="1:55" x14ac:dyDescent="0.35">
      <c r="A129" s="1" t="s">
        <v>137</v>
      </c>
      <c r="B129" s="2">
        <v>1</v>
      </c>
      <c r="C129" s="1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1">
        <v>1</v>
      </c>
      <c r="O129" s="1">
        <v>1</v>
      </c>
      <c r="P129" s="1">
        <v>1</v>
      </c>
      <c r="Q129" s="1">
        <v>1.005037766193005</v>
      </c>
      <c r="S129" s="1">
        <f t="shared" si="150"/>
        <v>100</v>
      </c>
      <c r="T129" s="1">
        <f t="shared" si="152"/>
        <v>100</v>
      </c>
      <c r="U129" s="1">
        <f t="shared" si="153"/>
        <v>100</v>
      </c>
      <c r="V129" s="1">
        <f t="shared" si="154"/>
        <v>100</v>
      </c>
      <c r="W129" s="1">
        <f t="shared" si="155"/>
        <v>100</v>
      </c>
      <c r="X129" s="1">
        <f t="shared" si="156"/>
        <v>100</v>
      </c>
      <c r="Y129" s="1">
        <f t="shared" si="157"/>
        <v>100</v>
      </c>
      <c r="Z129" s="1">
        <f t="shared" si="158"/>
        <v>100</v>
      </c>
      <c r="AA129" s="1">
        <f t="shared" si="159"/>
        <v>100</v>
      </c>
      <c r="AB129" s="1">
        <f t="shared" si="160"/>
        <v>100</v>
      </c>
      <c r="AC129" s="1">
        <f t="shared" si="161"/>
        <v>100</v>
      </c>
      <c r="AD129" s="1">
        <f t="shared" si="162"/>
        <v>100</v>
      </c>
      <c r="AE129" s="1">
        <f t="shared" si="163"/>
        <v>100</v>
      </c>
      <c r="AF129" s="1">
        <f t="shared" si="164"/>
        <v>1</v>
      </c>
      <c r="AH129" s="1" t="str">
        <f t="shared" si="165"/>
        <v>C2410.41211</v>
      </c>
      <c r="AI129" s="1">
        <f t="shared" si="232"/>
        <v>100</v>
      </c>
      <c r="AJ129" s="1">
        <f t="shared" si="233"/>
        <v>100</v>
      </c>
      <c r="AK129" s="1">
        <f t="shared" si="234"/>
        <v>100</v>
      </c>
      <c r="AL129" s="1">
        <f t="shared" si="235"/>
        <v>100</v>
      </c>
      <c r="AM129" s="1">
        <f t="shared" si="236"/>
        <v>100</v>
      </c>
      <c r="AN129" s="1">
        <f t="shared" si="237"/>
        <v>100</v>
      </c>
      <c r="AO129" s="1">
        <f t="shared" si="238"/>
        <v>100</v>
      </c>
      <c r="AP129" s="1">
        <f t="shared" si="239"/>
        <v>100</v>
      </c>
      <c r="AQ129" s="1">
        <f t="shared" si="240"/>
        <v>100</v>
      </c>
      <c r="AR129" s="1">
        <f t="shared" si="241"/>
        <v>100</v>
      </c>
      <c r="AS129" s="1">
        <f t="shared" si="242"/>
        <v>100</v>
      </c>
      <c r="AT129" s="1">
        <f t="shared" si="243"/>
        <v>100</v>
      </c>
      <c r="AU129" s="1">
        <f t="shared" ref="AU129:AW129" si="251">AT129*O129</f>
        <v>100</v>
      </c>
      <c r="AV129" s="1">
        <f t="shared" si="251"/>
        <v>100</v>
      </c>
      <c r="AW129" s="1">
        <f t="shared" si="251"/>
        <v>100.5037766193005</v>
      </c>
      <c r="AX129" s="1" t="b">
        <f t="shared" si="245"/>
        <v>1</v>
      </c>
      <c r="AY129" s="1" t="s">
        <v>137</v>
      </c>
      <c r="AZ129" s="1">
        <v>4</v>
      </c>
      <c r="BA129" s="1" t="s">
        <v>407</v>
      </c>
      <c r="BB129" s="1" t="s">
        <v>408</v>
      </c>
      <c r="BC129" s="1">
        <v>8.2009257520379419E-3</v>
      </c>
    </row>
    <row r="130" spans="1:55" x14ac:dyDescent="0.35">
      <c r="A130" s="1" t="s">
        <v>138</v>
      </c>
      <c r="B130" s="1">
        <v>1.0000092134843834</v>
      </c>
      <c r="C130" s="1">
        <v>1</v>
      </c>
      <c r="D130" s="1">
        <v>0.99465659147833374</v>
      </c>
      <c r="E130" s="1">
        <v>0.98576160938030011</v>
      </c>
      <c r="F130" s="1">
        <v>0.99985988010608995</v>
      </c>
      <c r="G130" s="1">
        <v>1.0094614802372663</v>
      </c>
      <c r="H130" s="1">
        <v>0.98800275251991532</v>
      </c>
      <c r="I130" s="1">
        <v>0.99736525345903082</v>
      </c>
      <c r="J130" s="1">
        <v>1</v>
      </c>
      <c r="K130" s="1">
        <v>0.99999981884544853</v>
      </c>
      <c r="L130" s="1">
        <v>1.0006281660018721</v>
      </c>
      <c r="M130" s="1">
        <v>0.99757676438839993</v>
      </c>
      <c r="N130" s="1">
        <v>0.99085993151824159</v>
      </c>
      <c r="O130" s="1">
        <v>1.0015481747804413</v>
      </c>
      <c r="P130" s="1">
        <v>1.0010171880839258</v>
      </c>
      <c r="Q130" s="1">
        <v>1</v>
      </c>
      <c r="S130" s="1">
        <f t="shared" si="150"/>
        <v>100</v>
      </c>
      <c r="T130" s="1">
        <f t="shared" si="152"/>
        <v>99.465659147833378</v>
      </c>
      <c r="U130" s="1">
        <f t="shared" si="153"/>
        <v>98.049428239640605</v>
      </c>
      <c r="V130" s="1">
        <f t="shared" si="154"/>
        <v>98.035689564157721</v>
      </c>
      <c r="W130" s="1">
        <f t="shared" si="155"/>
        <v>98.963252303515773</v>
      </c>
      <c r="X130" s="1">
        <f t="shared" si="156"/>
        <v>97.775965674196428</v>
      </c>
      <c r="Y130" s="1">
        <f t="shared" si="157"/>
        <v>97.518350786846412</v>
      </c>
      <c r="Z130" s="1">
        <f t="shared" si="158"/>
        <v>97.518350786846412</v>
      </c>
      <c r="AA130" s="1">
        <f t="shared" si="159"/>
        <v>97.518333120953315</v>
      </c>
      <c r="AB130" s="1">
        <f t="shared" si="160"/>
        <v>97.579590822379132</v>
      </c>
      <c r="AC130" s="1">
        <f t="shared" si="161"/>
        <v>97.343132482932972</v>
      </c>
      <c r="AD130" s="1">
        <f t="shared" si="162"/>
        <v>96.453409585810078</v>
      </c>
      <c r="AE130" s="1">
        <f t="shared" si="163"/>
        <v>98.018430209592694</v>
      </c>
      <c r="AF130" s="1">
        <f t="shared" si="164"/>
        <v>1.0202162979571303</v>
      </c>
      <c r="AH130" s="1" t="str">
        <f t="shared" si="165"/>
        <v>C2410.41231</v>
      </c>
      <c r="AI130" s="1">
        <f t="shared" si="232"/>
        <v>102.02162979571303</v>
      </c>
      <c r="AJ130" s="1">
        <f t="shared" si="233"/>
        <v>101.47648654966834</v>
      </c>
      <c r="AK130" s="1">
        <f t="shared" si="234"/>
        <v>100.03162469545944</v>
      </c>
      <c r="AL130" s="1">
        <f t="shared" si="235"/>
        <v>100.01760827481947</v>
      </c>
      <c r="AM130" s="1">
        <f t="shared" si="236"/>
        <v>100.96392289889032</v>
      </c>
      <c r="AN130" s="1">
        <f t="shared" si="237"/>
        <v>99.752633729312123</v>
      </c>
      <c r="AO130" s="1">
        <f t="shared" si="238"/>
        <v>99.489810822641246</v>
      </c>
      <c r="AP130" s="1">
        <f t="shared" si="239"/>
        <v>99.489810822641246</v>
      </c>
      <c r="AQ130" s="1">
        <f t="shared" si="240"/>
        <v>99.489792799609191</v>
      </c>
      <c r="AR130" s="1">
        <f t="shared" si="241"/>
        <v>99.552288904979207</v>
      </c>
      <c r="AS130" s="1">
        <f t="shared" si="242"/>
        <v>99.311050253288357</v>
      </c>
      <c r="AT130" s="1">
        <f t="shared" si="243"/>
        <v>98.403340452977943</v>
      </c>
      <c r="AU130" s="1">
        <f t="shared" ref="AU130:AW130" si="252">AT130*O130</f>
        <v>98.555686022978421</v>
      </c>
      <c r="AV130" s="1">
        <f t="shared" si="252"/>
        <v>98.655935692404128</v>
      </c>
      <c r="AW130" s="1">
        <f t="shared" si="252"/>
        <v>98.655935692404128</v>
      </c>
      <c r="AX130" s="1" t="b">
        <f t="shared" si="245"/>
        <v>1</v>
      </c>
      <c r="AY130" s="1" t="s">
        <v>138</v>
      </c>
      <c r="AZ130" s="1">
        <v>4</v>
      </c>
      <c r="BA130" s="1" t="s">
        <v>409</v>
      </c>
      <c r="BB130" s="1" t="s">
        <v>410</v>
      </c>
      <c r="BC130" s="1">
        <v>8.2009257520379419E-3</v>
      </c>
    </row>
    <row r="131" spans="1:55" x14ac:dyDescent="0.35">
      <c r="A131" s="1" t="s">
        <v>139</v>
      </c>
      <c r="B131" s="1">
        <v>1.0074675941860567</v>
      </c>
      <c r="C131" s="1">
        <v>1</v>
      </c>
      <c r="D131" s="1">
        <v>1</v>
      </c>
      <c r="E131" s="1">
        <v>0.9938218990495975</v>
      </c>
      <c r="F131" s="1">
        <v>1</v>
      </c>
      <c r="G131" s="1">
        <v>0.99376481823909735</v>
      </c>
      <c r="H131" s="1">
        <v>0.99997091957158224</v>
      </c>
      <c r="I131" s="1">
        <v>1</v>
      </c>
      <c r="J131" s="1">
        <v>1</v>
      </c>
      <c r="K131" s="1">
        <v>1.0159126067715913</v>
      </c>
      <c r="L131" s="1">
        <v>0.99536291687191425</v>
      </c>
      <c r="M131" s="1">
        <v>1</v>
      </c>
      <c r="N131" s="1">
        <v>0.98995339077264144</v>
      </c>
      <c r="O131" s="1">
        <v>1</v>
      </c>
      <c r="P131" s="1">
        <v>1</v>
      </c>
      <c r="Q131" s="1">
        <v>1.002516573705057</v>
      </c>
      <c r="S131" s="1">
        <f t="shared" si="150"/>
        <v>100</v>
      </c>
      <c r="T131" s="1">
        <f t="shared" si="152"/>
        <v>100</v>
      </c>
      <c r="U131" s="1">
        <f t="shared" si="153"/>
        <v>99.382189904959745</v>
      </c>
      <c r="V131" s="1">
        <f t="shared" si="154"/>
        <v>99.382189904959745</v>
      </c>
      <c r="W131" s="1">
        <f t="shared" si="155"/>
        <v>98.762523887105772</v>
      </c>
      <c r="X131" s="1">
        <f t="shared" si="156"/>
        <v>98.759651830599509</v>
      </c>
      <c r="Y131" s="1">
        <f t="shared" si="157"/>
        <v>98.759651830599509</v>
      </c>
      <c r="Z131" s="1">
        <f t="shared" si="158"/>
        <v>98.759651830599509</v>
      </c>
      <c r="AA131" s="1">
        <f t="shared" si="159"/>
        <v>100.33117533507911</v>
      </c>
      <c r="AB131" s="1">
        <f t="shared" si="160"/>
        <v>99.865931334711803</v>
      </c>
      <c r="AC131" s="1">
        <f t="shared" si="161"/>
        <v>99.865931334711803</v>
      </c>
      <c r="AD131" s="1">
        <f t="shared" si="162"/>
        <v>98.862617347465729</v>
      </c>
      <c r="AE131" s="1">
        <f t="shared" si="163"/>
        <v>99.394292878399355</v>
      </c>
      <c r="AF131" s="1">
        <f t="shared" si="164"/>
        <v>1.0060939829044477</v>
      </c>
      <c r="AH131" s="1" t="str">
        <f t="shared" si="165"/>
        <v>C2410.41241</v>
      </c>
      <c r="AI131" s="1">
        <f t="shared" si="232"/>
        <v>100.60939829044477</v>
      </c>
      <c r="AJ131" s="1">
        <f t="shared" si="233"/>
        <v>100.60939829044477</v>
      </c>
      <c r="AK131" s="1">
        <f t="shared" si="234"/>
        <v>99.987823271247152</v>
      </c>
      <c r="AL131" s="1">
        <f t="shared" si="235"/>
        <v>99.987823271247152</v>
      </c>
      <c r="AM131" s="1">
        <f t="shared" si="236"/>
        <v>99.364381019273907</v>
      </c>
      <c r="AN131" s="1">
        <f t="shared" si="237"/>
        <v>99.361491460504396</v>
      </c>
      <c r="AO131" s="1">
        <f t="shared" si="238"/>
        <v>99.361491460504396</v>
      </c>
      <c r="AP131" s="1">
        <f t="shared" si="239"/>
        <v>99.361491460504396</v>
      </c>
      <c r="AQ131" s="1">
        <f t="shared" si="240"/>
        <v>100.94259180235423</v>
      </c>
      <c r="AR131" s="1">
        <f t="shared" si="241"/>
        <v>100.47451261300229</v>
      </c>
      <c r="AS131" s="1">
        <f t="shared" si="242"/>
        <v>100.47451261300229</v>
      </c>
      <c r="AT131" s="1">
        <f t="shared" si="243"/>
        <v>99.465084447470147</v>
      </c>
      <c r="AU131" s="1">
        <f t="shared" ref="AU131:AW131" si="253">AT131*O131</f>
        <v>99.465084447470147</v>
      </c>
      <c r="AV131" s="1">
        <f t="shared" si="253"/>
        <v>99.465084447470147</v>
      </c>
      <c r="AW131" s="1">
        <f t="shared" si="253"/>
        <v>99.715395663561921</v>
      </c>
      <c r="AX131" s="1" t="b">
        <f t="shared" si="245"/>
        <v>1</v>
      </c>
      <c r="AY131" s="1" t="s">
        <v>139</v>
      </c>
      <c r="AZ131" s="1">
        <v>4</v>
      </c>
      <c r="BA131" s="1" t="s">
        <v>411</v>
      </c>
      <c r="BB131" s="1" t="s">
        <v>412</v>
      </c>
      <c r="BC131" s="1">
        <v>1.1183080570960829E-2</v>
      </c>
    </row>
    <row r="132" spans="1:55" x14ac:dyDescent="0.35">
      <c r="A132" s="1" t="s">
        <v>140</v>
      </c>
      <c r="B132" s="1">
        <v>1</v>
      </c>
      <c r="C132" s="1">
        <v>1</v>
      </c>
      <c r="D132" s="1">
        <v>1</v>
      </c>
      <c r="E132" s="1">
        <v>0.97537249352848099</v>
      </c>
      <c r="F132" s="1">
        <v>0.98820349651546535</v>
      </c>
      <c r="G132" s="1">
        <v>1.0131104336545271</v>
      </c>
      <c r="H132" s="1">
        <v>0.97044142872412598</v>
      </c>
      <c r="I132" s="1">
        <v>1.018245374654039</v>
      </c>
      <c r="J132" s="1">
        <v>1</v>
      </c>
      <c r="K132" s="1">
        <v>1.0414440635019075</v>
      </c>
      <c r="L132" s="1">
        <v>1.0110112632182116</v>
      </c>
      <c r="M132" s="1">
        <v>0.99942920541199498</v>
      </c>
      <c r="N132" s="1">
        <v>0.97480087846670183</v>
      </c>
      <c r="O132" s="1">
        <v>1</v>
      </c>
      <c r="P132" s="1">
        <v>1</v>
      </c>
      <c r="Q132" s="1">
        <v>1.010480045509534</v>
      </c>
      <c r="S132" s="1">
        <f t="shared" ref="S132:S150" si="254">C132*100</f>
        <v>100</v>
      </c>
      <c r="T132" s="1">
        <f t="shared" si="152"/>
        <v>100</v>
      </c>
      <c r="U132" s="1">
        <f t="shared" si="153"/>
        <v>97.537249352848093</v>
      </c>
      <c r="V132" s="1">
        <f t="shared" si="154"/>
        <v>96.386650850985291</v>
      </c>
      <c r="W132" s="1">
        <f t="shared" si="155"/>
        <v>97.650321642149208</v>
      </c>
      <c r="X132" s="1">
        <f t="shared" si="156"/>
        <v>94.763917649777724</v>
      </c>
      <c r="Y132" s="1">
        <f t="shared" si="157"/>
        <v>96.492920830982413</v>
      </c>
      <c r="Z132" s="1">
        <f t="shared" si="158"/>
        <v>96.492920830982413</v>
      </c>
      <c r="AA132" s="1">
        <f t="shared" si="159"/>
        <v>100.49197956938619</v>
      </c>
      <c r="AB132" s="1">
        <f t="shared" si="160"/>
        <v>101.59852320774384</v>
      </c>
      <c r="AC132" s="1">
        <f t="shared" si="161"/>
        <v>101.54053132054756</v>
      </c>
      <c r="AD132" s="1">
        <f t="shared" si="162"/>
        <v>98.98179913124541</v>
      </c>
      <c r="AE132" s="1">
        <f t="shared" si="163"/>
        <v>98.494734532220676</v>
      </c>
      <c r="AF132" s="1">
        <f t="shared" si="164"/>
        <v>1.0152826998816562</v>
      </c>
      <c r="AH132" s="1" t="str">
        <f t="shared" si="165"/>
        <v>C2410.41242</v>
      </c>
      <c r="AI132" s="1">
        <f t="shared" si="232"/>
        <v>101.52826998816562</v>
      </c>
      <c r="AJ132" s="1">
        <f t="shared" si="233"/>
        <v>101.52826998816562</v>
      </c>
      <c r="AK132" s="1">
        <f t="shared" si="234"/>
        <v>99.02788186198994</v>
      </c>
      <c r="AL132" s="1">
        <f t="shared" si="235"/>
        <v>97.859699108538877</v>
      </c>
      <c r="AM132" s="1">
        <f t="shared" si="236"/>
        <v>99.142682201153377</v>
      </c>
      <c r="AN132" s="1">
        <f t="shared" si="237"/>
        <v>96.212166162829263</v>
      </c>
      <c r="AO132" s="1">
        <f t="shared" si="238"/>
        <v>97.967593180746732</v>
      </c>
      <c r="AP132" s="1">
        <f t="shared" si="239"/>
        <v>97.967593180746732</v>
      </c>
      <c r="AQ132" s="1">
        <f t="shared" si="240"/>
        <v>102.02776833365864</v>
      </c>
      <c r="AR132" s="1">
        <f t="shared" si="241"/>
        <v>103.15122294634727</v>
      </c>
      <c r="AS132" s="1">
        <f t="shared" si="242"/>
        <v>103.09234478654339</v>
      </c>
      <c r="AT132" s="1">
        <f t="shared" si="243"/>
        <v>100.49450826111462</v>
      </c>
      <c r="AU132" s="1">
        <f t="shared" ref="AU132:AW132" si="255">AT132*O132</f>
        <v>100.49450826111462</v>
      </c>
      <c r="AV132" s="1">
        <f t="shared" si="255"/>
        <v>100.49450826111462</v>
      </c>
      <c r="AW132" s="1">
        <f t="shared" si="255"/>
        <v>101.54769528114933</v>
      </c>
      <c r="AX132" s="1" t="b">
        <f t="shared" si="245"/>
        <v>1</v>
      </c>
      <c r="AY132" s="1" t="s">
        <v>140</v>
      </c>
      <c r="AZ132" s="1">
        <v>4</v>
      </c>
      <c r="BA132" s="1" t="s">
        <v>413</v>
      </c>
      <c r="BB132" s="1" t="s">
        <v>414</v>
      </c>
      <c r="BC132" s="1">
        <v>3.7276935236536094E-3</v>
      </c>
    </row>
    <row r="133" spans="1:55" x14ac:dyDescent="0.35">
      <c r="A133" s="1" t="s">
        <v>141</v>
      </c>
      <c r="B133" s="1">
        <v>0.99547680554203644</v>
      </c>
      <c r="C133" s="1">
        <v>1</v>
      </c>
      <c r="D133" s="1">
        <v>0.98512966227109122</v>
      </c>
      <c r="E133" s="1">
        <v>0.96780278479174386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0.99975314371021595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S133" s="1">
        <f t="shared" si="254"/>
        <v>100</v>
      </c>
      <c r="T133" s="1">
        <f t="shared" ref="T133:T151" si="256">S133*D133</f>
        <v>98.512966227109118</v>
      </c>
      <c r="U133" s="1">
        <f t="shared" ref="U133:U151" si="257">T133*E133</f>
        <v>95.341123052691216</v>
      </c>
      <c r="V133" s="1">
        <f t="shared" ref="V133:V151" si="258">U133*F133</f>
        <v>95.341123052691216</v>
      </c>
      <c r="W133" s="1">
        <f t="shared" ref="W133:W151" si="259">V133*G133</f>
        <v>95.341123052691216</v>
      </c>
      <c r="X133" s="1">
        <f t="shared" ref="X133:X151" si="260">W133*H133</f>
        <v>95.341123052691216</v>
      </c>
      <c r="Y133" s="1">
        <f t="shared" ref="Y133:Y151" si="261">X133*I133</f>
        <v>95.341123052691216</v>
      </c>
      <c r="Z133" s="1">
        <f t="shared" ref="Z133:Z151" si="262">Y133*J133</f>
        <v>95.341123052691216</v>
      </c>
      <c r="AA133" s="1">
        <f t="shared" ref="AA133:AA151" si="263">Z133*K133</f>
        <v>95.341123052691216</v>
      </c>
      <c r="AB133" s="1">
        <f t="shared" ref="AB133:AB151" si="264">AA133*L133</f>
        <v>95.31758749679058</v>
      </c>
      <c r="AC133" s="1">
        <f t="shared" ref="AC133:AC151" si="265">AB133*M133</f>
        <v>95.31758749679058</v>
      </c>
      <c r="AD133" s="1">
        <f t="shared" ref="AD133:AD151" si="266">AC133*N133</f>
        <v>95.31758749679058</v>
      </c>
      <c r="AE133" s="1">
        <f t="shared" ref="AE133:AE151" si="267">AVERAGE(S133:AD133)</f>
        <v>95.987799173859955</v>
      </c>
      <c r="AF133" s="1">
        <f t="shared" ref="AF133:AF151" si="268">100/AE133</f>
        <v>1.0417990709305966</v>
      </c>
      <c r="AH133" s="1" t="str">
        <f t="shared" ref="AH133:AH151" si="269">A133</f>
        <v>C2410.41251</v>
      </c>
      <c r="AI133" s="1">
        <f t="shared" si="232"/>
        <v>104.17990709305967</v>
      </c>
      <c r="AJ133" s="1">
        <f t="shared" si="233"/>
        <v>102.63071669001953</v>
      </c>
      <c r="AK133" s="1">
        <f t="shared" si="234"/>
        <v>99.3262934177734</v>
      </c>
      <c r="AL133" s="1">
        <f t="shared" si="235"/>
        <v>99.3262934177734</v>
      </c>
      <c r="AM133" s="1">
        <f t="shared" si="236"/>
        <v>99.3262934177734</v>
      </c>
      <c r="AN133" s="1">
        <f t="shared" si="237"/>
        <v>99.3262934177734</v>
      </c>
      <c r="AO133" s="1">
        <f t="shared" si="238"/>
        <v>99.3262934177734</v>
      </c>
      <c r="AP133" s="1">
        <f t="shared" si="239"/>
        <v>99.3262934177734</v>
      </c>
      <c r="AQ133" s="1">
        <f t="shared" si="240"/>
        <v>99.3262934177734</v>
      </c>
      <c r="AR133" s="1">
        <f t="shared" si="241"/>
        <v>99.301774097502275</v>
      </c>
      <c r="AS133" s="1">
        <f t="shared" si="242"/>
        <v>99.301774097502275</v>
      </c>
      <c r="AT133" s="1">
        <f t="shared" si="243"/>
        <v>99.301774097502275</v>
      </c>
      <c r="AU133" s="1">
        <f t="shared" ref="AU133:AW133" si="270">AT133*O133</f>
        <v>99.301774097502275</v>
      </c>
      <c r="AV133" s="1">
        <f t="shared" si="270"/>
        <v>99.301774097502275</v>
      </c>
      <c r="AW133" s="1">
        <f t="shared" si="270"/>
        <v>99.301774097502275</v>
      </c>
      <c r="AX133" s="1" t="b">
        <f t="shared" si="245"/>
        <v>1</v>
      </c>
      <c r="AY133" s="1" t="s">
        <v>141</v>
      </c>
      <c r="AZ133" s="1">
        <v>4</v>
      </c>
      <c r="BA133" s="1" t="s">
        <v>415</v>
      </c>
      <c r="BB133" s="1" t="s">
        <v>416</v>
      </c>
      <c r="BC133" s="1">
        <v>8.5736951044033012E-3</v>
      </c>
    </row>
    <row r="134" spans="1:55" x14ac:dyDescent="0.35">
      <c r="A134" s="1" t="s">
        <v>142</v>
      </c>
      <c r="B134" s="1">
        <v>1.0081277167481724</v>
      </c>
      <c r="C134" s="1">
        <v>1</v>
      </c>
      <c r="D134" s="1">
        <v>0.99999829349351732</v>
      </c>
      <c r="E134" s="1">
        <v>0.97818753644740175</v>
      </c>
      <c r="F134" s="1">
        <v>1.002836303419534</v>
      </c>
      <c r="G134" s="1">
        <v>0.99969931367337261</v>
      </c>
      <c r="H134" s="1">
        <v>1.00283167941261</v>
      </c>
      <c r="I134" s="1">
        <v>1</v>
      </c>
      <c r="J134" s="1">
        <v>0.98091550857910115</v>
      </c>
      <c r="K134" s="1">
        <v>0.99876259893689823</v>
      </c>
      <c r="L134" s="1">
        <v>1.0129173966856269</v>
      </c>
      <c r="M134" s="1">
        <v>1.0042725978387539</v>
      </c>
      <c r="N134" s="1">
        <v>0.99509488026318837</v>
      </c>
      <c r="O134" s="1">
        <v>1</v>
      </c>
      <c r="P134" s="1">
        <v>0.9715948885553497</v>
      </c>
      <c r="Q134" s="1">
        <v>1</v>
      </c>
      <c r="S134" s="1">
        <f t="shared" si="254"/>
        <v>100</v>
      </c>
      <c r="T134" s="1">
        <f t="shared" si="256"/>
        <v>99.999829349351728</v>
      </c>
      <c r="U134" s="1">
        <f t="shared" si="257"/>
        <v>97.818586716402947</v>
      </c>
      <c r="V134" s="1">
        <f t="shared" si="258"/>
        <v>98.096029908400666</v>
      </c>
      <c r="W134" s="1">
        <f t="shared" si="259"/>
        <v>98.066533773510784</v>
      </c>
      <c r="X134" s="1">
        <f t="shared" si="260"/>
        <v>98.344226758263261</v>
      </c>
      <c r="Y134" s="1">
        <f t="shared" si="261"/>
        <v>98.344226758263261</v>
      </c>
      <c r="Z134" s="1">
        <f t="shared" si="262"/>
        <v>96.467377206400258</v>
      </c>
      <c r="AA134" s="1">
        <f t="shared" si="263"/>
        <v>96.348008371290419</v>
      </c>
      <c r="AB134" s="1">
        <f t="shared" si="264"/>
        <v>97.592573815292468</v>
      </c>
      <c r="AC134" s="1">
        <f t="shared" si="265"/>
        <v>98.009547635254123</v>
      </c>
      <c r="AD134" s="1">
        <f t="shared" si="266"/>
        <v>97.528799068752463</v>
      </c>
      <c r="AE134" s="1">
        <f t="shared" si="267"/>
        <v>98.051311613431878</v>
      </c>
      <c r="AF134" s="1">
        <f t="shared" si="268"/>
        <v>1.0198741694986277</v>
      </c>
      <c r="AH134" s="1" t="str">
        <f t="shared" si="269"/>
        <v>C2410.41262</v>
      </c>
      <c r="AI134" s="1">
        <f t="shared" si="232"/>
        <v>101.98741694986278</v>
      </c>
      <c r="AJ134" s="1">
        <f t="shared" si="233"/>
        <v>101.9872429076746</v>
      </c>
      <c r="AK134" s="1">
        <f t="shared" si="234"/>
        <v>99.762649888920961</v>
      </c>
      <c r="AL134" s="1">
        <f t="shared" si="235"/>
        <v>100.04560703394267</v>
      </c>
      <c r="AM134" s="1">
        <f t="shared" si="236"/>
        <v>100.01552468786844</v>
      </c>
      <c r="AN134" s="1">
        <f t="shared" si="237"/>
        <v>100.29873659006847</v>
      </c>
      <c r="AO134" s="1">
        <f t="shared" si="238"/>
        <v>100.29873659006847</v>
      </c>
      <c r="AP134" s="1">
        <f t="shared" si="239"/>
        <v>98.384586212088308</v>
      </c>
      <c r="AQ134" s="1">
        <f t="shared" si="240"/>
        <v>98.26284502051665</v>
      </c>
      <c r="AR134" s="1">
        <f t="shared" si="241"/>
        <v>99.532145169104936</v>
      </c>
      <c r="AS134" s="1">
        <f t="shared" si="242"/>
        <v>99.957405997440986</v>
      </c>
      <c r="AT134" s="1">
        <f t="shared" si="243"/>
        <v>99.46710295244246</v>
      </c>
      <c r="AU134" s="1">
        <f t="shared" ref="AU134:AW134" si="271">AT134*O134</f>
        <v>99.46710295244246</v>
      </c>
      <c r="AV134" s="1">
        <f t="shared" si="271"/>
        <v>96.64172880800183</v>
      </c>
      <c r="AW134" s="1">
        <f t="shared" si="271"/>
        <v>96.64172880800183</v>
      </c>
      <c r="AX134" s="1" t="b">
        <f t="shared" si="245"/>
        <v>1</v>
      </c>
      <c r="AY134" s="1" t="s">
        <v>142</v>
      </c>
      <c r="AZ134" s="1">
        <v>4</v>
      </c>
      <c r="BA134" s="1" t="s">
        <v>417</v>
      </c>
      <c r="BB134" s="1" t="s">
        <v>418</v>
      </c>
      <c r="BC134" s="1">
        <v>8.5736951044033012E-3</v>
      </c>
    </row>
    <row r="135" spans="1:55" x14ac:dyDescent="0.35">
      <c r="A135" s="1" t="s">
        <v>143</v>
      </c>
      <c r="B135" s="1">
        <v>1.012151558179802</v>
      </c>
      <c r="C135" s="1">
        <v>1</v>
      </c>
      <c r="D135" s="1">
        <v>0.97047077037763985</v>
      </c>
      <c r="E135" s="1">
        <v>0.99266036862931406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0.97522206658643562</v>
      </c>
      <c r="P135" s="1">
        <v>0.94024601737848901</v>
      </c>
      <c r="Q135" s="1">
        <v>1</v>
      </c>
      <c r="S135" s="1">
        <f t="shared" si="254"/>
        <v>100</v>
      </c>
      <c r="T135" s="1">
        <f t="shared" si="256"/>
        <v>97.047077037763984</v>
      </c>
      <c r="U135" s="1">
        <f t="shared" si="257"/>
        <v>96.33478726670424</v>
      </c>
      <c r="V135" s="1">
        <f t="shared" si="258"/>
        <v>96.33478726670424</v>
      </c>
      <c r="W135" s="1">
        <f t="shared" si="259"/>
        <v>96.33478726670424</v>
      </c>
      <c r="X135" s="1">
        <f t="shared" si="260"/>
        <v>96.33478726670424</v>
      </c>
      <c r="Y135" s="1">
        <f t="shared" si="261"/>
        <v>96.33478726670424</v>
      </c>
      <c r="Z135" s="1">
        <f t="shared" si="262"/>
        <v>96.33478726670424</v>
      </c>
      <c r="AA135" s="1">
        <f t="shared" si="263"/>
        <v>96.33478726670424</v>
      </c>
      <c r="AB135" s="1">
        <f t="shared" si="264"/>
        <v>96.33478726670424</v>
      </c>
      <c r="AC135" s="1">
        <f t="shared" si="265"/>
        <v>96.33478726670424</v>
      </c>
      <c r="AD135" s="1">
        <f t="shared" si="266"/>
        <v>96.33478726670424</v>
      </c>
      <c r="AE135" s="1">
        <f t="shared" si="267"/>
        <v>96.699579142067194</v>
      </c>
      <c r="AF135" s="1">
        <f t="shared" si="268"/>
        <v>1.0341306641374721</v>
      </c>
      <c r="AH135" s="1" t="str">
        <f t="shared" si="269"/>
        <v>C2410.41283</v>
      </c>
      <c r="AI135" s="1">
        <f t="shared" si="232"/>
        <v>103.41306641374722</v>
      </c>
      <c r="AJ135" s="1">
        <f t="shared" si="233"/>
        <v>100.35935822966329</v>
      </c>
      <c r="AK135" s="1">
        <f t="shared" si="234"/>
        <v>99.622757535658948</v>
      </c>
      <c r="AL135" s="1">
        <f t="shared" si="235"/>
        <v>99.622757535658948</v>
      </c>
      <c r="AM135" s="1">
        <f t="shared" si="236"/>
        <v>99.622757535658948</v>
      </c>
      <c r="AN135" s="1">
        <f t="shared" si="237"/>
        <v>99.622757535658948</v>
      </c>
      <c r="AO135" s="1">
        <f t="shared" si="238"/>
        <v>99.622757535658948</v>
      </c>
      <c r="AP135" s="1">
        <f t="shared" si="239"/>
        <v>99.622757535658948</v>
      </c>
      <c r="AQ135" s="1">
        <f t="shared" si="240"/>
        <v>99.622757535658948</v>
      </c>
      <c r="AR135" s="1">
        <f t="shared" si="241"/>
        <v>99.622757535658948</v>
      </c>
      <c r="AS135" s="1">
        <f t="shared" si="242"/>
        <v>99.622757535658948</v>
      </c>
      <c r="AT135" s="1">
        <f t="shared" si="243"/>
        <v>99.622757535658948</v>
      </c>
      <c r="AU135" s="1">
        <f t="shared" ref="AU135:AW135" si="272">AT135*O135</f>
        <v>97.154311482964715</v>
      </c>
      <c r="AV135" s="1">
        <f t="shared" si="272"/>
        <v>91.348954443006775</v>
      </c>
      <c r="AW135" s="1">
        <f t="shared" si="272"/>
        <v>91.348954443006775</v>
      </c>
      <c r="AX135" s="1" t="b">
        <f t="shared" si="245"/>
        <v>1</v>
      </c>
      <c r="AY135" s="1" t="s">
        <v>143</v>
      </c>
      <c r="AZ135" s="1">
        <v>4</v>
      </c>
      <c r="BA135" s="1" t="s">
        <v>419</v>
      </c>
      <c r="BB135" s="1" t="s">
        <v>420</v>
      </c>
      <c r="BC135" s="1">
        <v>3.7276935236536094E-3</v>
      </c>
    </row>
    <row r="136" spans="1:55" x14ac:dyDescent="0.35">
      <c r="A136" s="1" t="s">
        <v>144</v>
      </c>
      <c r="B136" s="1">
        <v>0.98805364226847514</v>
      </c>
      <c r="C136" s="1">
        <v>1</v>
      </c>
      <c r="D136" s="1">
        <v>1</v>
      </c>
      <c r="E136" s="1">
        <v>1</v>
      </c>
      <c r="F136" s="1">
        <v>1.0074745266115053</v>
      </c>
      <c r="G136" s="1">
        <v>1.0184708280209305</v>
      </c>
      <c r="H136" s="1">
        <v>0.98185354004171355</v>
      </c>
      <c r="I136" s="1">
        <v>1</v>
      </c>
      <c r="J136" s="1">
        <v>1</v>
      </c>
      <c r="K136" s="1">
        <v>1.0245001976568271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  <c r="Q136" s="1">
        <v>1.0076131603628722</v>
      </c>
      <c r="S136" s="1">
        <f t="shared" si="254"/>
        <v>100</v>
      </c>
      <c r="T136" s="1">
        <f t="shared" si="256"/>
        <v>100</v>
      </c>
      <c r="U136" s="1">
        <f t="shared" si="257"/>
        <v>100</v>
      </c>
      <c r="V136" s="1">
        <f t="shared" si="258"/>
        <v>100.74745266115053</v>
      </c>
      <c r="W136" s="1">
        <f t="shared" si="259"/>
        <v>102.60834153280148</v>
      </c>
      <c r="X136" s="1">
        <f t="shared" si="260"/>
        <v>100.74636337179031</v>
      </c>
      <c r="Y136" s="1">
        <f t="shared" si="261"/>
        <v>100.74636337179031</v>
      </c>
      <c r="Z136" s="1">
        <f t="shared" si="262"/>
        <v>100.74636337179031</v>
      </c>
      <c r="AA136" s="1">
        <f t="shared" si="263"/>
        <v>103.21466918760569</v>
      </c>
      <c r="AB136" s="1">
        <f t="shared" si="264"/>
        <v>103.21466918760569</v>
      </c>
      <c r="AC136" s="1">
        <f t="shared" si="265"/>
        <v>103.21466918760569</v>
      </c>
      <c r="AD136" s="1">
        <f t="shared" si="266"/>
        <v>103.21466918760569</v>
      </c>
      <c r="AE136" s="1">
        <f t="shared" si="267"/>
        <v>101.53779675497883</v>
      </c>
      <c r="AF136" s="1">
        <f t="shared" si="268"/>
        <v>0.98485493280212011</v>
      </c>
      <c r="AH136" s="1" t="str">
        <f t="shared" si="269"/>
        <v>C2511.42190</v>
      </c>
      <c r="AI136" s="1">
        <f t="shared" si="232"/>
        <v>98.485493280212012</v>
      </c>
      <c r="AJ136" s="1">
        <f t="shared" si="233"/>
        <v>98.485493280212012</v>
      </c>
      <c r="AK136" s="1">
        <f t="shared" si="234"/>
        <v>98.485493280212012</v>
      </c>
      <c r="AL136" s="1">
        <f t="shared" si="235"/>
        <v>99.221625720582182</v>
      </c>
      <c r="AM136" s="1">
        <f t="shared" si="236"/>
        <v>101.05433130522418</v>
      </c>
      <c r="AN136" s="1">
        <f t="shared" si="237"/>
        <v>99.220552928582521</v>
      </c>
      <c r="AO136" s="1">
        <f t="shared" si="238"/>
        <v>99.220552928582521</v>
      </c>
      <c r="AP136" s="1">
        <f t="shared" si="239"/>
        <v>99.220552928582521</v>
      </c>
      <c r="AQ136" s="1">
        <f t="shared" si="240"/>
        <v>101.65147608695246</v>
      </c>
      <c r="AR136" s="1">
        <f t="shared" si="241"/>
        <v>101.65147608695246</v>
      </c>
      <c r="AS136" s="1">
        <f t="shared" si="242"/>
        <v>101.65147608695246</v>
      </c>
      <c r="AT136" s="1">
        <f t="shared" si="243"/>
        <v>101.65147608695246</v>
      </c>
      <c r="AU136" s="1">
        <f t="shared" ref="AU136:AW136" si="273">AT136*O136</f>
        <v>101.65147608695246</v>
      </c>
      <c r="AV136" s="1">
        <f t="shared" si="273"/>
        <v>101.65147608695246</v>
      </c>
      <c r="AW136" s="1">
        <f t="shared" si="273"/>
        <v>102.42536507552509</v>
      </c>
      <c r="AX136" s="1" t="b">
        <f t="shared" si="245"/>
        <v>1</v>
      </c>
      <c r="AY136" s="1" t="s">
        <v>144</v>
      </c>
      <c r="AZ136" s="1">
        <v>4</v>
      </c>
      <c r="BA136" s="1" t="s">
        <v>421</v>
      </c>
      <c r="BB136" s="1" t="s">
        <v>422</v>
      </c>
      <c r="BC136" s="1">
        <v>2.3957995941733617E-3</v>
      </c>
    </row>
    <row r="137" spans="1:55" x14ac:dyDescent="0.35">
      <c r="A137" s="1" t="s">
        <v>145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S137" s="1">
        <f t="shared" si="254"/>
        <v>100</v>
      </c>
      <c r="T137" s="1">
        <f t="shared" si="256"/>
        <v>100</v>
      </c>
      <c r="U137" s="1">
        <f t="shared" si="257"/>
        <v>100</v>
      </c>
      <c r="V137" s="1">
        <f t="shared" si="258"/>
        <v>100</v>
      </c>
      <c r="W137" s="1">
        <f t="shared" si="259"/>
        <v>100</v>
      </c>
      <c r="X137" s="1">
        <f t="shared" si="260"/>
        <v>100</v>
      </c>
      <c r="Y137" s="1">
        <f t="shared" si="261"/>
        <v>100</v>
      </c>
      <c r="Z137" s="1">
        <f t="shared" si="262"/>
        <v>100</v>
      </c>
      <c r="AA137" s="1">
        <f t="shared" si="263"/>
        <v>100</v>
      </c>
      <c r="AB137" s="1">
        <f t="shared" si="264"/>
        <v>100</v>
      </c>
      <c r="AC137" s="1">
        <f t="shared" si="265"/>
        <v>100</v>
      </c>
      <c r="AD137" s="1">
        <f t="shared" si="266"/>
        <v>100</v>
      </c>
      <c r="AE137" s="1">
        <f t="shared" si="267"/>
        <v>100</v>
      </c>
      <c r="AF137" s="1">
        <f t="shared" si="268"/>
        <v>1</v>
      </c>
      <c r="AH137" s="1" t="str">
        <f t="shared" si="269"/>
        <v>C2512.42210</v>
      </c>
      <c r="AI137" s="1">
        <f t="shared" si="232"/>
        <v>100</v>
      </c>
      <c r="AJ137" s="1">
        <f t="shared" si="233"/>
        <v>100</v>
      </c>
      <c r="AK137" s="1">
        <f t="shared" si="234"/>
        <v>100</v>
      </c>
      <c r="AL137" s="1">
        <f t="shared" si="235"/>
        <v>100</v>
      </c>
      <c r="AM137" s="1">
        <f t="shared" si="236"/>
        <v>100</v>
      </c>
      <c r="AN137" s="1">
        <f t="shared" si="237"/>
        <v>100</v>
      </c>
      <c r="AO137" s="1">
        <f t="shared" si="238"/>
        <v>100</v>
      </c>
      <c r="AP137" s="1">
        <f t="shared" si="239"/>
        <v>100</v>
      </c>
      <c r="AQ137" s="1">
        <f t="shared" si="240"/>
        <v>100</v>
      </c>
      <c r="AR137" s="1">
        <f t="shared" si="241"/>
        <v>100</v>
      </c>
      <c r="AS137" s="1">
        <f t="shared" si="242"/>
        <v>100</v>
      </c>
      <c r="AT137" s="1">
        <f t="shared" si="243"/>
        <v>100</v>
      </c>
      <c r="AU137" s="1">
        <f t="shared" ref="AU137:AW137" si="274">AT137*O137</f>
        <v>100</v>
      </c>
      <c r="AV137" s="1">
        <f t="shared" si="274"/>
        <v>100</v>
      </c>
      <c r="AW137" s="1">
        <f t="shared" si="274"/>
        <v>100</v>
      </c>
      <c r="AX137" s="1" t="b">
        <f t="shared" si="245"/>
        <v>1</v>
      </c>
      <c r="AY137" s="1" t="s">
        <v>145</v>
      </c>
      <c r="AZ137" s="1">
        <v>4</v>
      </c>
      <c r="BA137" s="1" t="s">
        <v>423</v>
      </c>
      <c r="BB137" s="1" t="s">
        <v>424</v>
      </c>
      <c r="BC137" s="1">
        <v>2.3957995941733617E-3</v>
      </c>
    </row>
    <row r="138" spans="1:55" x14ac:dyDescent="0.35">
      <c r="A138" s="1" t="s">
        <v>146</v>
      </c>
      <c r="B138" s="1">
        <v>1</v>
      </c>
      <c r="C138" s="1">
        <v>1</v>
      </c>
      <c r="D138" s="1">
        <v>1</v>
      </c>
      <c r="E138" s="1">
        <v>1</v>
      </c>
      <c r="F138" s="1">
        <v>1.0237843513322626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1.0244234968724115</v>
      </c>
      <c r="P138" s="1">
        <v>1</v>
      </c>
      <c r="Q138" s="1">
        <v>1</v>
      </c>
      <c r="S138" s="1">
        <f t="shared" si="254"/>
        <v>100</v>
      </c>
      <c r="T138" s="1">
        <f t="shared" si="256"/>
        <v>100</v>
      </c>
      <c r="U138" s="1">
        <f t="shared" si="257"/>
        <v>100</v>
      </c>
      <c r="V138" s="1">
        <f t="shared" si="258"/>
        <v>102.37843513322626</v>
      </c>
      <c r="W138" s="1">
        <f t="shared" si="259"/>
        <v>102.37843513322626</v>
      </c>
      <c r="X138" s="1">
        <f t="shared" si="260"/>
        <v>102.37843513322626</v>
      </c>
      <c r="Y138" s="1">
        <f t="shared" si="261"/>
        <v>102.37843513322626</v>
      </c>
      <c r="Z138" s="1">
        <f t="shared" si="262"/>
        <v>102.37843513322626</v>
      </c>
      <c r="AA138" s="1">
        <f t="shared" si="263"/>
        <v>102.37843513322626</v>
      </c>
      <c r="AB138" s="1">
        <f t="shared" si="264"/>
        <v>102.37843513322626</v>
      </c>
      <c r="AC138" s="1">
        <f t="shared" si="265"/>
        <v>102.37843513322626</v>
      </c>
      <c r="AD138" s="1">
        <f t="shared" si="266"/>
        <v>102.37843513322626</v>
      </c>
      <c r="AE138" s="1">
        <f t="shared" si="267"/>
        <v>101.78382634991971</v>
      </c>
      <c r="AF138" s="1">
        <f t="shared" si="268"/>
        <v>0.98247436342403616</v>
      </c>
      <c r="AH138" s="1" t="str">
        <f t="shared" si="269"/>
        <v>C2599.42912</v>
      </c>
      <c r="AI138" s="1">
        <f t="shared" si="232"/>
        <v>98.247436342403617</v>
      </c>
      <c r="AJ138" s="1">
        <f t="shared" si="233"/>
        <v>98.247436342403617</v>
      </c>
      <c r="AK138" s="1">
        <f t="shared" si="234"/>
        <v>98.247436342403617</v>
      </c>
      <c r="AL138" s="1">
        <f t="shared" si="235"/>
        <v>100.58418788586545</v>
      </c>
      <c r="AM138" s="1">
        <f t="shared" si="236"/>
        <v>100.58418788586545</v>
      </c>
      <c r="AN138" s="1">
        <f t="shared" si="237"/>
        <v>100.58418788586545</v>
      </c>
      <c r="AO138" s="1">
        <f t="shared" si="238"/>
        <v>100.58418788586545</v>
      </c>
      <c r="AP138" s="1">
        <f t="shared" si="239"/>
        <v>100.58418788586545</v>
      </c>
      <c r="AQ138" s="1">
        <f t="shared" si="240"/>
        <v>100.58418788586545</v>
      </c>
      <c r="AR138" s="1">
        <f t="shared" si="241"/>
        <v>100.58418788586545</v>
      </c>
      <c r="AS138" s="1">
        <f t="shared" si="242"/>
        <v>100.58418788586545</v>
      </c>
      <c r="AT138" s="1">
        <f t="shared" si="243"/>
        <v>100.58418788586545</v>
      </c>
      <c r="AU138" s="1">
        <f t="shared" ref="AU138:AW138" si="275">AT138*O138</f>
        <v>103.04080548410994</v>
      </c>
      <c r="AV138" s="1">
        <f t="shared" si="275"/>
        <v>103.04080548410994</v>
      </c>
      <c r="AW138" s="1">
        <f t="shared" si="275"/>
        <v>103.04080548410994</v>
      </c>
      <c r="AX138" s="1" t="b">
        <f t="shared" si="245"/>
        <v>1</v>
      </c>
      <c r="AY138" s="1" t="s">
        <v>146</v>
      </c>
      <c r="AZ138" s="1">
        <v>4</v>
      </c>
      <c r="BA138" s="1" t="s">
        <v>425</v>
      </c>
      <c r="BB138" s="1" t="s">
        <v>426</v>
      </c>
      <c r="BC138" s="1">
        <v>2.3957995941733617E-3</v>
      </c>
    </row>
    <row r="139" spans="1:55" x14ac:dyDescent="0.35">
      <c r="A139" s="1" t="s">
        <v>147</v>
      </c>
      <c r="B139" s="1">
        <v>1</v>
      </c>
      <c r="C139" s="1">
        <v>1</v>
      </c>
      <c r="D139" s="1">
        <v>0.99980522803935834</v>
      </c>
      <c r="E139" s="1">
        <v>0.99994133452969269</v>
      </c>
      <c r="F139" s="1">
        <v>0.99939336227928088</v>
      </c>
      <c r="G139" s="1">
        <v>0.99969958949057169</v>
      </c>
      <c r="H139" s="1">
        <v>0.99992854622663663</v>
      </c>
      <c r="I139" s="1">
        <v>0.9997089863615698</v>
      </c>
      <c r="J139" s="1">
        <v>0.99954891086691589</v>
      </c>
      <c r="K139" s="1">
        <v>0.99978476960221818</v>
      </c>
      <c r="L139" s="1">
        <v>0.99994937873663026</v>
      </c>
      <c r="M139" s="1">
        <v>0.99966248752338893</v>
      </c>
      <c r="N139" s="1">
        <v>1.0000067162269297</v>
      </c>
      <c r="O139" s="1">
        <v>1.0003347705222221</v>
      </c>
      <c r="P139" s="1">
        <v>0.99995786543937126</v>
      </c>
      <c r="Q139" s="1">
        <v>0.99963541508354237</v>
      </c>
      <c r="S139" s="1">
        <f t="shared" si="254"/>
        <v>100</v>
      </c>
      <c r="T139" s="1">
        <f t="shared" si="256"/>
        <v>99.980522803935827</v>
      </c>
      <c r="U139" s="1">
        <f t="shared" si="257"/>
        <v>99.974657399543958</v>
      </c>
      <c r="V139" s="1">
        <f t="shared" si="258"/>
        <v>99.914009001249426</v>
      </c>
      <c r="W139" s="1">
        <f t="shared" si="259"/>
        <v>99.88399378290633</v>
      </c>
      <c r="X139" s="1">
        <f t="shared" si="260"/>
        <v>99.876856694651934</v>
      </c>
      <c r="Y139" s="1">
        <f t="shared" si="261"/>
        <v>99.847791167190252</v>
      </c>
      <c r="Z139" s="1">
        <f t="shared" si="262"/>
        <v>99.802750913632281</v>
      </c>
      <c r="AA139" s="1">
        <f t="shared" si="263"/>
        <v>99.78127032785342</v>
      </c>
      <c r="AB139" s="1">
        <f t="shared" si="264"/>
        <v>99.776219273888785</v>
      </c>
      <c r="AC139" s="1">
        <f t="shared" si="265"/>
        <v>99.742543555014763</v>
      </c>
      <c r="AD139" s="1">
        <f t="shared" si="266"/>
        <v>99.743213448571822</v>
      </c>
      <c r="AE139" s="1">
        <f t="shared" si="267"/>
        <v>99.860319030703238</v>
      </c>
      <c r="AF139" s="1">
        <f t="shared" si="268"/>
        <v>1.0013987634993817</v>
      </c>
      <c r="AH139" s="1" t="str">
        <f t="shared" si="269"/>
        <v>C2599.42931</v>
      </c>
      <c r="AI139" s="1">
        <f t="shared" si="232"/>
        <v>100.13987634993818</v>
      </c>
      <c r="AJ139" s="1">
        <f t="shared" si="233"/>
        <v>100.12037190988308</v>
      </c>
      <c r="AK139" s="1">
        <f t="shared" si="234"/>
        <v>100.11449830117763</v>
      </c>
      <c r="AL139" s="1">
        <f t="shared" si="235"/>
        <v>100.05376507011727</v>
      </c>
      <c r="AM139" s="1">
        <f t="shared" si="236"/>
        <v>100.02370786758233</v>
      </c>
      <c r="AN139" s="1">
        <f t="shared" si="237"/>
        <v>100.0165607962294</v>
      </c>
      <c r="AO139" s="1">
        <f t="shared" si="238"/>
        <v>99.987454612968804</v>
      </c>
      <c r="AP139" s="1">
        <f t="shared" si="239"/>
        <v>99.942351358748155</v>
      </c>
      <c r="AQ139" s="1">
        <f t="shared" si="240"/>
        <v>99.920840726709969</v>
      </c>
      <c r="AR139" s="1">
        <f t="shared" si="241"/>
        <v>99.915782607515411</v>
      </c>
      <c r="AS139" s="1">
        <f t="shared" si="242"/>
        <v>99.882059784275015</v>
      </c>
      <c r="AT139" s="1">
        <f t="shared" si="243"/>
        <v>99.882730614854722</v>
      </c>
      <c r="AU139" s="1">
        <f t="shared" ref="AU139:AW139" si="276">AT139*O139</f>
        <v>99.91616840874363</v>
      </c>
      <c r="AV139" s="1">
        <f t="shared" si="276"/>
        <v>99.911958484888018</v>
      </c>
      <c r="AW139" s="1">
        <f t="shared" si="276"/>
        <v>99.875532091850687</v>
      </c>
      <c r="AX139" s="1" t="b">
        <f t="shared" si="245"/>
        <v>1</v>
      </c>
      <c r="AY139" s="1" t="s">
        <v>147</v>
      </c>
      <c r="AZ139" s="1">
        <v>4</v>
      </c>
      <c r="BA139" s="1" t="s">
        <v>427</v>
      </c>
      <c r="BB139" s="1" t="s">
        <v>428</v>
      </c>
      <c r="BC139" s="1">
        <v>2.3957995941733617E-3</v>
      </c>
    </row>
    <row r="140" spans="1:55" x14ac:dyDescent="0.35">
      <c r="A140" s="1" t="s">
        <v>148</v>
      </c>
      <c r="B140" s="1">
        <v>1.001648171640682</v>
      </c>
      <c r="C140" s="1">
        <v>1</v>
      </c>
      <c r="D140" s="1">
        <v>1.0122734853158459</v>
      </c>
      <c r="E140" s="1">
        <v>1</v>
      </c>
      <c r="F140" s="1">
        <v>1.000851707943925</v>
      </c>
      <c r="G140" s="1">
        <v>1</v>
      </c>
      <c r="H140" s="1">
        <v>1</v>
      </c>
      <c r="I140" s="1">
        <v>1.0145594297680278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1.0007062170268588</v>
      </c>
      <c r="S140" s="1">
        <f t="shared" si="254"/>
        <v>100</v>
      </c>
      <c r="T140" s="1">
        <f t="shared" si="256"/>
        <v>101.2273485315846</v>
      </c>
      <c r="U140" s="1">
        <f t="shared" si="257"/>
        <v>101.2273485315846</v>
      </c>
      <c r="V140" s="1">
        <f t="shared" si="258"/>
        <v>101.31356466847141</v>
      </c>
      <c r="W140" s="1">
        <f t="shared" si="259"/>
        <v>101.31356466847141</v>
      </c>
      <c r="X140" s="1">
        <f t="shared" si="260"/>
        <v>101.31356466847141</v>
      </c>
      <c r="Y140" s="1">
        <f t="shared" si="261"/>
        <v>102.78863239781057</v>
      </c>
      <c r="Z140" s="1">
        <f t="shared" si="262"/>
        <v>102.78863239781057</v>
      </c>
      <c r="AA140" s="1">
        <f t="shared" si="263"/>
        <v>102.78863239781057</v>
      </c>
      <c r="AB140" s="1">
        <f t="shared" si="264"/>
        <v>102.78863239781057</v>
      </c>
      <c r="AC140" s="1">
        <f t="shared" si="265"/>
        <v>102.78863239781057</v>
      </c>
      <c r="AD140" s="1">
        <f t="shared" si="266"/>
        <v>102.78863239781057</v>
      </c>
      <c r="AE140" s="1">
        <f t="shared" si="267"/>
        <v>101.92726545462057</v>
      </c>
      <c r="AF140" s="1">
        <f t="shared" si="268"/>
        <v>0.98109175747995891</v>
      </c>
      <c r="AH140" s="1" t="str">
        <f t="shared" si="269"/>
        <v>C2599.42945</v>
      </c>
      <c r="AI140" s="1">
        <f t="shared" si="232"/>
        <v>98.109175747995891</v>
      </c>
      <c r="AJ140" s="1">
        <f t="shared" si="233"/>
        <v>99.313317275888664</v>
      </c>
      <c r="AK140" s="1">
        <f t="shared" si="234"/>
        <v>99.313317275888664</v>
      </c>
      <c r="AL140" s="1">
        <f t="shared" si="235"/>
        <v>99.397903217150088</v>
      </c>
      <c r="AM140" s="1">
        <f t="shared" si="236"/>
        <v>99.397903217150088</v>
      </c>
      <c r="AN140" s="1">
        <f t="shared" si="237"/>
        <v>99.397903217150088</v>
      </c>
      <c r="AO140" s="1">
        <f t="shared" si="238"/>
        <v>100.84508000812941</v>
      </c>
      <c r="AP140" s="1">
        <f t="shared" si="239"/>
        <v>100.84508000812941</v>
      </c>
      <c r="AQ140" s="1">
        <f t="shared" si="240"/>
        <v>100.84508000812941</v>
      </c>
      <c r="AR140" s="1">
        <f t="shared" si="241"/>
        <v>100.84508000812941</v>
      </c>
      <c r="AS140" s="1">
        <f t="shared" si="242"/>
        <v>100.84508000812941</v>
      </c>
      <c r="AT140" s="1">
        <f t="shared" si="243"/>
        <v>100.84508000812941</v>
      </c>
      <c r="AU140" s="1">
        <f t="shared" ref="AU140:AW140" si="277">AT140*O140</f>
        <v>100.84508000812941</v>
      </c>
      <c r="AV140" s="1">
        <f t="shared" si="277"/>
        <v>100.84508000812941</v>
      </c>
      <c r="AW140" s="1">
        <f t="shared" si="277"/>
        <v>100.91629852070609</v>
      </c>
      <c r="AX140" s="1" t="b">
        <f t="shared" si="245"/>
        <v>1</v>
      </c>
      <c r="AY140" s="1" t="s">
        <v>148</v>
      </c>
      <c r="AZ140" s="1">
        <v>4</v>
      </c>
      <c r="BA140" s="1" t="s">
        <v>429</v>
      </c>
      <c r="BB140" s="1" t="s">
        <v>430</v>
      </c>
      <c r="BC140" s="1">
        <v>2.3957995941733617E-3</v>
      </c>
    </row>
    <row r="141" spans="1:55" x14ac:dyDescent="0.35">
      <c r="A141" s="1" t="s">
        <v>149</v>
      </c>
      <c r="B141" s="1">
        <v>1</v>
      </c>
      <c r="C141" s="1">
        <v>1</v>
      </c>
      <c r="D141" s="1">
        <v>1</v>
      </c>
      <c r="E141" s="1">
        <v>1</v>
      </c>
      <c r="F141" s="1">
        <v>1</v>
      </c>
      <c r="G141" s="1">
        <v>1</v>
      </c>
      <c r="H141" s="1">
        <v>1.0247790668120806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S141" s="1">
        <f t="shared" si="254"/>
        <v>100</v>
      </c>
      <c r="T141" s="1">
        <f t="shared" si="256"/>
        <v>100</v>
      </c>
      <c r="U141" s="1">
        <f t="shared" si="257"/>
        <v>100</v>
      </c>
      <c r="V141" s="1">
        <f t="shared" si="258"/>
        <v>100</v>
      </c>
      <c r="W141" s="1">
        <f t="shared" si="259"/>
        <v>100</v>
      </c>
      <c r="X141" s="1">
        <f t="shared" si="260"/>
        <v>102.47790668120807</v>
      </c>
      <c r="Y141" s="1">
        <f t="shared" si="261"/>
        <v>102.47790668120807</v>
      </c>
      <c r="Z141" s="1">
        <f t="shared" si="262"/>
        <v>102.47790668120807</v>
      </c>
      <c r="AA141" s="1">
        <f t="shared" si="263"/>
        <v>102.47790668120807</v>
      </c>
      <c r="AB141" s="1">
        <f t="shared" si="264"/>
        <v>102.47790668120807</v>
      </c>
      <c r="AC141" s="1">
        <f t="shared" si="265"/>
        <v>102.47790668120807</v>
      </c>
      <c r="AD141" s="1">
        <f t="shared" si="266"/>
        <v>102.47790668120807</v>
      </c>
      <c r="AE141" s="1">
        <f t="shared" si="267"/>
        <v>101.44544556403804</v>
      </c>
      <c r="AF141" s="1">
        <f t="shared" si="268"/>
        <v>0.98575149868975054</v>
      </c>
      <c r="AH141" s="1" t="str">
        <f t="shared" si="269"/>
        <v>C2599.42993</v>
      </c>
      <c r="AI141" s="1">
        <f t="shared" si="232"/>
        <v>98.57514986897506</v>
      </c>
      <c r="AJ141" s="1">
        <f t="shared" si="233"/>
        <v>98.57514986897506</v>
      </c>
      <c r="AK141" s="1">
        <f t="shared" si="234"/>
        <v>98.57514986897506</v>
      </c>
      <c r="AL141" s="1">
        <f t="shared" si="235"/>
        <v>98.57514986897506</v>
      </c>
      <c r="AM141" s="1">
        <f t="shared" si="236"/>
        <v>98.57514986897506</v>
      </c>
      <c r="AN141" s="1">
        <f t="shared" si="237"/>
        <v>101.01775009358926</v>
      </c>
      <c r="AO141" s="1">
        <f t="shared" si="238"/>
        <v>101.01775009358926</v>
      </c>
      <c r="AP141" s="1">
        <f t="shared" si="239"/>
        <v>101.01775009358926</v>
      </c>
      <c r="AQ141" s="1">
        <f t="shared" si="240"/>
        <v>101.01775009358926</v>
      </c>
      <c r="AR141" s="1">
        <f t="shared" si="241"/>
        <v>101.01775009358926</v>
      </c>
      <c r="AS141" s="1">
        <f t="shared" si="242"/>
        <v>101.01775009358926</v>
      </c>
      <c r="AT141" s="1">
        <f t="shared" si="243"/>
        <v>101.01775009358926</v>
      </c>
      <c r="AU141" s="1">
        <f t="shared" ref="AU141:AW141" si="278">AT141*O141</f>
        <v>101.01775009358926</v>
      </c>
      <c r="AV141" s="1">
        <f t="shared" si="278"/>
        <v>101.01775009358926</v>
      </c>
      <c r="AW141" s="1">
        <f t="shared" si="278"/>
        <v>101.01775009358926</v>
      </c>
      <c r="AX141" s="1" t="b">
        <f t="shared" si="245"/>
        <v>1</v>
      </c>
      <c r="AY141" s="1" t="s">
        <v>149</v>
      </c>
      <c r="AZ141" s="1">
        <v>4</v>
      </c>
      <c r="BA141" s="1" t="s">
        <v>431</v>
      </c>
      <c r="BB141" s="1" t="s">
        <v>432</v>
      </c>
      <c r="BC141" s="1">
        <v>2.3957995941733617E-3</v>
      </c>
    </row>
    <row r="142" spans="1:55" x14ac:dyDescent="0.35">
      <c r="A142" s="1" t="s">
        <v>150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0.99999999963333341</v>
      </c>
      <c r="I142" s="1">
        <v>0.99768567177497514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S142" s="1">
        <f t="shared" si="254"/>
        <v>100</v>
      </c>
      <c r="T142" s="1">
        <f t="shared" si="256"/>
        <v>100</v>
      </c>
      <c r="U142" s="1">
        <f t="shared" si="257"/>
        <v>100</v>
      </c>
      <c r="V142" s="1">
        <f t="shared" si="258"/>
        <v>100</v>
      </c>
      <c r="W142" s="1">
        <f t="shared" si="259"/>
        <v>100</v>
      </c>
      <c r="X142" s="1">
        <f t="shared" si="260"/>
        <v>99.999999963333337</v>
      </c>
      <c r="Y142" s="1">
        <f t="shared" si="261"/>
        <v>99.768567140915707</v>
      </c>
      <c r="Z142" s="1">
        <f t="shared" si="262"/>
        <v>99.768567140915707</v>
      </c>
      <c r="AA142" s="1">
        <f t="shared" si="263"/>
        <v>99.768567140915707</v>
      </c>
      <c r="AB142" s="1">
        <f t="shared" si="264"/>
        <v>99.768567140915707</v>
      </c>
      <c r="AC142" s="1">
        <f t="shared" si="265"/>
        <v>99.768567140915707</v>
      </c>
      <c r="AD142" s="1">
        <f t="shared" si="266"/>
        <v>99.768567140915707</v>
      </c>
      <c r="AE142" s="1">
        <f t="shared" si="267"/>
        <v>99.884283567402306</v>
      </c>
      <c r="AF142" s="1">
        <f t="shared" si="268"/>
        <v>1.0011585049065261</v>
      </c>
      <c r="AH142" s="1" t="str">
        <f t="shared" si="269"/>
        <v>C2819.43913</v>
      </c>
      <c r="AI142" s="1">
        <f t="shared" si="232"/>
        <v>100.11585049065262</v>
      </c>
      <c r="AJ142" s="1">
        <f t="shared" si="233"/>
        <v>100.11585049065262</v>
      </c>
      <c r="AK142" s="1">
        <f t="shared" si="234"/>
        <v>100.11585049065262</v>
      </c>
      <c r="AL142" s="1">
        <f t="shared" si="235"/>
        <v>100.11585049065262</v>
      </c>
      <c r="AM142" s="1">
        <f t="shared" si="236"/>
        <v>100.11585049065262</v>
      </c>
      <c r="AN142" s="1">
        <f t="shared" si="237"/>
        <v>100.11585045394347</v>
      </c>
      <c r="AO142" s="1">
        <f t="shared" si="238"/>
        <v>99.884149515465538</v>
      </c>
      <c r="AP142" s="1">
        <f t="shared" si="239"/>
        <v>99.884149515465538</v>
      </c>
      <c r="AQ142" s="1">
        <f t="shared" si="240"/>
        <v>99.884149515465538</v>
      </c>
      <c r="AR142" s="1">
        <f t="shared" si="241"/>
        <v>99.884149515465538</v>
      </c>
      <c r="AS142" s="1">
        <f t="shared" si="242"/>
        <v>99.884149515465538</v>
      </c>
      <c r="AT142" s="1">
        <f t="shared" si="243"/>
        <v>99.884149515465538</v>
      </c>
      <c r="AU142" s="1">
        <f t="shared" ref="AU142:AW142" si="279">AT142*O142</f>
        <v>99.884149515465538</v>
      </c>
      <c r="AV142" s="1">
        <f t="shared" si="279"/>
        <v>99.884149515465538</v>
      </c>
      <c r="AW142" s="1">
        <f t="shared" si="279"/>
        <v>99.884149515465538</v>
      </c>
      <c r="AX142" s="1" t="b">
        <f t="shared" si="245"/>
        <v>1</v>
      </c>
      <c r="AY142" s="1" t="s">
        <v>150</v>
      </c>
      <c r="AZ142" s="1">
        <v>4</v>
      </c>
      <c r="BA142" s="1" t="s">
        <v>435</v>
      </c>
      <c r="BB142" s="1" t="s">
        <v>436</v>
      </c>
      <c r="BC142" s="1">
        <v>5.5709515080061651E-3</v>
      </c>
    </row>
    <row r="143" spans="1:55" x14ac:dyDescent="0.35">
      <c r="A143" s="1" t="s">
        <v>151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1.0584248263330851</v>
      </c>
      <c r="J143" s="1">
        <v>1.029926490266496</v>
      </c>
      <c r="K143" s="1">
        <v>1</v>
      </c>
      <c r="L143" s="1">
        <v>1</v>
      </c>
      <c r="M143" s="1">
        <v>1.0232641171894941</v>
      </c>
      <c r="N143" s="1">
        <v>1</v>
      </c>
      <c r="O143" s="1">
        <v>1</v>
      </c>
      <c r="P143" s="1">
        <v>1</v>
      </c>
      <c r="Q143" s="1">
        <v>1</v>
      </c>
      <c r="S143" s="1">
        <f t="shared" si="254"/>
        <v>100</v>
      </c>
      <c r="T143" s="1">
        <f t="shared" si="256"/>
        <v>100</v>
      </c>
      <c r="U143" s="1">
        <f t="shared" si="257"/>
        <v>100</v>
      </c>
      <c r="V143" s="1">
        <f t="shared" si="258"/>
        <v>100</v>
      </c>
      <c r="W143" s="1">
        <f t="shared" si="259"/>
        <v>100</v>
      </c>
      <c r="X143" s="1">
        <f t="shared" si="260"/>
        <v>100</v>
      </c>
      <c r="Y143" s="1">
        <f t="shared" si="261"/>
        <v>105.84248263330851</v>
      </c>
      <c r="Z143" s="1">
        <f t="shared" si="262"/>
        <v>109.00997665961599</v>
      </c>
      <c r="AA143" s="1">
        <f t="shared" si="263"/>
        <v>109.00997665961599</v>
      </c>
      <c r="AB143" s="1">
        <f t="shared" si="264"/>
        <v>109.00997665961599</v>
      </c>
      <c r="AC143" s="1">
        <f t="shared" si="265"/>
        <v>111.5459975314493</v>
      </c>
      <c r="AD143" s="1">
        <f t="shared" si="266"/>
        <v>111.5459975314493</v>
      </c>
      <c r="AE143" s="1">
        <f t="shared" si="267"/>
        <v>104.66370063958793</v>
      </c>
      <c r="AF143" s="1">
        <f t="shared" si="268"/>
        <v>0.95544108787393733</v>
      </c>
      <c r="AH143" s="1" t="str">
        <f t="shared" si="269"/>
        <v>C2819.87310</v>
      </c>
      <c r="AI143" s="1">
        <f t="shared" si="232"/>
        <v>95.544108787393739</v>
      </c>
      <c r="AJ143" s="1">
        <f t="shared" si="233"/>
        <v>95.544108787393739</v>
      </c>
      <c r="AK143" s="1">
        <f t="shared" si="234"/>
        <v>95.544108787393739</v>
      </c>
      <c r="AL143" s="1">
        <f t="shared" si="235"/>
        <v>95.544108787393739</v>
      </c>
      <c r="AM143" s="1">
        <f t="shared" si="236"/>
        <v>95.544108787393739</v>
      </c>
      <c r="AN143" s="1">
        <f t="shared" si="237"/>
        <v>95.544108787393739</v>
      </c>
      <c r="AO143" s="1">
        <f t="shared" si="238"/>
        <v>101.1262567504466</v>
      </c>
      <c r="AP143" s="1">
        <f t="shared" si="239"/>
        <v>104.15261068877602</v>
      </c>
      <c r="AQ143" s="1">
        <f t="shared" si="240"/>
        <v>104.15261068877602</v>
      </c>
      <c r="AR143" s="1">
        <f t="shared" si="241"/>
        <v>104.15261068877602</v>
      </c>
      <c r="AS143" s="1">
        <f t="shared" si="242"/>
        <v>106.57562922943146</v>
      </c>
      <c r="AT143" s="1">
        <f t="shared" si="243"/>
        <v>106.57562922943146</v>
      </c>
      <c r="AU143" s="1">
        <f t="shared" ref="AU143:AW143" si="280">AT143*O143</f>
        <v>106.57562922943146</v>
      </c>
      <c r="AV143" s="1">
        <f t="shared" si="280"/>
        <v>106.57562922943146</v>
      </c>
      <c r="AW143" s="1">
        <f t="shared" si="280"/>
        <v>106.57562922943146</v>
      </c>
      <c r="AX143" s="1" t="b">
        <f t="shared" si="245"/>
        <v>1</v>
      </c>
      <c r="AY143" s="1" t="s">
        <v>151</v>
      </c>
      <c r="AZ143" s="1">
        <v>4</v>
      </c>
      <c r="BA143" s="1" t="s">
        <v>433</v>
      </c>
      <c r="BB143" s="1" t="s">
        <v>434</v>
      </c>
      <c r="BC143" s="1">
        <v>1.6644617371374598E-2</v>
      </c>
    </row>
    <row r="144" spans="1:55" x14ac:dyDescent="0.35">
      <c r="A144" s="1" t="s">
        <v>152</v>
      </c>
      <c r="B144" s="1">
        <v>0.99927387871012119</v>
      </c>
      <c r="C144" s="1">
        <v>1</v>
      </c>
      <c r="D144" s="1">
        <v>0.99902649149842826</v>
      </c>
      <c r="E144" s="1">
        <v>0.99901453312710808</v>
      </c>
      <c r="F144" s="1">
        <v>0.99697046952069224</v>
      </c>
      <c r="G144" s="1">
        <v>0.99849882469014783</v>
      </c>
      <c r="H144" s="1">
        <v>0.99964281519499276</v>
      </c>
      <c r="I144" s="1">
        <v>0.99872614685348449</v>
      </c>
      <c r="J144" s="1">
        <v>0.99774656546211704</v>
      </c>
      <c r="K144" s="1">
        <v>0.99892427833714581</v>
      </c>
      <c r="L144" s="1">
        <v>0.99974693289458383</v>
      </c>
      <c r="M144" s="1">
        <v>0.99941368567988986</v>
      </c>
      <c r="N144" s="1">
        <v>0.99888631109059234</v>
      </c>
      <c r="O144" s="1">
        <v>1.0001944440843631</v>
      </c>
      <c r="P144" s="1">
        <v>0.99920552632261073</v>
      </c>
      <c r="Q144" s="1">
        <v>0.99960179877997368</v>
      </c>
      <c r="S144" s="1">
        <f t="shared" si="254"/>
        <v>100</v>
      </c>
      <c r="T144" s="1">
        <f t="shared" si="256"/>
        <v>99.90264914984283</v>
      </c>
      <c r="U144" s="1">
        <f t="shared" si="257"/>
        <v>99.80419839859151</v>
      </c>
      <c r="V144" s="1">
        <f t="shared" si="258"/>
        <v>99.501838537580099</v>
      </c>
      <c r="W144" s="1">
        <f t="shared" si="259"/>
        <v>99.35246883428259</v>
      </c>
      <c r="X144" s="1">
        <f t="shared" si="260"/>
        <v>99.316981642075035</v>
      </c>
      <c r="Y144" s="1">
        <f t="shared" si="261"/>
        <v>99.190466392507858</v>
      </c>
      <c r="Z144" s="1">
        <f t="shared" si="262"/>
        <v>98.966947169710267</v>
      </c>
      <c r="AA144" s="1">
        <f t="shared" si="263"/>
        <v>98.860486280733269</v>
      </c>
      <c r="AB144" s="1">
        <f t="shared" si="264"/>
        <v>98.835467943630164</v>
      </c>
      <c r="AC144" s="1">
        <f t="shared" si="265"/>
        <v>98.777519293440022</v>
      </c>
      <c r="AD144" s="1">
        <f t="shared" si="266"/>
        <v>98.667511865704114</v>
      </c>
      <c r="AE144" s="1">
        <f t="shared" si="267"/>
        <v>99.264711292341488</v>
      </c>
      <c r="AF144" s="1">
        <f t="shared" si="268"/>
        <v>1.0074073525030767</v>
      </c>
      <c r="AH144" s="1" t="str">
        <f t="shared" si="269"/>
        <v>C2821.44160</v>
      </c>
      <c r="AI144" s="1">
        <f t="shared" si="232"/>
        <v>100.74073525030767</v>
      </c>
      <c r="AJ144" s="1">
        <f t="shared" si="233"/>
        <v>100.64266328808691</v>
      </c>
      <c r="AK144" s="1">
        <f t="shared" si="234"/>
        <v>100.54348327741688</v>
      </c>
      <c r="AL144" s="1">
        <f t="shared" si="235"/>
        <v>100.23888373033218</v>
      </c>
      <c r="AM144" s="1">
        <f t="shared" si="236"/>
        <v>100.08840759298906</v>
      </c>
      <c r="AN144" s="1">
        <f t="shared" si="237"/>
        <v>100.05265753463948</v>
      </c>
      <c r="AO144" s="1">
        <f t="shared" si="238"/>
        <v>99.925205142021738</v>
      </c>
      <c r="AP144" s="1">
        <f t="shared" si="239"/>
        <v>99.700030233549683</v>
      </c>
      <c r="AQ144" s="1">
        <f t="shared" si="240"/>
        <v>99.592780751240241</v>
      </c>
      <c r="AR144" s="1">
        <f t="shared" si="241"/>
        <v>99.567577094495164</v>
      </c>
      <c r="AS144" s="1">
        <f t="shared" si="242"/>
        <v>99.509199198225986</v>
      </c>
      <c r="AT144" s="1">
        <f t="shared" si="243"/>
        <v>99.398376906694878</v>
      </c>
      <c r="AU144" s="1">
        <f t="shared" ref="AU144:AW144" si="281">AT144*O144</f>
        <v>99.417704333079683</v>
      </c>
      <c r="AV144" s="1">
        <f t="shared" si="281"/>
        <v>99.338719583920579</v>
      </c>
      <c r="AW144" s="1">
        <f t="shared" si="281"/>
        <v>99.299162784586414</v>
      </c>
      <c r="AX144" s="1" t="b">
        <f t="shared" si="245"/>
        <v>1</v>
      </c>
      <c r="AY144" s="1" t="s">
        <v>152</v>
      </c>
      <c r="AZ144" s="1">
        <v>4</v>
      </c>
      <c r="BA144" s="1" t="s">
        <v>437</v>
      </c>
      <c r="BB144" s="1" t="s">
        <v>438</v>
      </c>
      <c r="BC144" s="1">
        <v>2.7126350470942856E-3</v>
      </c>
    </row>
    <row r="145" spans="1:55" x14ac:dyDescent="0.35">
      <c r="A145" s="1" t="s">
        <v>153</v>
      </c>
      <c r="B145" s="1">
        <v>1</v>
      </c>
      <c r="C145" s="1">
        <v>1</v>
      </c>
      <c r="D145" s="1">
        <v>1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S145" s="1">
        <f t="shared" si="254"/>
        <v>100</v>
      </c>
      <c r="T145" s="1">
        <f t="shared" si="256"/>
        <v>100</v>
      </c>
      <c r="U145" s="1">
        <f t="shared" si="257"/>
        <v>100</v>
      </c>
      <c r="V145" s="1">
        <f t="shared" si="258"/>
        <v>100</v>
      </c>
      <c r="W145" s="1">
        <f t="shared" si="259"/>
        <v>100</v>
      </c>
      <c r="X145" s="1">
        <f t="shared" si="260"/>
        <v>100</v>
      </c>
      <c r="Y145" s="1">
        <f t="shared" si="261"/>
        <v>100</v>
      </c>
      <c r="Z145" s="1">
        <f t="shared" si="262"/>
        <v>100</v>
      </c>
      <c r="AA145" s="1">
        <f t="shared" si="263"/>
        <v>100</v>
      </c>
      <c r="AB145" s="1">
        <f t="shared" si="264"/>
        <v>100</v>
      </c>
      <c r="AC145" s="1">
        <f t="shared" si="265"/>
        <v>100</v>
      </c>
      <c r="AD145" s="1">
        <f t="shared" si="266"/>
        <v>100</v>
      </c>
      <c r="AE145" s="1">
        <f t="shared" si="267"/>
        <v>100</v>
      </c>
      <c r="AF145" s="1">
        <f t="shared" si="268"/>
        <v>1</v>
      </c>
      <c r="AH145" s="1" t="str">
        <f t="shared" si="269"/>
        <v>C2920.49229</v>
      </c>
      <c r="AI145" s="1">
        <f t="shared" si="232"/>
        <v>100</v>
      </c>
      <c r="AJ145" s="1">
        <f t="shared" si="233"/>
        <v>100</v>
      </c>
      <c r="AK145" s="1">
        <f t="shared" si="234"/>
        <v>100</v>
      </c>
      <c r="AL145" s="1">
        <f t="shared" si="235"/>
        <v>100</v>
      </c>
      <c r="AM145" s="1">
        <f t="shared" si="236"/>
        <v>100</v>
      </c>
      <c r="AN145" s="1">
        <f t="shared" si="237"/>
        <v>100</v>
      </c>
      <c r="AO145" s="1">
        <f t="shared" si="238"/>
        <v>100</v>
      </c>
      <c r="AP145" s="1">
        <f t="shared" si="239"/>
        <v>100</v>
      </c>
      <c r="AQ145" s="1">
        <f t="shared" si="240"/>
        <v>100</v>
      </c>
      <c r="AR145" s="1">
        <f t="shared" si="241"/>
        <v>100</v>
      </c>
      <c r="AS145" s="1">
        <f t="shared" si="242"/>
        <v>100</v>
      </c>
      <c r="AT145" s="1">
        <f t="shared" si="243"/>
        <v>100</v>
      </c>
      <c r="AU145" s="1">
        <f t="shared" ref="AU145:AW145" si="282">AT145*O145</f>
        <v>100</v>
      </c>
      <c r="AV145" s="1">
        <f t="shared" si="282"/>
        <v>100</v>
      </c>
      <c r="AW145" s="1">
        <f t="shared" si="282"/>
        <v>100</v>
      </c>
      <c r="AX145" s="1" t="b">
        <f t="shared" si="245"/>
        <v>1</v>
      </c>
      <c r="AY145" s="1" t="s">
        <v>153</v>
      </c>
      <c r="AZ145" s="1">
        <v>4</v>
      </c>
      <c r="BA145" s="1" t="s">
        <v>439</v>
      </c>
      <c r="BB145" s="1" t="s">
        <v>440</v>
      </c>
      <c r="BC145" s="1">
        <v>1.626569385688662E-3</v>
      </c>
    </row>
    <row r="146" spans="1:55" x14ac:dyDescent="0.35">
      <c r="A146" s="1" t="s">
        <v>154</v>
      </c>
      <c r="B146" s="1">
        <v>0.98064161351283774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0.97635616315844731</v>
      </c>
      <c r="J146" s="1">
        <v>1</v>
      </c>
      <c r="K146" s="1">
        <v>1</v>
      </c>
      <c r="L146" s="1">
        <v>0.97201018214228618</v>
      </c>
      <c r="M146" s="1">
        <v>1.011365320018663</v>
      </c>
      <c r="N146" s="1">
        <v>1</v>
      </c>
      <c r="O146" s="1">
        <v>1.0210685443366059</v>
      </c>
      <c r="P146" s="1">
        <v>1</v>
      </c>
      <c r="Q146" s="1">
        <v>1</v>
      </c>
      <c r="S146" s="1">
        <f t="shared" si="254"/>
        <v>100</v>
      </c>
      <c r="T146" s="1">
        <f t="shared" si="256"/>
        <v>100</v>
      </c>
      <c r="U146" s="1">
        <f t="shared" si="257"/>
        <v>100</v>
      </c>
      <c r="V146" s="1">
        <f t="shared" si="258"/>
        <v>100</v>
      </c>
      <c r="W146" s="1">
        <f t="shared" si="259"/>
        <v>100</v>
      </c>
      <c r="X146" s="1">
        <f t="shared" si="260"/>
        <v>100</v>
      </c>
      <c r="Y146" s="1">
        <f t="shared" si="261"/>
        <v>97.635616315844729</v>
      </c>
      <c r="Z146" s="1">
        <f t="shared" si="262"/>
        <v>97.635616315844729</v>
      </c>
      <c r="AA146" s="1">
        <f t="shared" si="263"/>
        <v>97.635616315844729</v>
      </c>
      <c r="AB146" s="1">
        <f t="shared" si="264"/>
        <v>94.902813198738599</v>
      </c>
      <c r="AC146" s="1">
        <f t="shared" si="265"/>
        <v>95.981414041413657</v>
      </c>
      <c r="AD146" s="1">
        <f t="shared" si="266"/>
        <v>95.981414041413657</v>
      </c>
      <c r="AE146" s="1">
        <f t="shared" si="267"/>
        <v>98.314374185758325</v>
      </c>
      <c r="AF146" s="1">
        <f t="shared" si="268"/>
        <v>1.0171452631235469</v>
      </c>
      <c r="AH146" s="1" t="str">
        <f t="shared" si="269"/>
        <v>C2930.49129</v>
      </c>
      <c r="AI146" s="1">
        <f t="shared" si="232"/>
        <v>101.71452631235469</v>
      </c>
      <c r="AJ146" s="1">
        <f t="shared" si="233"/>
        <v>101.71452631235469</v>
      </c>
      <c r="AK146" s="1">
        <f t="shared" si="234"/>
        <v>101.71452631235469</v>
      </c>
      <c r="AL146" s="1">
        <f t="shared" si="235"/>
        <v>101.71452631235469</v>
      </c>
      <c r="AM146" s="1">
        <f t="shared" si="236"/>
        <v>101.71452631235469</v>
      </c>
      <c r="AN146" s="1">
        <f t="shared" si="237"/>
        <v>101.71452631235469</v>
      </c>
      <c r="AO146" s="1">
        <f t="shared" si="238"/>
        <v>99.30960464780955</v>
      </c>
      <c r="AP146" s="1">
        <f t="shared" si="239"/>
        <v>99.30960464780955</v>
      </c>
      <c r="AQ146" s="1">
        <f t="shared" si="240"/>
        <v>99.30960464780955</v>
      </c>
      <c r="AR146" s="1">
        <f t="shared" si="241"/>
        <v>96.529946902195789</v>
      </c>
      <c r="AS146" s="1">
        <f t="shared" si="242"/>
        <v>97.627040640123795</v>
      </c>
      <c r="AT146" s="1">
        <f t="shared" si="243"/>
        <v>97.627040640123795</v>
      </c>
      <c r="AU146" s="1">
        <f t="shared" ref="AU146:AW146" si="283">AT146*O146</f>
        <v>99.683900274301863</v>
      </c>
      <c r="AV146" s="1">
        <f t="shared" si="283"/>
        <v>99.683900274301863</v>
      </c>
      <c r="AW146" s="1">
        <f t="shared" si="283"/>
        <v>99.683900274301863</v>
      </c>
      <c r="AX146" s="1" t="b">
        <f t="shared" si="245"/>
        <v>1</v>
      </c>
      <c r="AY146" s="1" t="s">
        <v>154</v>
      </c>
      <c r="AZ146" s="1">
        <v>4</v>
      </c>
      <c r="BA146" s="1" t="s">
        <v>441</v>
      </c>
      <c r="BB146" s="1" t="s">
        <v>442</v>
      </c>
      <c r="BC146" s="1">
        <v>1.626569385688662E-3</v>
      </c>
    </row>
    <row r="147" spans="1:55" x14ac:dyDescent="0.35">
      <c r="A147" s="1" t="s">
        <v>155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  <c r="G147" s="1">
        <v>1</v>
      </c>
      <c r="H147" s="1">
        <v>1.0020942523070711</v>
      </c>
      <c r="I147" s="1">
        <v>1</v>
      </c>
      <c r="J147" s="1">
        <v>0.99999999111111093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S147" s="1">
        <f t="shared" si="254"/>
        <v>100</v>
      </c>
      <c r="T147" s="1">
        <f t="shared" si="256"/>
        <v>100</v>
      </c>
      <c r="U147" s="1">
        <f t="shared" si="257"/>
        <v>100</v>
      </c>
      <c r="V147" s="1">
        <f t="shared" si="258"/>
        <v>100</v>
      </c>
      <c r="W147" s="1">
        <f t="shared" si="259"/>
        <v>100</v>
      </c>
      <c r="X147" s="1">
        <f t="shared" si="260"/>
        <v>100.20942523070711</v>
      </c>
      <c r="Y147" s="1">
        <f t="shared" si="261"/>
        <v>100.20942523070711</v>
      </c>
      <c r="Z147" s="1">
        <f t="shared" si="262"/>
        <v>100.20942433995664</v>
      </c>
      <c r="AA147" s="1">
        <f t="shared" si="263"/>
        <v>100.20942433995664</v>
      </c>
      <c r="AB147" s="1">
        <f t="shared" si="264"/>
        <v>100.20942433995664</v>
      </c>
      <c r="AC147" s="1">
        <f t="shared" si="265"/>
        <v>100.20942433995664</v>
      </c>
      <c r="AD147" s="1">
        <f t="shared" si="266"/>
        <v>100.20942433995664</v>
      </c>
      <c r="AE147" s="1">
        <f t="shared" si="267"/>
        <v>100.12216434676645</v>
      </c>
      <c r="AF147" s="1">
        <f t="shared" si="268"/>
        <v>0.99877984712412582</v>
      </c>
      <c r="AH147" s="1" t="str">
        <f t="shared" si="269"/>
        <v>C3100.38122</v>
      </c>
      <c r="AI147" s="1">
        <f t="shared" si="232"/>
        <v>99.877984712412584</v>
      </c>
      <c r="AJ147" s="1">
        <f t="shared" si="233"/>
        <v>99.877984712412584</v>
      </c>
      <c r="AK147" s="1">
        <f t="shared" si="234"/>
        <v>99.877984712412584</v>
      </c>
      <c r="AL147" s="1">
        <f t="shared" si="235"/>
        <v>99.877984712412584</v>
      </c>
      <c r="AM147" s="1">
        <f t="shared" si="236"/>
        <v>99.877984712412584</v>
      </c>
      <c r="AN147" s="1">
        <f t="shared" si="237"/>
        <v>100.08715441232216</v>
      </c>
      <c r="AO147" s="1">
        <f t="shared" si="238"/>
        <v>100.08715441232216</v>
      </c>
      <c r="AP147" s="1">
        <f t="shared" si="239"/>
        <v>100.08715352265855</v>
      </c>
      <c r="AQ147" s="1">
        <f t="shared" si="240"/>
        <v>100.08715352265855</v>
      </c>
      <c r="AR147" s="1">
        <f t="shared" si="241"/>
        <v>100.08715352265855</v>
      </c>
      <c r="AS147" s="1">
        <f t="shared" si="242"/>
        <v>100.08715352265855</v>
      </c>
      <c r="AT147" s="1">
        <f t="shared" si="243"/>
        <v>100.08715352265855</v>
      </c>
      <c r="AU147" s="1">
        <f t="shared" ref="AU147:AW147" si="284">AT147*O147</f>
        <v>100.08715352265855</v>
      </c>
      <c r="AV147" s="1">
        <f t="shared" si="284"/>
        <v>100.08715352265855</v>
      </c>
      <c r="AW147" s="1">
        <f t="shared" si="284"/>
        <v>100.08715352265855</v>
      </c>
      <c r="AX147" s="1" t="b">
        <f t="shared" si="245"/>
        <v>1</v>
      </c>
      <c r="AY147" s="1" t="s">
        <v>155</v>
      </c>
      <c r="AZ147" s="1">
        <v>4</v>
      </c>
      <c r="BA147" s="1" t="s">
        <v>443</v>
      </c>
      <c r="BB147" s="1" t="s">
        <v>444</v>
      </c>
      <c r="BC147" s="1">
        <v>1.1302465006915714E-2</v>
      </c>
    </row>
    <row r="148" spans="1:55" x14ac:dyDescent="0.35">
      <c r="A148" s="1" t="s">
        <v>156</v>
      </c>
      <c r="B148" s="1">
        <v>1.0122721979835336</v>
      </c>
      <c r="C148" s="1">
        <v>1</v>
      </c>
      <c r="D148" s="1">
        <v>0.99362524470288183</v>
      </c>
      <c r="E148" s="1">
        <v>1</v>
      </c>
      <c r="F148" s="1">
        <v>1</v>
      </c>
      <c r="G148" s="1">
        <v>1</v>
      </c>
      <c r="H148" s="1">
        <v>1.0046891752221969</v>
      </c>
      <c r="I148" s="1">
        <v>0.99985655067230594</v>
      </c>
      <c r="J148" s="1">
        <v>1.0037889760421748</v>
      </c>
      <c r="K148" s="1">
        <v>0.99999999929780559</v>
      </c>
      <c r="L148" s="1">
        <v>1</v>
      </c>
      <c r="M148" s="1">
        <v>0.99999995742988401</v>
      </c>
      <c r="N148" s="1">
        <v>1</v>
      </c>
      <c r="O148" s="1">
        <v>1.0000000425701177</v>
      </c>
      <c r="P148" s="1">
        <v>1.0070586298506516</v>
      </c>
      <c r="Q148" s="1">
        <v>1</v>
      </c>
      <c r="S148" s="1">
        <f t="shared" si="254"/>
        <v>100</v>
      </c>
      <c r="T148" s="1">
        <f t="shared" si="256"/>
        <v>99.362524470288179</v>
      </c>
      <c r="U148" s="1">
        <f t="shared" si="257"/>
        <v>99.362524470288179</v>
      </c>
      <c r="V148" s="1">
        <f t="shared" si="258"/>
        <v>99.362524470288179</v>
      </c>
      <c r="W148" s="1">
        <f t="shared" si="259"/>
        <v>99.362524470288179</v>
      </c>
      <c r="X148" s="1">
        <f t="shared" si="260"/>
        <v>99.828452758049195</v>
      </c>
      <c r="Y148" s="1">
        <f t="shared" si="261"/>
        <v>99.814132433616322</v>
      </c>
      <c r="Z148" s="1">
        <f t="shared" si="262"/>
        <v>100.19232579007776</v>
      </c>
      <c r="AA148" s="1">
        <f t="shared" si="263"/>
        <v>100.19232571972327</v>
      </c>
      <c r="AB148" s="1">
        <f t="shared" si="264"/>
        <v>100.19232571972327</v>
      </c>
      <c r="AC148" s="1">
        <f t="shared" si="265"/>
        <v>100.19232145452435</v>
      </c>
      <c r="AD148" s="1">
        <f t="shared" si="266"/>
        <v>100.19232145452435</v>
      </c>
      <c r="AE148" s="1">
        <f t="shared" si="267"/>
        <v>99.837858600949275</v>
      </c>
      <c r="AF148" s="1">
        <f t="shared" si="268"/>
        <v>1.001624047243429</v>
      </c>
      <c r="AH148" s="1" t="str">
        <f t="shared" si="269"/>
        <v>C3100.38140</v>
      </c>
      <c r="AI148" s="1">
        <f t="shared" si="232"/>
        <v>100.16240472434291</v>
      </c>
      <c r="AJ148" s="1">
        <f t="shared" si="233"/>
        <v>99.523893904254294</v>
      </c>
      <c r="AK148" s="1">
        <f t="shared" si="234"/>
        <v>99.523893904254294</v>
      </c>
      <c r="AL148" s="1">
        <f t="shared" si="235"/>
        <v>99.523893904254294</v>
      </c>
      <c r="AM148" s="1">
        <f t="shared" si="236"/>
        <v>99.523893904254294</v>
      </c>
      <c r="AN148" s="1">
        <f t="shared" si="237"/>
        <v>99.990578881566691</v>
      </c>
      <c r="AO148" s="1">
        <f t="shared" si="238"/>
        <v>99.976235300250394</v>
      </c>
      <c r="AP148" s="1">
        <f t="shared" si="239"/>
        <v>100.35504286058988</v>
      </c>
      <c r="AQ148" s="1">
        <f t="shared" si="240"/>
        <v>100.35504279012113</v>
      </c>
      <c r="AR148" s="1">
        <f t="shared" si="241"/>
        <v>100.35504279012113</v>
      </c>
      <c r="AS148" s="1">
        <f t="shared" si="242"/>
        <v>100.35503851799533</v>
      </c>
      <c r="AT148" s="1">
        <f t="shared" si="243"/>
        <v>100.35503851799533</v>
      </c>
      <c r="AU148" s="1">
        <f t="shared" ref="AU148:AW148" si="285">AT148*O148</f>
        <v>100.35504279012112</v>
      </c>
      <c r="AV148" s="1">
        <f t="shared" si="285"/>
        <v>101.06341189082289</v>
      </c>
      <c r="AW148" s="1">
        <f t="shared" si="285"/>
        <v>101.06341189082289</v>
      </c>
      <c r="AX148" s="1" t="b">
        <f t="shared" si="245"/>
        <v>1</v>
      </c>
      <c r="AY148" s="1" t="s">
        <v>156</v>
      </c>
      <c r="AZ148" s="1">
        <v>4</v>
      </c>
      <c r="BA148" s="1" t="s">
        <v>445</v>
      </c>
      <c r="BB148" s="1" t="s">
        <v>446</v>
      </c>
      <c r="BC148" s="1">
        <v>1.1302465006915714E-2</v>
      </c>
    </row>
    <row r="149" spans="1:55" x14ac:dyDescent="0.35">
      <c r="A149" s="1" t="s">
        <v>157</v>
      </c>
      <c r="B149" s="1">
        <v>1</v>
      </c>
      <c r="C149" s="1">
        <v>1</v>
      </c>
      <c r="D149" s="1">
        <v>1</v>
      </c>
      <c r="E149" s="1">
        <v>1</v>
      </c>
      <c r="F149" s="1">
        <v>1</v>
      </c>
      <c r="G149" s="1">
        <v>1.0229374689185498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S149" s="1">
        <f t="shared" si="254"/>
        <v>100</v>
      </c>
      <c r="T149" s="1">
        <f t="shared" si="256"/>
        <v>100</v>
      </c>
      <c r="U149" s="1">
        <f t="shared" si="257"/>
        <v>100</v>
      </c>
      <c r="V149" s="1">
        <f t="shared" si="258"/>
        <v>100</v>
      </c>
      <c r="W149" s="1">
        <f t="shared" si="259"/>
        <v>102.29374689185498</v>
      </c>
      <c r="X149" s="1">
        <f t="shared" si="260"/>
        <v>102.29374689185498</v>
      </c>
      <c r="Y149" s="1">
        <f t="shared" si="261"/>
        <v>102.29374689185498</v>
      </c>
      <c r="Z149" s="1">
        <f t="shared" si="262"/>
        <v>102.29374689185498</v>
      </c>
      <c r="AA149" s="1">
        <f t="shared" si="263"/>
        <v>102.29374689185498</v>
      </c>
      <c r="AB149" s="1">
        <f t="shared" si="264"/>
        <v>102.29374689185498</v>
      </c>
      <c r="AC149" s="1">
        <f t="shared" si="265"/>
        <v>102.29374689185498</v>
      </c>
      <c r="AD149" s="1">
        <f t="shared" si="266"/>
        <v>102.29374689185498</v>
      </c>
      <c r="AE149" s="1">
        <f t="shared" si="267"/>
        <v>101.52916459456998</v>
      </c>
      <c r="AF149" s="1">
        <f t="shared" si="268"/>
        <v>0.98493866663163931</v>
      </c>
      <c r="AH149" s="1" t="str">
        <f t="shared" si="269"/>
        <v>C3100.38150</v>
      </c>
      <c r="AI149" s="1">
        <f t="shared" si="232"/>
        <v>98.493866663163928</v>
      </c>
      <c r="AJ149" s="1">
        <f t="shared" si="233"/>
        <v>98.493866663163928</v>
      </c>
      <c r="AK149" s="1">
        <f t="shared" si="234"/>
        <v>98.493866663163928</v>
      </c>
      <c r="AL149" s="1">
        <f t="shared" si="235"/>
        <v>98.493866663163928</v>
      </c>
      <c r="AM149" s="1">
        <f t="shared" si="236"/>
        <v>100.75306666841804</v>
      </c>
      <c r="AN149" s="1">
        <f t="shared" si="237"/>
        <v>100.75306666841804</v>
      </c>
      <c r="AO149" s="1">
        <f t="shared" si="238"/>
        <v>100.75306666841804</v>
      </c>
      <c r="AP149" s="1">
        <f t="shared" si="239"/>
        <v>100.75306666841804</v>
      </c>
      <c r="AQ149" s="1">
        <f t="shared" si="240"/>
        <v>100.75306666841804</v>
      </c>
      <c r="AR149" s="1">
        <f t="shared" si="241"/>
        <v>100.75306666841804</v>
      </c>
      <c r="AS149" s="1">
        <f t="shared" si="242"/>
        <v>100.75306666841804</v>
      </c>
      <c r="AT149" s="1">
        <f t="shared" si="243"/>
        <v>100.75306666841804</v>
      </c>
      <c r="AU149" s="1">
        <f t="shared" ref="AU149:AW149" si="286">AT149*O149</f>
        <v>100.75306666841804</v>
      </c>
      <c r="AV149" s="1">
        <f t="shared" si="286"/>
        <v>100.75306666841804</v>
      </c>
      <c r="AW149" s="1">
        <f t="shared" si="286"/>
        <v>100.75306666841804</v>
      </c>
      <c r="AX149" s="1" t="b">
        <f t="shared" si="245"/>
        <v>1</v>
      </c>
      <c r="AY149" s="1" t="s">
        <v>157</v>
      </c>
      <c r="AZ149" s="1">
        <v>4</v>
      </c>
      <c r="BA149" s="1" t="s">
        <v>447</v>
      </c>
      <c r="BB149" s="1" t="s">
        <v>448</v>
      </c>
      <c r="BC149" s="1">
        <v>1.1302465006915714E-2</v>
      </c>
    </row>
    <row r="150" spans="1:55" x14ac:dyDescent="0.35">
      <c r="A150" s="1" t="s">
        <v>158</v>
      </c>
      <c r="B150" s="1">
        <v>1</v>
      </c>
      <c r="C150" s="1">
        <v>1</v>
      </c>
      <c r="D150" s="1">
        <v>1.0000001863341077</v>
      </c>
      <c r="E150" s="1">
        <v>0.99999981366592727</v>
      </c>
      <c r="F150" s="1">
        <v>1.0127825358517257</v>
      </c>
      <c r="G150" s="1">
        <v>0.9982097554413718</v>
      </c>
      <c r="H150" s="1">
        <v>0.9878852251181518</v>
      </c>
      <c r="I150" s="1">
        <v>0.99910444472178472</v>
      </c>
      <c r="J150" s="1">
        <v>1</v>
      </c>
      <c r="K150" s="1">
        <v>1.0371728934654318</v>
      </c>
      <c r="L150" s="1">
        <v>1.0251613082172082</v>
      </c>
      <c r="M150" s="1">
        <v>1</v>
      </c>
      <c r="N150" s="1">
        <v>0.99945237574608436</v>
      </c>
      <c r="O150" s="1">
        <v>1.0040241406300072</v>
      </c>
      <c r="P150" s="1">
        <v>0.99628521590136176</v>
      </c>
      <c r="Q150" s="1">
        <v>1.0080117535939235</v>
      </c>
      <c r="S150" s="1">
        <f t="shared" si="254"/>
        <v>100</v>
      </c>
      <c r="T150" s="1">
        <f t="shared" si="256"/>
        <v>100.00001863341078</v>
      </c>
      <c r="U150" s="1">
        <f t="shared" si="257"/>
        <v>100.00000000000003</v>
      </c>
      <c r="V150" s="1">
        <f t="shared" si="258"/>
        <v>101.27825358517261</v>
      </c>
      <c r="W150" s="1">
        <f t="shared" si="259"/>
        <v>101.09694074278438</v>
      </c>
      <c r="X150" s="1">
        <f t="shared" si="260"/>
        <v>99.872174064442007</v>
      </c>
      <c r="Y150" s="1">
        <f t="shared" si="261"/>
        <v>99.782733011811757</v>
      </c>
      <c r="Z150" s="1">
        <f t="shared" si="262"/>
        <v>99.782733011811757</v>
      </c>
      <c r="AA150" s="1">
        <f t="shared" si="263"/>
        <v>103.49194591574947</v>
      </c>
      <c r="AB150" s="1">
        <f t="shared" si="264"/>
        <v>106.09593866493428</v>
      </c>
      <c r="AC150" s="1">
        <f t="shared" si="265"/>
        <v>106.09593866493428</v>
      </c>
      <c r="AD150" s="1">
        <f t="shared" si="266"/>
        <v>106.03783795567942</v>
      </c>
      <c r="AE150" s="1">
        <f t="shared" si="267"/>
        <v>101.96120952089423</v>
      </c>
      <c r="AF150" s="1">
        <f t="shared" si="268"/>
        <v>0.98076514068330733</v>
      </c>
      <c r="AH150" s="1" t="str">
        <f t="shared" si="269"/>
        <v>C3211.38240</v>
      </c>
      <c r="AI150" s="1">
        <f t="shared" si="232"/>
        <v>98.076514068330738</v>
      </c>
      <c r="AJ150" s="1">
        <f t="shared" si="233"/>
        <v>98.07653234333047</v>
      </c>
      <c r="AK150" s="1">
        <f t="shared" si="234"/>
        <v>98.076514068330766</v>
      </c>
      <c r="AL150" s="1">
        <f t="shared" si="235"/>
        <v>99.33018062562148</v>
      </c>
      <c r="AM150" s="1">
        <f t="shared" si="236"/>
        <v>99.152355310248907</v>
      </c>
      <c r="AN150" s="1">
        <f t="shared" si="237"/>
        <v>97.951146846660222</v>
      </c>
      <c r="AO150" s="1">
        <f t="shared" si="238"/>
        <v>97.86342618009445</v>
      </c>
      <c r="AP150" s="1">
        <f t="shared" si="239"/>
        <v>97.86342618009445</v>
      </c>
      <c r="AQ150" s="1">
        <f t="shared" si="240"/>
        <v>101.50129289564926</v>
      </c>
      <c r="AR150" s="1">
        <f t="shared" si="241"/>
        <v>104.05519821064182</v>
      </c>
      <c r="AS150" s="1">
        <f t="shared" si="242"/>
        <v>104.05519821064182</v>
      </c>
      <c r="AT150" s="1">
        <f t="shared" si="243"/>
        <v>103.99821506035568</v>
      </c>
      <c r="AU150" s="1">
        <f t="shared" ref="AU150:AW150" si="287">AT150*O150</f>
        <v>104.41671850302828</v>
      </c>
      <c r="AV150" s="1">
        <f t="shared" si="287"/>
        <v>104.02883293750125</v>
      </c>
      <c r="AW150" s="1">
        <f t="shared" si="287"/>
        <v>104.86228631365994</v>
      </c>
      <c r="AX150" s="1" t="b">
        <f t="shared" si="245"/>
        <v>1</v>
      </c>
      <c r="AY150" s="1" t="s">
        <v>158</v>
      </c>
      <c r="AZ150" s="1">
        <v>4</v>
      </c>
      <c r="BA150" s="1" t="s">
        <v>449</v>
      </c>
      <c r="BB150" s="1" t="s">
        <v>450</v>
      </c>
      <c r="BC150" s="1">
        <v>1.2884637124878191E-3</v>
      </c>
    </row>
    <row r="151" spans="1:55" x14ac:dyDescent="0.35">
      <c r="A151" s="1" t="s">
        <v>159</v>
      </c>
      <c r="B151" s="1">
        <v>1</v>
      </c>
      <c r="C151" s="1">
        <v>1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1.032361103068917</v>
      </c>
      <c r="N151" s="1">
        <v>1.0068108428671469</v>
      </c>
      <c r="O151" s="1">
        <v>1</v>
      </c>
      <c r="P151" s="1">
        <v>1</v>
      </c>
      <c r="Q151" s="1">
        <v>1</v>
      </c>
      <c r="S151" s="1">
        <f>C151*100</f>
        <v>100</v>
      </c>
      <c r="T151" s="1">
        <f t="shared" si="256"/>
        <v>100</v>
      </c>
      <c r="U151" s="1">
        <f t="shared" si="257"/>
        <v>100</v>
      </c>
      <c r="V151" s="1">
        <f t="shared" si="258"/>
        <v>100</v>
      </c>
      <c r="W151" s="1">
        <f t="shared" si="259"/>
        <v>100</v>
      </c>
      <c r="X151" s="1">
        <f t="shared" si="260"/>
        <v>100</v>
      </c>
      <c r="Y151" s="1">
        <f t="shared" si="261"/>
        <v>100</v>
      </c>
      <c r="Z151" s="1">
        <f t="shared" si="262"/>
        <v>100</v>
      </c>
      <c r="AA151" s="1">
        <f t="shared" si="263"/>
        <v>100</v>
      </c>
      <c r="AB151" s="1">
        <f t="shared" si="264"/>
        <v>100</v>
      </c>
      <c r="AC151" s="1">
        <f t="shared" si="265"/>
        <v>103.2361103068917</v>
      </c>
      <c r="AD151" s="1">
        <f t="shared" si="266"/>
        <v>103.9392352324074</v>
      </c>
      <c r="AE151" s="1">
        <f t="shared" si="267"/>
        <v>100.59794546160826</v>
      </c>
      <c r="AF151" s="1">
        <f t="shared" si="268"/>
        <v>0.99405608674347667</v>
      </c>
      <c r="AH151" s="1" t="str">
        <f t="shared" si="269"/>
        <v>C3212.38997</v>
      </c>
      <c r="AI151" s="1">
        <f t="shared" si="232"/>
        <v>99.405608674347661</v>
      </c>
      <c r="AJ151" s="1">
        <f t="shared" si="233"/>
        <v>99.405608674347661</v>
      </c>
      <c r="AK151" s="1">
        <f t="shared" si="234"/>
        <v>99.405608674347661</v>
      </c>
      <c r="AL151" s="1">
        <f t="shared" si="235"/>
        <v>99.405608674347661</v>
      </c>
      <c r="AM151" s="1">
        <f t="shared" si="236"/>
        <v>99.405608674347661</v>
      </c>
      <c r="AN151" s="1">
        <f t="shared" si="237"/>
        <v>99.405608674347661</v>
      </c>
      <c r="AO151" s="1">
        <f t="shared" si="238"/>
        <v>99.405608674347661</v>
      </c>
      <c r="AP151" s="1">
        <f t="shared" si="239"/>
        <v>99.405608674347661</v>
      </c>
      <c r="AQ151" s="1">
        <f t="shared" si="240"/>
        <v>99.405608674347661</v>
      </c>
      <c r="AR151" s="1">
        <f t="shared" si="241"/>
        <v>99.405608674347661</v>
      </c>
      <c r="AS151" s="1">
        <f t="shared" si="242"/>
        <v>102.62248382228667</v>
      </c>
      <c r="AT151" s="1">
        <f t="shared" si="243"/>
        <v>103.32142943423659</v>
      </c>
      <c r="AU151" s="1">
        <f t="shared" ref="AU151:AW151" si="288">AT151*O151</f>
        <v>103.32142943423659</v>
      </c>
      <c r="AV151" s="1">
        <f t="shared" si="288"/>
        <v>103.32142943423659</v>
      </c>
      <c r="AW151" s="1">
        <f t="shared" si="288"/>
        <v>103.32142943423659</v>
      </c>
      <c r="AX151" s="1" t="b">
        <f t="shared" si="245"/>
        <v>1</v>
      </c>
      <c r="AY151" s="1" t="s">
        <v>159</v>
      </c>
      <c r="AZ151" s="1">
        <v>4</v>
      </c>
      <c r="BA151" s="1" t="s">
        <v>451</v>
      </c>
      <c r="BB151" s="1" t="s">
        <v>452</v>
      </c>
      <c r="BC151" s="1">
        <v>6.7362422135816714E-3</v>
      </c>
    </row>
  </sheetData>
  <autoFilter ref="A1:BC151" xr:uid="{9763DD32-A4DD-4444-9E37-8D5B93144517}"/>
  <sortState xmlns:xlrd2="http://schemas.microsoft.com/office/spreadsheetml/2017/richdata2" ref="AY2:BC151">
    <sortCondition ref="AY2:AY1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1F4D-678F-4615-84A6-BA272EEE0892}">
  <dimension ref="A1:AD4"/>
  <sheetViews>
    <sheetView workbookViewId="0">
      <selection activeCell="A2" sqref="A2"/>
    </sheetView>
  </sheetViews>
  <sheetFormatPr defaultRowHeight="14.5" x14ac:dyDescent="0.35"/>
  <cols>
    <col min="1" max="1" width="15.81640625" customWidth="1"/>
  </cols>
  <sheetData>
    <row r="1" spans="1:30" ht="29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</v>
      </c>
      <c r="P1" s="1" t="s">
        <v>2</v>
      </c>
      <c r="Q1" s="1" t="s">
        <v>3</v>
      </c>
      <c r="R1" s="1"/>
      <c r="S1" s="3" t="s">
        <v>160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</row>
    <row r="2" spans="1:30" x14ac:dyDescent="0.35">
      <c r="A2" t="s">
        <v>267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0.99998417919313198</v>
      </c>
      <c r="K2">
        <v>1</v>
      </c>
      <c r="L2">
        <v>0.97501092247516186</v>
      </c>
      <c r="M2">
        <v>1</v>
      </c>
      <c r="N2">
        <v>1</v>
      </c>
      <c r="O2">
        <v>1</v>
      </c>
      <c r="P2">
        <v>1.0256370863621125</v>
      </c>
      <c r="Q2">
        <v>1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99.998417919313198</v>
      </c>
      <c r="AA2">
        <v>99.998417919313198</v>
      </c>
      <c r="AB2">
        <v>97.499549701566323</v>
      </c>
      <c r="AC2">
        <v>97.499549701566323</v>
      </c>
      <c r="AD2">
        <v>97.499549701566323</v>
      </c>
    </row>
    <row r="3" spans="1:30" x14ac:dyDescent="0.35">
      <c r="A3" t="s">
        <v>270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</row>
    <row r="4" spans="1:30" x14ac:dyDescent="0.35">
      <c r="A4" t="s">
        <v>273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0.99999012340801663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99.99901234080167</v>
      </c>
      <c r="AA4">
        <v>99.99901234080167</v>
      </c>
      <c r="AB4">
        <v>99.99901234080167</v>
      </c>
      <c r="AC4">
        <v>99.99901234080167</v>
      </c>
      <c r="AD4">
        <v>99.99901234080167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C1104.24490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Ernestina Brigida Perez Ardiles</dc:creator>
  <cp:lastModifiedBy>Ernestina Brigida Perez Ardiles</cp:lastModifiedBy>
  <dcterms:created xsi:type="dcterms:W3CDTF">2025-05-28T07:04:48Z</dcterms:created>
  <dcterms:modified xsi:type="dcterms:W3CDTF">2026-03-18T17:58:51Z</dcterms:modified>
</cp:coreProperties>
</file>