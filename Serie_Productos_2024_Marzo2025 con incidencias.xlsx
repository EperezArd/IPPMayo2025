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ernestina_perez_un_org/Documents/0Escritorio/ESCRITORIO/AT Paises/AT Guatemala/2025/AT Mayo/IPP/"/>
    </mc:Choice>
  </mc:AlternateContent>
  <xr:revisionPtr revIDLastSave="15" documentId="8_{F1D79638-DAD2-4689-A87F-848C73272F20}" xr6:coauthVersionLast="47" xr6:coauthVersionMax="47" xr10:uidLastSave="{619EC946-2DAB-4E97-BA9F-43C5722DB84E}"/>
  <bookViews>
    <workbookView xWindow="19090" yWindow="-110" windowWidth="19420" windowHeight="10300" xr2:uid="{0FAD474E-FEAE-4735-8AC6-B1BF8F3F56A9}"/>
  </bookViews>
  <sheets>
    <sheet name="Calculo_seccion" sheetId="1" r:id="rId1"/>
    <sheet name="Calculo_division_clase" sheetId="3" r:id="rId2"/>
    <sheet name="C1104.24490" sheetId="2" r:id="rId3"/>
  </sheets>
  <definedNames>
    <definedName name="_xlnm._FilterDatabase" localSheetId="1" hidden="1">Calculo_division_clase!$M$55:$O$108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0" i="3" l="1"/>
  <c r="O61" i="3"/>
  <c r="O62" i="3"/>
  <c r="O63" i="3"/>
  <c r="O64" i="3" s="1"/>
  <c r="O65" i="3"/>
  <c r="O66" i="3" s="1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56" i="3"/>
  <c r="O57" i="3" s="1"/>
  <c r="O58" i="3" s="1"/>
  <c r="O59" i="3" s="1"/>
  <c r="K102" i="3"/>
  <c r="J102" i="3"/>
  <c r="I102" i="3"/>
  <c r="H102" i="3"/>
  <c r="K101" i="3"/>
  <c r="J101" i="3"/>
  <c r="I101" i="3"/>
  <c r="H101" i="3"/>
  <c r="K100" i="3"/>
  <c r="J100" i="3"/>
  <c r="I100" i="3"/>
  <c r="H100" i="3"/>
  <c r="K99" i="3"/>
  <c r="J99" i="3"/>
  <c r="I99" i="3"/>
  <c r="H99" i="3"/>
  <c r="K98" i="3"/>
  <c r="J98" i="3"/>
  <c r="I98" i="3"/>
  <c r="H98" i="3"/>
  <c r="K97" i="3"/>
  <c r="J97" i="3"/>
  <c r="I97" i="3"/>
  <c r="H97" i="3"/>
  <c r="K96" i="3"/>
  <c r="J96" i="3"/>
  <c r="I96" i="3"/>
  <c r="H96" i="3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K87" i="3"/>
  <c r="J87" i="3"/>
  <c r="I87" i="3"/>
  <c r="H87" i="3"/>
  <c r="K86" i="3"/>
  <c r="J86" i="3"/>
  <c r="I86" i="3"/>
  <c r="H86" i="3"/>
  <c r="K85" i="3"/>
  <c r="J85" i="3"/>
  <c r="I85" i="3"/>
  <c r="H85" i="3"/>
  <c r="K84" i="3"/>
  <c r="J84" i="3"/>
  <c r="I84" i="3"/>
  <c r="H84" i="3"/>
  <c r="K83" i="3"/>
  <c r="J83" i="3"/>
  <c r="I83" i="3"/>
  <c r="H83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K77" i="3"/>
  <c r="J77" i="3"/>
  <c r="I77" i="3"/>
  <c r="H77" i="3"/>
  <c r="K76" i="3"/>
  <c r="J76" i="3"/>
  <c r="I76" i="3"/>
  <c r="H76" i="3"/>
  <c r="K75" i="3"/>
  <c r="J75" i="3"/>
  <c r="I75" i="3"/>
  <c r="H75" i="3"/>
  <c r="K74" i="3"/>
  <c r="J74" i="3"/>
  <c r="I74" i="3"/>
  <c r="H74" i="3"/>
  <c r="K73" i="3"/>
  <c r="J73" i="3"/>
  <c r="I73" i="3"/>
  <c r="H73" i="3"/>
  <c r="K72" i="3"/>
  <c r="J72" i="3"/>
  <c r="I72" i="3"/>
  <c r="H72" i="3"/>
  <c r="K71" i="3"/>
  <c r="J71" i="3"/>
  <c r="I71" i="3"/>
  <c r="H71" i="3"/>
  <c r="K70" i="3"/>
  <c r="J70" i="3"/>
  <c r="I70" i="3"/>
  <c r="H70" i="3"/>
  <c r="K69" i="3"/>
  <c r="J69" i="3"/>
  <c r="I69" i="3"/>
  <c r="H69" i="3"/>
  <c r="K68" i="3"/>
  <c r="J68" i="3"/>
  <c r="I68" i="3"/>
  <c r="H68" i="3"/>
  <c r="K67" i="3"/>
  <c r="J67" i="3"/>
  <c r="I67" i="3"/>
  <c r="H67" i="3"/>
  <c r="K66" i="3"/>
  <c r="J66" i="3"/>
  <c r="I66" i="3"/>
  <c r="H66" i="3"/>
  <c r="K65" i="3"/>
  <c r="J65" i="3"/>
  <c r="I65" i="3"/>
  <c r="H65" i="3"/>
  <c r="K64" i="3"/>
  <c r="J64" i="3"/>
  <c r="I64" i="3"/>
  <c r="H64" i="3"/>
  <c r="K63" i="3"/>
  <c r="J63" i="3"/>
  <c r="I63" i="3"/>
  <c r="H63" i="3"/>
  <c r="K62" i="3"/>
  <c r="J62" i="3"/>
  <c r="I62" i="3"/>
  <c r="H62" i="3"/>
  <c r="K61" i="3"/>
  <c r="J61" i="3"/>
  <c r="I61" i="3"/>
  <c r="H61" i="3"/>
  <c r="K60" i="3"/>
  <c r="J60" i="3"/>
  <c r="I60" i="3"/>
  <c r="H60" i="3"/>
  <c r="K59" i="3"/>
  <c r="J59" i="3"/>
  <c r="I59" i="3"/>
  <c r="H59" i="3"/>
  <c r="K58" i="3"/>
  <c r="J58" i="3"/>
  <c r="I58" i="3"/>
  <c r="H58" i="3"/>
  <c r="K57" i="3"/>
  <c r="J57" i="3"/>
  <c r="I57" i="3"/>
  <c r="H57" i="3"/>
  <c r="K56" i="3"/>
  <c r="J56" i="3"/>
  <c r="I56" i="3"/>
  <c r="H56" i="3"/>
  <c r="K103" i="3"/>
  <c r="J103" i="3"/>
  <c r="I103" i="3"/>
  <c r="H103" i="3"/>
  <c r="V22" i="3"/>
  <c r="U22" i="3"/>
  <c r="T22" i="3"/>
  <c r="V21" i="3"/>
  <c r="U21" i="3"/>
  <c r="T21" i="3"/>
  <c r="V20" i="3"/>
  <c r="U20" i="3"/>
  <c r="T20" i="3"/>
  <c r="V19" i="3"/>
  <c r="U19" i="3"/>
  <c r="T19" i="3"/>
  <c r="V18" i="3"/>
  <c r="U18" i="3"/>
  <c r="T18" i="3"/>
  <c r="V17" i="3"/>
  <c r="U17" i="3"/>
  <c r="T17" i="3"/>
  <c r="V16" i="3"/>
  <c r="U16" i="3"/>
  <c r="T16" i="3"/>
  <c r="V15" i="3"/>
  <c r="U15" i="3"/>
  <c r="T15" i="3"/>
  <c r="V14" i="3"/>
  <c r="U14" i="3"/>
  <c r="T14" i="3"/>
  <c r="V13" i="3"/>
  <c r="U13" i="3"/>
  <c r="T13" i="3"/>
  <c r="V12" i="3"/>
  <c r="U12" i="3"/>
  <c r="T12" i="3"/>
  <c r="V11" i="3"/>
  <c r="U11" i="3"/>
  <c r="T11" i="3"/>
  <c r="V10" i="3"/>
  <c r="U10" i="3"/>
  <c r="T10" i="3"/>
  <c r="V9" i="3"/>
  <c r="U9" i="3"/>
  <c r="T9" i="3"/>
  <c r="V8" i="3"/>
  <c r="U8" i="3"/>
  <c r="T8" i="3"/>
  <c r="V7" i="3"/>
  <c r="U7" i="3"/>
  <c r="T7" i="3"/>
  <c r="V6" i="3"/>
  <c r="U6" i="3"/>
  <c r="T6" i="3"/>
  <c r="V5" i="3"/>
  <c r="U5" i="3"/>
  <c r="T5" i="3"/>
  <c r="V4" i="3"/>
  <c r="U4" i="3"/>
  <c r="T4" i="3"/>
  <c r="R22" i="3"/>
  <c r="Q22" i="3"/>
  <c r="P22" i="3"/>
  <c r="O22" i="3"/>
  <c r="R21" i="3"/>
  <c r="Q21" i="3"/>
  <c r="P21" i="3"/>
  <c r="O21" i="3"/>
  <c r="R20" i="3"/>
  <c r="Q20" i="3"/>
  <c r="P20" i="3"/>
  <c r="O20" i="3"/>
  <c r="R19" i="3"/>
  <c r="Q19" i="3"/>
  <c r="P19" i="3"/>
  <c r="O19" i="3"/>
  <c r="R18" i="3"/>
  <c r="Q18" i="3"/>
  <c r="P18" i="3"/>
  <c r="O18" i="3"/>
  <c r="R17" i="3"/>
  <c r="Q17" i="3"/>
  <c r="P17" i="3"/>
  <c r="O17" i="3"/>
  <c r="R16" i="3"/>
  <c r="Q16" i="3"/>
  <c r="P16" i="3"/>
  <c r="O16" i="3"/>
  <c r="R15" i="3"/>
  <c r="Q15" i="3"/>
  <c r="P15" i="3"/>
  <c r="O15" i="3"/>
  <c r="R14" i="3"/>
  <c r="Q14" i="3"/>
  <c r="P14" i="3"/>
  <c r="O14" i="3"/>
  <c r="R13" i="3"/>
  <c r="Q13" i="3"/>
  <c r="P13" i="3"/>
  <c r="O13" i="3"/>
  <c r="R12" i="3"/>
  <c r="Q12" i="3"/>
  <c r="P12" i="3"/>
  <c r="O12" i="3"/>
  <c r="R11" i="3"/>
  <c r="Q11" i="3"/>
  <c r="P11" i="3"/>
  <c r="O11" i="3"/>
  <c r="R10" i="3"/>
  <c r="Q10" i="3"/>
  <c r="P10" i="3"/>
  <c r="O10" i="3"/>
  <c r="R9" i="3"/>
  <c r="Q9" i="3"/>
  <c r="P9" i="3"/>
  <c r="O9" i="3"/>
  <c r="R8" i="3"/>
  <c r="Q8" i="3"/>
  <c r="P8" i="3"/>
  <c r="O8" i="3"/>
  <c r="R7" i="3"/>
  <c r="Q7" i="3"/>
  <c r="P7" i="3"/>
  <c r="O7" i="3"/>
  <c r="R6" i="3"/>
  <c r="Q6" i="3"/>
  <c r="P6" i="3"/>
  <c r="O6" i="3"/>
  <c r="R5" i="3"/>
  <c r="Q5" i="3"/>
  <c r="P5" i="3"/>
  <c r="O5" i="3"/>
  <c r="R4" i="3"/>
  <c r="Q4" i="3"/>
  <c r="P4" i="3"/>
  <c r="O4" i="3"/>
  <c r="AZ4" i="1"/>
  <c r="BA4" i="1"/>
  <c r="AZ5" i="1"/>
  <c r="BA5" i="1"/>
  <c r="AZ6" i="1"/>
  <c r="BA6" i="1"/>
  <c r="AZ7" i="1"/>
  <c r="BA7" i="1"/>
  <c r="AZ8" i="1"/>
  <c r="BA8" i="1"/>
  <c r="AZ9" i="1"/>
  <c r="BA9" i="1"/>
  <c r="AZ10" i="1"/>
  <c r="BA10" i="1"/>
  <c r="AZ11" i="1"/>
  <c r="BA11" i="1"/>
  <c r="AZ12" i="1"/>
  <c r="BA12" i="1"/>
  <c r="AZ13" i="1"/>
  <c r="BA13" i="1"/>
  <c r="AZ14" i="1"/>
  <c r="BA14" i="1"/>
  <c r="AZ15" i="1"/>
  <c r="BA15" i="1"/>
  <c r="AZ16" i="1"/>
  <c r="BA16" i="1"/>
  <c r="AZ17" i="1"/>
  <c r="BA17" i="1"/>
  <c r="AZ18" i="1"/>
  <c r="BA18" i="1"/>
  <c r="AZ19" i="1"/>
  <c r="BA19" i="1"/>
  <c r="AZ20" i="1"/>
  <c r="BA20" i="1"/>
  <c r="AZ21" i="1"/>
  <c r="BA21" i="1"/>
  <c r="AZ22" i="1"/>
  <c r="BA22" i="1"/>
  <c r="AZ23" i="1"/>
  <c r="BA23" i="1"/>
  <c r="AZ24" i="1"/>
  <c r="BA24" i="1"/>
  <c r="AZ25" i="1"/>
  <c r="BA25" i="1"/>
  <c r="AZ26" i="1"/>
  <c r="BA26" i="1"/>
  <c r="AZ27" i="1"/>
  <c r="BA27" i="1"/>
  <c r="AZ28" i="1"/>
  <c r="BA28" i="1"/>
  <c r="AZ29" i="1"/>
  <c r="BA29" i="1"/>
  <c r="AZ30" i="1"/>
  <c r="BA30" i="1"/>
  <c r="AZ31" i="1"/>
  <c r="BA31" i="1"/>
  <c r="AZ32" i="1"/>
  <c r="BA32" i="1"/>
  <c r="AZ33" i="1"/>
  <c r="BA33" i="1"/>
  <c r="AZ34" i="1"/>
  <c r="BA34" i="1"/>
  <c r="AZ35" i="1"/>
  <c r="BA35" i="1"/>
  <c r="AZ36" i="1"/>
  <c r="BA36" i="1"/>
  <c r="AZ37" i="1"/>
  <c r="BA37" i="1"/>
  <c r="AZ38" i="1"/>
  <c r="BA38" i="1"/>
  <c r="AZ39" i="1"/>
  <c r="BA39" i="1"/>
  <c r="AZ40" i="1"/>
  <c r="BA40" i="1"/>
  <c r="AZ41" i="1"/>
  <c r="BA41" i="1"/>
  <c r="AZ42" i="1"/>
  <c r="BA42" i="1"/>
  <c r="AZ43" i="1"/>
  <c r="BA43" i="1"/>
  <c r="AZ44" i="1"/>
  <c r="BA44" i="1"/>
  <c r="AZ45" i="1"/>
  <c r="BA45" i="1"/>
  <c r="AZ46" i="1"/>
  <c r="BA46" i="1"/>
  <c r="AZ47" i="1"/>
  <c r="BA47" i="1"/>
  <c r="AZ48" i="1"/>
  <c r="BA48" i="1"/>
  <c r="AZ49" i="1"/>
  <c r="BA49" i="1"/>
  <c r="AZ50" i="1"/>
  <c r="BA50" i="1"/>
  <c r="AZ51" i="1"/>
  <c r="BA51" i="1"/>
  <c r="AZ52" i="1"/>
  <c r="BA52" i="1"/>
  <c r="AZ53" i="1"/>
  <c r="BA53" i="1"/>
  <c r="AZ54" i="1"/>
  <c r="BA54" i="1"/>
  <c r="AZ55" i="1"/>
  <c r="BA55" i="1"/>
  <c r="AZ56" i="1"/>
  <c r="BA56" i="1"/>
  <c r="AZ57" i="1"/>
  <c r="BA57" i="1"/>
  <c r="AZ58" i="1"/>
  <c r="BA58" i="1"/>
  <c r="AZ59" i="1"/>
  <c r="BA59" i="1"/>
  <c r="AZ60" i="1"/>
  <c r="BA60" i="1"/>
  <c r="AZ61" i="1"/>
  <c r="BA61" i="1"/>
  <c r="AZ62" i="1"/>
  <c r="BA62" i="1"/>
  <c r="AZ63" i="1"/>
  <c r="BA63" i="1"/>
  <c r="AZ64" i="1"/>
  <c r="BA64" i="1"/>
  <c r="AZ65" i="1"/>
  <c r="BA65" i="1"/>
  <c r="AZ66" i="1"/>
  <c r="BA66" i="1"/>
  <c r="AZ67" i="1"/>
  <c r="BA67" i="1"/>
  <c r="AZ68" i="1"/>
  <c r="BA68" i="1"/>
  <c r="AZ69" i="1"/>
  <c r="BA69" i="1"/>
  <c r="AZ70" i="1"/>
  <c r="BA70" i="1"/>
  <c r="AZ71" i="1"/>
  <c r="BA71" i="1"/>
  <c r="AZ72" i="1"/>
  <c r="BA72" i="1"/>
  <c r="AZ73" i="1"/>
  <c r="BA73" i="1"/>
  <c r="AZ74" i="1"/>
  <c r="BA74" i="1"/>
  <c r="AZ75" i="1"/>
  <c r="BA75" i="1"/>
  <c r="AZ76" i="1"/>
  <c r="BA76" i="1"/>
  <c r="AZ77" i="1"/>
  <c r="BA77" i="1"/>
  <c r="AZ78" i="1"/>
  <c r="BA78" i="1"/>
  <c r="AZ79" i="1"/>
  <c r="BA79" i="1"/>
  <c r="AZ80" i="1"/>
  <c r="BA80" i="1"/>
  <c r="AZ81" i="1"/>
  <c r="BA81" i="1"/>
  <c r="AZ82" i="1"/>
  <c r="BA82" i="1"/>
  <c r="AZ83" i="1"/>
  <c r="BA83" i="1"/>
  <c r="AZ84" i="1"/>
  <c r="BA84" i="1"/>
  <c r="AZ85" i="1"/>
  <c r="BA85" i="1"/>
  <c r="AZ86" i="1"/>
  <c r="BA86" i="1"/>
  <c r="AZ87" i="1"/>
  <c r="BA87" i="1"/>
  <c r="AZ88" i="1"/>
  <c r="BA88" i="1"/>
  <c r="AZ89" i="1"/>
  <c r="BA89" i="1"/>
  <c r="AZ90" i="1"/>
  <c r="BA90" i="1"/>
  <c r="AZ91" i="1"/>
  <c r="BA91" i="1"/>
  <c r="AZ92" i="1"/>
  <c r="BA92" i="1"/>
  <c r="AZ93" i="1"/>
  <c r="BA93" i="1"/>
  <c r="AZ94" i="1"/>
  <c r="BA94" i="1"/>
  <c r="AZ95" i="1"/>
  <c r="BA95" i="1"/>
  <c r="AZ96" i="1"/>
  <c r="BA96" i="1"/>
  <c r="AZ97" i="1"/>
  <c r="BA97" i="1"/>
  <c r="AZ98" i="1"/>
  <c r="BA98" i="1"/>
  <c r="AZ99" i="1"/>
  <c r="BA99" i="1"/>
  <c r="AZ100" i="1"/>
  <c r="BA100" i="1"/>
  <c r="AZ101" i="1"/>
  <c r="BA101" i="1"/>
  <c r="AZ102" i="1"/>
  <c r="BA102" i="1"/>
  <c r="AZ103" i="1"/>
  <c r="BA103" i="1"/>
  <c r="AZ104" i="1"/>
  <c r="BA104" i="1"/>
  <c r="AZ105" i="1"/>
  <c r="BA105" i="1"/>
  <c r="AZ106" i="1"/>
  <c r="BA106" i="1"/>
  <c r="AZ107" i="1"/>
  <c r="BA107" i="1"/>
  <c r="AZ108" i="1"/>
  <c r="BA108" i="1"/>
  <c r="AZ109" i="1"/>
  <c r="BA109" i="1"/>
  <c r="AZ110" i="1"/>
  <c r="BA110" i="1"/>
  <c r="AZ111" i="1"/>
  <c r="BA111" i="1"/>
  <c r="AZ112" i="1"/>
  <c r="BA112" i="1"/>
  <c r="AZ113" i="1"/>
  <c r="BA113" i="1"/>
  <c r="AZ114" i="1"/>
  <c r="BA114" i="1"/>
  <c r="AZ115" i="1"/>
  <c r="BA115" i="1"/>
  <c r="AZ116" i="1"/>
  <c r="BA116" i="1"/>
  <c r="AZ117" i="1"/>
  <c r="BA117" i="1"/>
  <c r="AZ118" i="1"/>
  <c r="BA118" i="1"/>
  <c r="AZ119" i="1"/>
  <c r="BA119" i="1"/>
  <c r="AZ120" i="1"/>
  <c r="BA120" i="1"/>
  <c r="AZ121" i="1"/>
  <c r="BA121" i="1"/>
  <c r="AZ122" i="1"/>
  <c r="BA122" i="1"/>
  <c r="AZ123" i="1"/>
  <c r="BA123" i="1"/>
  <c r="AZ124" i="1"/>
  <c r="BA124" i="1"/>
  <c r="AZ125" i="1"/>
  <c r="BA125" i="1"/>
  <c r="AZ126" i="1"/>
  <c r="BA126" i="1"/>
  <c r="AZ127" i="1"/>
  <c r="BA127" i="1"/>
  <c r="AZ128" i="1"/>
  <c r="BA128" i="1"/>
  <c r="AZ129" i="1"/>
  <c r="BA129" i="1"/>
  <c r="AZ130" i="1"/>
  <c r="BA130" i="1"/>
  <c r="AZ131" i="1"/>
  <c r="BA131" i="1"/>
  <c r="AZ132" i="1"/>
  <c r="BA132" i="1"/>
  <c r="AZ133" i="1"/>
  <c r="BA133" i="1"/>
  <c r="AZ134" i="1"/>
  <c r="BA134" i="1"/>
  <c r="AZ135" i="1"/>
  <c r="BA135" i="1"/>
  <c r="AZ136" i="1"/>
  <c r="BA136" i="1"/>
  <c r="AZ137" i="1"/>
  <c r="BA137" i="1"/>
  <c r="AZ138" i="1"/>
  <c r="BA138" i="1"/>
  <c r="AZ139" i="1"/>
  <c r="BA139" i="1"/>
  <c r="AZ140" i="1"/>
  <c r="BA140" i="1"/>
  <c r="AZ141" i="1"/>
  <c r="BA141" i="1"/>
  <c r="AZ142" i="1"/>
  <c r="BA142" i="1"/>
  <c r="AZ143" i="1"/>
  <c r="BA143" i="1"/>
  <c r="AZ144" i="1"/>
  <c r="BA144" i="1"/>
  <c r="AZ145" i="1"/>
  <c r="BA145" i="1"/>
  <c r="AZ146" i="1"/>
  <c r="BA146" i="1"/>
  <c r="AZ147" i="1"/>
  <c r="BA147" i="1"/>
  <c r="AZ148" i="1"/>
  <c r="BA148" i="1"/>
  <c r="AZ149" i="1"/>
  <c r="BA149" i="1"/>
  <c r="AZ150" i="1"/>
  <c r="BA150" i="1"/>
  <c r="AZ151" i="1"/>
  <c r="BA151" i="1"/>
  <c r="AZ152" i="1"/>
  <c r="BA152" i="1"/>
  <c r="AZ3" i="1"/>
  <c r="BA3" i="1"/>
  <c r="AH59" i="1"/>
  <c r="AX59" i="1" s="1"/>
  <c r="AH58" i="1"/>
  <c r="AX58" i="1" s="1"/>
  <c r="S59" i="1"/>
  <c r="T59" i="1" s="1"/>
  <c r="U59" i="1" s="1"/>
  <c r="S58" i="1"/>
  <c r="T58" i="1" s="1"/>
  <c r="S57" i="1"/>
  <c r="V59" i="1" l="1"/>
  <c r="W59" i="1" s="1"/>
  <c r="X59" i="1" s="1"/>
  <c r="Y59" i="1" s="1"/>
  <c r="Z59" i="1" s="1"/>
  <c r="AA59" i="1" s="1"/>
  <c r="AB59" i="1" s="1"/>
  <c r="AC59" i="1" s="1"/>
  <c r="AD59" i="1" s="1"/>
  <c r="U58" i="1"/>
  <c r="V58" i="1" s="1"/>
  <c r="W58" i="1" s="1"/>
  <c r="X58" i="1" s="1"/>
  <c r="Y58" i="1" s="1"/>
  <c r="Z58" i="1" s="1"/>
  <c r="AA58" i="1" s="1"/>
  <c r="AB58" i="1" s="1"/>
  <c r="AC58" i="1" s="1"/>
  <c r="AD58" i="1" s="1"/>
  <c r="AE58" i="1" l="1"/>
  <c r="AF58" i="1" s="1"/>
  <c r="AE59" i="1"/>
  <c r="AF59" i="1" s="1"/>
  <c r="AH4" i="1"/>
  <c r="AX4" i="1" s="1"/>
  <c r="AH5" i="1"/>
  <c r="AX5" i="1" s="1"/>
  <c r="AH6" i="1"/>
  <c r="AX6" i="1" s="1"/>
  <c r="AH7" i="1"/>
  <c r="AX7" i="1" s="1"/>
  <c r="AH8" i="1"/>
  <c r="AX8" i="1" s="1"/>
  <c r="AH9" i="1"/>
  <c r="AX9" i="1" s="1"/>
  <c r="AH10" i="1"/>
  <c r="AX10" i="1" s="1"/>
  <c r="AH11" i="1"/>
  <c r="AX11" i="1" s="1"/>
  <c r="AH12" i="1"/>
  <c r="AX12" i="1" s="1"/>
  <c r="AH13" i="1"/>
  <c r="AX13" i="1" s="1"/>
  <c r="AH14" i="1"/>
  <c r="AX14" i="1" s="1"/>
  <c r="AH15" i="1"/>
  <c r="AX15" i="1" s="1"/>
  <c r="AH16" i="1"/>
  <c r="AX16" i="1" s="1"/>
  <c r="AH17" i="1"/>
  <c r="AX17" i="1" s="1"/>
  <c r="AH18" i="1"/>
  <c r="AX18" i="1" s="1"/>
  <c r="AH19" i="1"/>
  <c r="AX19" i="1" s="1"/>
  <c r="AH20" i="1"/>
  <c r="AX20" i="1" s="1"/>
  <c r="AH21" i="1"/>
  <c r="AX21" i="1" s="1"/>
  <c r="AH22" i="1"/>
  <c r="AX22" i="1" s="1"/>
  <c r="AH23" i="1"/>
  <c r="AX23" i="1" s="1"/>
  <c r="AH24" i="1"/>
  <c r="AX24" i="1" s="1"/>
  <c r="AH25" i="1"/>
  <c r="AX25" i="1" s="1"/>
  <c r="AH26" i="1"/>
  <c r="AX26" i="1" s="1"/>
  <c r="AH27" i="1"/>
  <c r="AX27" i="1" s="1"/>
  <c r="AH28" i="1"/>
  <c r="AX28" i="1" s="1"/>
  <c r="AH29" i="1"/>
  <c r="AX29" i="1" s="1"/>
  <c r="AH30" i="1"/>
  <c r="AX30" i="1" s="1"/>
  <c r="AH31" i="1"/>
  <c r="AX31" i="1" s="1"/>
  <c r="AH32" i="1"/>
  <c r="AX32" i="1" s="1"/>
  <c r="AH33" i="1"/>
  <c r="AX33" i="1" s="1"/>
  <c r="AH34" i="1"/>
  <c r="AX34" i="1" s="1"/>
  <c r="AH35" i="1"/>
  <c r="AX35" i="1" s="1"/>
  <c r="AH36" i="1"/>
  <c r="AX36" i="1" s="1"/>
  <c r="AH37" i="1"/>
  <c r="AX37" i="1" s="1"/>
  <c r="AH38" i="1"/>
  <c r="AX38" i="1" s="1"/>
  <c r="AH39" i="1"/>
  <c r="AX39" i="1" s="1"/>
  <c r="AH40" i="1"/>
  <c r="AX40" i="1" s="1"/>
  <c r="AH41" i="1"/>
  <c r="AX41" i="1" s="1"/>
  <c r="AH42" i="1"/>
  <c r="AX42" i="1" s="1"/>
  <c r="AH43" i="1"/>
  <c r="AX43" i="1" s="1"/>
  <c r="AH44" i="1"/>
  <c r="AX44" i="1" s="1"/>
  <c r="AH45" i="1"/>
  <c r="AX45" i="1" s="1"/>
  <c r="AH46" i="1"/>
  <c r="AX46" i="1" s="1"/>
  <c r="AH47" i="1"/>
  <c r="AX47" i="1" s="1"/>
  <c r="AH48" i="1"/>
  <c r="AX48" i="1" s="1"/>
  <c r="AH49" i="1"/>
  <c r="AX49" i="1" s="1"/>
  <c r="AH50" i="1"/>
  <c r="AX50" i="1" s="1"/>
  <c r="AH51" i="1"/>
  <c r="AX51" i="1" s="1"/>
  <c r="AH52" i="1"/>
  <c r="AX52" i="1" s="1"/>
  <c r="AH53" i="1"/>
  <c r="AX53" i="1" s="1"/>
  <c r="AH54" i="1"/>
  <c r="AX54" i="1" s="1"/>
  <c r="AH55" i="1"/>
  <c r="AX55" i="1" s="1"/>
  <c r="AH56" i="1"/>
  <c r="AX56" i="1" s="1"/>
  <c r="AH57" i="1"/>
  <c r="AX57" i="1" s="1"/>
  <c r="AH60" i="1"/>
  <c r="AX60" i="1" s="1"/>
  <c r="AH61" i="1"/>
  <c r="AX61" i="1" s="1"/>
  <c r="AH62" i="1"/>
  <c r="AX62" i="1" s="1"/>
  <c r="AH63" i="1"/>
  <c r="AX63" i="1" s="1"/>
  <c r="AH64" i="1"/>
  <c r="AX64" i="1" s="1"/>
  <c r="AH65" i="1"/>
  <c r="AX65" i="1" s="1"/>
  <c r="AH66" i="1"/>
  <c r="AX66" i="1" s="1"/>
  <c r="AH67" i="1"/>
  <c r="AX67" i="1" s="1"/>
  <c r="AH68" i="1"/>
  <c r="AX68" i="1" s="1"/>
  <c r="AH69" i="1"/>
  <c r="AX69" i="1" s="1"/>
  <c r="AH70" i="1"/>
  <c r="AX70" i="1" s="1"/>
  <c r="AH71" i="1"/>
  <c r="AX71" i="1" s="1"/>
  <c r="AH72" i="1"/>
  <c r="AX72" i="1" s="1"/>
  <c r="AH73" i="1"/>
  <c r="AX73" i="1" s="1"/>
  <c r="AH74" i="1"/>
  <c r="AX74" i="1" s="1"/>
  <c r="AH75" i="1"/>
  <c r="AX75" i="1" s="1"/>
  <c r="AH76" i="1"/>
  <c r="AX76" i="1" s="1"/>
  <c r="AH77" i="1"/>
  <c r="AX77" i="1" s="1"/>
  <c r="AH78" i="1"/>
  <c r="AX78" i="1" s="1"/>
  <c r="AH79" i="1"/>
  <c r="AX79" i="1" s="1"/>
  <c r="AH80" i="1"/>
  <c r="AX80" i="1" s="1"/>
  <c r="AH81" i="1"/>
  <c r="AX81" i="1" s="1"/>
  <c r="AH82" i="1"/>
  <c r="AX82" i="1" s="1"/>
  <c r="AH83" i="1"/>
  <c r="AX83" i="1" s="1"/>
  <c r="AH84" i="1"/>
  <c r="AX84" i="1" s="1"/>
  <c r="AH85" i="1"/>
  <c r="AX85" i="1" s="1"/>
  <c r="AH86" i="1"/>
  <c r="AX86" i="1" s="1"/>
  <c r="AH87" i="1"/>
  <c r="AX87" i="1" s="1"/>
  <c r="AH88" i="1"/>
  <c r="AX88" i="1" s="1"/>
  <c r="AH89" i="1"/>
  <c r="AX89" i="1" s="1"/>
  <c r="AH90" i="1"/>
  <c r="AX90" i="1" s="1"/>
  <c r="AH91" i="1"/>
  <c r="AX91" i="1" s="1"/>
  <c r="AH92" i="1"/>
  <c r="AX92" i="1" s="1"/>
  <c r="AH93" i="1"/>
  <c r="AX93" i="1" s="1"/>
  <c r="AH94" i="1"/>
  <c r="AX94" i="1" s="1"/>
  <c r="AH95" i="1"/>
  <c r="AX95" i="1" s="1"/>
  <c r="AH96" i="1"/>
  <c r="AX96" i="1" s="1"/>
  <c r="AH97" i="1"/>
  <c r="AX97" i="1" s="1"/>
  <c r="AH98" i="1"/>
  <c r="AX98" i="1" s="1"/>
  <c r="AH99" i="1"/>
  <c r="AX99" i="1" s="1"/>
  <c r="AH100" i="1"/>
  <c r="AX100" i="1" s="1"/>
  <c r="AH101" i="1"/>
  <c r="AX101" i="1" s="1"/>
  <c r="AH102" i="1"/>
  <c r="AX102" i="1" s="1"/>
  <c r="AH103" i="1"/>
  <c r="AX103" i="1" s="1"/>
  <c r="AH104" i="1"/>
  <c r="AX104" i="1" s="1"/>
  <c r="AH105" i="1"/>
  <c r="AX105" i="1" s="1"/>
  <c r="AH106" i="1"/>
  <c r="AX106" i="1" s="1"/>
  <c r="AH107" i="1"/>
  <c r="AX107" i="1" s="1"/>
  <c r="AH108" i="1"/>
  <c r="AX108" i="1" s="1"/>
  <c r="AH109" i="1"/>
  <c r="AX109" i="1" s="1"/>
  <c r="AH110" i="1"/>
  <c r="AX110" i="1" s="1"/>
  <c r="AH111" i="1"/>
  <c r="AX111" i="1" s="1"/>
  <c r="AH112" i="1"/>
  <c r="AX112" i="1" s="1"/>
  <c r="AH113" i="1"/>
  <c r="AX113" i="1" s="1"/>
  <c r="AH114" i="1"/>
  <c r="AX114" i="1" s="1"/>
  <c r="AH115" i="1"/>
  <c r="AX115" i="1" s="1"/>
  <c r="AH116" i="1"/>
  <c r="AX116" i="1" s="1"/>
  <c r="AH117" i="1"/>
  <c r="AX117" i="1" s="1"/>
  <c r="AH118" i="1"/>
  <c r="AX118" i="1" s="1"/>
  <c r="AH119" i="1"/>
  <c r="AX119" i="1" s="1"/>
  <c r="AH120" i="1"/>
  <c r="AX120" i="1" s="1"/>
  <c r="AH121" i="1"/>
  <c r="AX121" i="1" s="1"/>
  <c r="AH122" i="1"/>
  <c r="AX122" i="1" s="1"/>
  <c r="AH123" i="1"/>
  <c r="AX123" i="1" s="1"/>
  <c r="AH124" i="1"/>
  <c r="AX124" i="1" s="1"/>
  <c r="AH125" i="1"/>
  <c r="AX125" i="1" s="1"/>
  <c r="AH126" i="1"/>
  <c r="AX126" i="1" s="1"/>
  <c r="AH127" i="1"/>
  <c r="AX127" i="1" s="1"/>
  <c r="AH128" i="1"/>
  <c r="AX128" i="1" s="1"/>
  <c r="AH129" i="1"/>
  <c r="AX129" i="1" s="1"/>
  <c r="AH130" i="1"/>
  <c r="AX130" i="1" s="1"/>
  <c r="AH131" i="1"/>
  <c r="AX131" i="1" s="1"/>
  <c r="AH132" i="1"/>
  <c r="AX132" i="1" s="1"/>
  <c r="AH133" i="1"/>
  <c r="AX133" i="1" s="1"/>
  <c r="AH134" i="1"/>
  <c r="AX134" i="1" s="1"/>
  <c r="AH135" i="1"/>
  <c r="AX135" i="1" s="1"/>
  <c r="AH136" i="1"/>
  <c r="AX136" i="1" s="1"/>
  <c r="AH137" i="1"/>
  <c r="AX137" i="1" s="1"/>
  <c r="AH138" i="1"/>
  <c r="AX138" i="1" s="1"/>
  <c r="AH139" i="1"/>
  <c r="AX139" i="1" s="1"/>
  <c r="AH140" i="1"/>
  <c r="AX140" i="1" s="1"/>
  <c r="AH141" i="1"/>
  <c r="AX141" i="1" s="1"/>
  <c r="AH142" i="1"/>
  <c r="AX142" i="1" s="1"/>
  <c r="AH143" i="1"/>
  <c r="AX143" i="1" s="1"/>
  <c r="AH144" i="1"/>
  <c r="AX144" i="1" s="1"/>
  <c r="AH145" i="1"/>
  <c r="AX145" i="1" s="1"/>
  <c r="AH146" i="1"/>
  <c r="AX146" i="1" s="1"/>
  <c r="AH147" i="1"/>
  <c r="AX147" i="1" s="1"/>
  <c r="AH148" i="1"/>
  <c r="AX148" i="1" s="1"/>
  <c r="AH149" i="1"/>
  <c r="AX149" i="1" s="1"/>
  <c r="AH150" i="1"/>
  <c r="AX150" i="1" s="1"/>
  <c r="AH151" i="1"/>
  <c r="AX151" i="1" s="1"/>
  <c r="AH152" i="1"/>
  <c r="AX152" i="1" s="1"/>
  <c r="AH3" i="1"/>
  <c r="S151" i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S150" i="1"/>
  <c r="T150" i="1" s="1"/>
  <c r="U150" i="1" s="1"/>
  <c r="V150" i="1" s="1"/>
  <c r="W150" i="1" s="1"/>
  <c r="X150" i="1" s="1"/>
  <c r="Y150" i="1" s="1"/>
  <c r="Z150" i="1" s="1"/>
  <c r="AA150" i="1" s="1"/>
  <c r="AB150" i="1" s="1"/>
  <c r="AC150" i="1" s="1"/>
  <c r="AD150" i="1" s="1"/>
  <c r="S149" i="1"/>
  <c r="T149" i="1" s="1"/>
  <c r="S148" i="1"/>
  <c r="T148" i="1" s="1"/>
  <c r="S147" i="1"/>
  <c r="T147" i="1" s="1"/>
  <c r="U147" i="1" s="1"/>
  <c r="V147" i="1" s="1"/>
  <c r="W147" i="1" s="1"/>
  <c r="X147" i="1" s="1"/>
  <c r="Y147" i="1" s="1"/>
  <c r="Z147" i="1" s="1"/>
  <c r="AA147" i="1" s="1"/>
  <c r="AB147" i="1" s="1"/>
  <c r="AC147" i="1" s="1"/>
  <c r="AD147" i="1" s="1"/>
  <c r="S146" i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S145" i="1"/>
  <c r="S144" i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S143" i="1"/>
  <c r="S142" i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S141" i="1"/>
  <c r="T141" i="1" s="1"/>
  <c r="U141" i="1" s="1"/>
  <c r="S140" i="1"/>
  <c r="S139" i="1"/>
  <c r="T139" i="1" s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S138" i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S137" i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S136" i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S135" i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S134" i="1"/>
  <c r="S133" i="1"/>
  <c r="S132" i="1"/>
  <c r="S131" i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S130" i="1"/>
  <c r="T130" i="1" s="1"/>
  <c r="S129" i="1"/>
  <c r="S128" i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S127" i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S126" i="1"/>
  <c r="S125" i="1"/>
  <c r="S124" i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S123" i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S122" i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S121" i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S120" i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S119" i="1"/>
  <c r="S118" i="1"/>
  <c r="S117" i="1"/>
  <c r="S116" i="1"/>
  <c r="S115" i="1"/>
  <c r="T115" i="1" s="1"/>
  <c r="S114" i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S113" i="1"/>
  <c r="S112" i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S111" i="1"/>
  <c r="S110" i="1"/>
  <c r="S109" i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S108" i="1"/>
  <c r="S107" i="1"/>
  <c r="S106" i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S105" i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S104" i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S103" i="1"/>
  <c r="S102" i="1"/>
  <c r="T102" i="1" s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S101" i="1"/>
  <c r="S100" i="1"/>
  <c r="S99" i="1"/>
  <c r="S98" i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S97" i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S96" i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S95" i="1"/>
  <c r="S94" i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S93" i="1"/>
  <c r="S92" i="1"/>
  <c r="S91" i="1"/>
  <c r="S90" i="1"/>
  <c r="S89" i="1"/>
  <c r="S88" i="1"/>
  <c r="T88" i="1" s="1"/>
  <c r="S87" i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AD87" i="1" s="1"/>
  <c r="S86" i="1"/>
  <c r="S85" i="1"/>
  <c r="S84" i="1"/>
  <c r="S83" i="1"/>
  <c r="T83" i="1" s="1"/>
  <c r="U83" i="1" s="1"/>
  <c r="V83" i="1" s="1"/>
  <c r="W83" i="1" s="1"/>
  <c r="X83" i="1" s="1"/>
  <c r="Y83" i="1" s="1"/>
  <c r="Z83" i="1" s="1"/>
  <c r="AA83" i="1" s="1"/>
  <c r="AB83" i="1" s="1"/>
  <c r="AC83" i="1" s="1"/>
  <c r="AD83" i="1" s="1"/>
  <c r="S82" i="1"/>
  <c r="T82" i="1" s="1"/>
  <c r="U82" i="1" s="1"/>
  <c r="V82" i="1" s="1"/>
  <c r="W82" i="1" s="1"/>
  <c r="X82" i="1" s="1"/>
  <c r="Y82" i="1" s="1"/>
  <c r="Z82" i="1" s="1"/>
  <c r="AA82" i="1" s="1"/>
  <c r="AB82" i="1" s="1"/>
  <c r="AC82" i="1" s="1"/>
  <c r="AD82" i="1" s="1"/>
  <c r="S81" i="1"/>
  <c r="T81" i="1" s="1"/>
  <c r="U81" i="1" s="1"/>
  <c r="S80" i="1"/>
  <c r="T80" i="1" s="1"/>
  <c r="U80" i="1" s="1"/>
  <c r="V80" i="1" s="1"/>
  <c r="W80" i="1" s="1"/>
  <c r="X80" i="1" s="1"/>
  <c r="Y80" i="1" s="1"/>
  <c r="Z80" i="1" s="1"/>
  <c r="AA80" i="1" s="1"/>
  <c r="AB80" i="1" s="1"/>
  <c r="AC80" i="1" s="1"/>
  <c r="AD80" i="1" s="1"/>
  <c r="S79" i="1"/>
  <c r="S78" i="1"/>
  <c r="S77" i="1"/>
  <c r="S76" i="1"/>
  <c r="T76" i="1" s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S75" i="1"/>
  <c r="T75" i="1" s="1"/>
  <c r="U75" i="1" s="1"/>
  <c r="V75" i="1" s="1"/>
  <c r="W75" i="1" s="1"/>
  <c r="X75" i="1" s="1"/>
  <c r="Y75" i="1" s="1"/>
  <c r="Z75" i="1" s="1"/>
  <c r="AA75" i="1" s="1"/>
  <c r="AB75" i="1" s="1"/>
  <c r="AC75" i="1" s="1"/>
  <c r="AD75" i="1" s="1"/>
  <c r="S74" i="1"/>
  <c r="S73" i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S72" i="1"/>
  <c r="S71" i="1"/>
  <c r="T71" i="1" s="1"/>
  <c r="U71" i="1" s="1"/>
  <c r="V71" i="1" s="1"/>
  <c r="W71" i="1" s="1"/>
  <c r="X71" i="1" s="1"/>
  <c r="Y71" i="1" s="1"/>
  <c r="Z71" i="1" s="1"/>
  <c r="AA71" i="1" s="1"/>
  <c r="AB71" i="1" s="1"/>
  <c r="AC71" i="1" s="1"/>
  <c r="AD71" i="1" s="1"/>
  <c r="S70" i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S69" i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S68" i="1"/>
  <c r="S67" i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S66" i="1"/>
  <c r="S65" i="1"/>
  <c r="S64" i="1"/>
  <c r="T64" i="1" s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S63" i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S62" i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S61" i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S60" i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T57" i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S56" i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S55" i="1"/>
  <c r="S54" i="1"/>
  <c r="S53" i="1"/>
  <c r="S52" i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S51" i="1"/>
  <c r="S50" i="1"/>
  <c r="S49" i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S48" i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S47" i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S46" i="1"/>
  <c r="S45" i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S44" i="1"/>
  <c r="S43" i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S42" i="1"/>
  <c r="S41" i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S40" i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S39" i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S38" i="1"/>
  <c r="T38" i="1" s="1"/>
  <c r="U38" i="1" s="1"/>
  <c r="V38" i="1" s="1"/>
  <c r="W38" i="1" s="1"/>
  <c r="S37" i="1"/>
  <c r="S36" i="1"/>
  <c r="S35" i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S34" i="1"/>
  <c r="S33" i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S32" i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S31" i="1"/>
  <c r="S30" i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S29" i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S28" i="1"/>
  <c r="S27" i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S26" i="1"/>
  <c r="S25" i="1"/>
  <c r="T25" i="1" s="1"/>
  <c r="S24" i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S23" i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S22" i="1"/>
  <c r="S21" i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S20" i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S19" i="1"/>
  <c r="S18" i="1"/>
  <c r="S17" i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S16" i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S15" i="1"/>
  <c r="S14" i="1"/>
  <c r="S13" i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S12" i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S11" i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S10" i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S9" i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S8" i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S7" i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S6" i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S5" i="1"/>
  <c r="S4" i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S3" i="1"/>
  <c r="S152" i="1"/>
  <c r="AX3" i="1" l="1"/>
  <c r="BD154" i="1"/>
  <c r="AE124" i="1"/>
  <c r="AF124" i="1" s="1"/>
  <c r="AM124" i="1" s="1"/>
  <c r="AP59" i="1"/>
  <c r="AO59" i="1"/>
  <c r="AN59" i="1"/>
  <c r="AT59" i="1"/>
  <c r="AL59" i="1"/>
  <c r="AR59" i="1"/>
  <c r="AQ59" i="1"/>
  <c r="AK59" i="1"/>
  <c r="AJ59" i="1"/>
  <c r="AM59" i="1"/>
  <c r="AS59" i="1"/>
  <c r="AI59" i="1"/>
  <c r="BE59" i="1" s="1"/>
  <c r="AN58" i="1"/>
  <c r="AM58" i="1"/>
  <c r="AT58" i="1"/>
  <c r="AL58" i="1"/>
  <c r="AR58" i="1"/>
  <c r="AJ58" i="1"/>
  <c r="AQ58" i="1"/>
  <c r="AP58" i="1"/>
  <c r="AK58" i="1"/>
  <c r="AO58" i="1"/>
  <c r="AS58" i="1"/>
  <c r="AI58" i="1"/>
  <c r="BE58" i="1" s="1"/>
  <c r="AE6" i="1"/>
  <c r="AF6" i="1" s="1"/>
  <c r="AL6" i="1" s="1"/>
  <c r="T22" i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137" i="1"/>
  <c r="AF137" i="1" s="1"/>
  <c r="AR137" i="1" s="1"/>
  <c r="T111" i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T92" i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T72" i="1"/>
  <c r="U72" i="1" s="1"/>
  <c r="V72" i="1" s="1"/>
  <c r="W72" i="1" s="1"/>
  <c r="X72" i="1" s="1"/>
  <c r="Y72" i="1" s="1"/>
  <c r="Z72" i="1" s="1"/>
  <c r="AA72" i="1" s="1"/>
  <c r="AB72" i="1" s="1"/>
  <c r="AC72" i="1" s="1"/>
  <c r="AD72" i="1" s="1"/>
  <c r="T133" i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41" i="1"/>
  <c r="AF41" i="1" s="1"/>
  <c r="AN41" i="1" s="1"/>
  <c r="AE57" i="1"/>
  <c r="AF57" i="1" s="1"/>
  <c r="AI57" i="1" s="1"/>
  <c r="BE57" i="1" s="1"/>
  <c r="AE147" i="1"/>
  <c r="AF147" i="1" s="1"/>
  <c r="AK147" i="1" s="1"/>
  <c r="T143" i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60" i="1"/>
  <c r="AF60" i="1" s="1"/>
  <c r="U148" i="1"/>
  <c r="V148" i="1" s="1"/>
  <c r="W148" i="1" s="1"/>
  <c r="X148" i="1" s="1"/>
  <c r="Y148" i="1" s="1"/>
  <c r="Z148" i="1" s="1"/>
  <c r="AA148" i="1" s="1"/>
  <c r="AB148" i="1" s="1"/>
  <c r="AC148" i="1" s="1"/>
  <c r="AD148" i="1" s="1"/>
  <c r="V141" i="1"/>
  <c r="W141" i="1" s="1"/>
  <c r="X141" i="1" s="1"/>
  <c r="Y141" i="1" s="1"/>
  <c r="Z141" i="1" s="1"/>
  <c r="AA141" i="1" s="1"/>
  <c r="AB141" i="1" s="1"/>
  <c r="AC141" i="1" s="1"/>
  <c r="AD141" i="1" s="1"/>
  <c r="U149" i="1"/>
  <c r="V149" i="1" s="1"/>
  <c r="W149" i="1" s="1"/>
  <c r="X149" i="1" s="1"/>
  <c r="Y149" i="1" s="1"/>
  <c r="Z149" i="1" s="1"/>
  <c r="AA149" i="1" s="1"/>
  <c r="AB149" i="1" s="1"/>
  <c r="AC149" i="1" s="1"/>
  <c r="AD149" i="1" s="1"/>
  <c r="X38" i="1"/>
  <c r="Y38" i="1" s="1"/>
  <c r="Z38" i="1" s="1"/>
  <c r="AA38" i="1" s="1"/>
  <c r="AB38" i="1" s="1"/>
  <c r="AC38" i="1" s="1"/>
  <c r="AD38" i="1" s="1"/>
  <c r="U88" i="1"/>
  <c r="V88" i="1" s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V81" i="1"/>
  <c r="W81" i="1" s="1"/>
  <c r="X81" i="1" s="1"/>
  <c r="Y81" i="1" s="1"/>
  <c r="Z81" i="1" s="1"/>
  <c r="AA81" i="1" s="1"/>
  <c r="AB81" i="1" s="1"/>
  <c r="AC81" i="1" s="1"/>
  <c r="AD81" i="1" s="1"/>
  <c r="AE105" i="1"/>
  <c r="AF105" i="1" s="1"/>
  <c r="U130" i="1"/>
  <c r="V130" i="1" s="1"/>
  <c r="W130" i="1" s="1"/>
  <c r="X130" i="1" s="1"/>
  <c r="Y130" i="1" s="1"/>
  <c r="Z130" i="1" s="1"/>
  <c r="AA130" i="1" s="1"/>
  <c r="AB130" i="1" s="1"/>
  <c r="AC130" i="1" s="1"/>
  <c r="AD130" i="1" s="1"/>
  <c r="U25" i="1"/>
  <c r="V25" i="1" s="1"/>
  <c r="W25" i="1" s="1"/>
  <c r="X25" i="1" s="1"/>
  <c r="Y25" i="1" s="1"/>
  <c r="Z25" i="1" s="1"/>
  <c r="AA25" i="1" s="1"/>
  <c r="AB25" i="1" s="1"/>
  <c r="AC25" i="1" s="1"/>
  <c r="AD25" i="1" s="1"/>
  <c r="AP41" i="1"/>
  <c r="AQ57" i="1"/>
  <c r="AL57" i="1"/>
  <c r="U115" i="1"/>
  <c r="V115" i="1" s="1"/>
  <c r="W115" i="1" s="1"/>
  <c r="X115" i="1" s="1"/>
  <c r="Y115" i="1" s="1"/>
  <c r="Z115" i="1" s="1"/>
  <c r="AA115" i="1" s="1"/>
  <c r="AB115" i="1" s="1"/>
  <c r="AC115" i="1" s="1"/>
  <c r="AD115" i="1" s="1"/>
  <c r="T134" i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T100" i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T50" i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T18" i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50" i="1"/>
  <c r="AF150" i="1" s="1"/>
  <c r="AE142" i="1"/>
  <c r="AF142" i="1" s="1"/>
  <c r="AE98" i="1"/>
  <c r="AF98" i="1" s="1"/>
  <c r="AE70" i="1"/>
  <c r="AF70" i="1" s="1"/>
  <c r="AE10" i="1"/>
  <c r="AF10" i="1" s="1"/>
  <c r="AE11" i="1"/>
  <c r="AF11" i="1" s="1"/>
  <c r="AE27" i="1"/>
  <c r="AF27" i="1" s="1"/>
  <c r="AE35" i="1"/>
  <c r="AF35" i="1" s="1"/>
  <c r="AE43" i="1"/>
  <c r="AF43" i="1" s="1"/>
  <c r="AE61" i="1"/>
  <c r="AF61" i="1" s="1"/>
  <c r="AE69" i="1"/>
  <c r="AF69" i="1" s="1"/>
  <c r="T152" i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T129" i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T125" i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T117" i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T99" i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T93" i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T84" i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T77" i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T65" i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T54" i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T36" i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52" i="1"/>
  <c r="AF52" i="1" s="1"/>
  <c r="AE9" i="1"/>
  <c r="AF9" i="1" s="1"/>
  <c r="AE139" i="1"/>
  <c r="AF139" i="1" s="1"/>
  <c r="AE109" i="1"/>
  <c r="AF109" i="1" s="1"/>
  <c r="AE20" i="1"/>
  <c r="AF20" i="1" s="1"/>
  <c r="T44" i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R6" i="1"/>
  <c r="AJ6" i="1"/>
  <c r="AE29" i="1"/>
  <c r="AF29" i="1" s="1"/>
  <c r="T5" i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30" i="1"/>
  <c r="AF30" i="1" s="1"/>
  <c r="AE64" i="1"/>
  <c r="AF64" i="1" s="1"/>
  <c r="AE80" i="1"/>
  <c r="AF80" i="1" s="1"/>
  <c r="AE96" i="1"/>
  <c r="AF96" i="1" s="1"/>
  <c r="AE104" i="1"/>
  <c r="AF104" i="1" s="1"/>
  <c r="AE112" i="1"/>
  <c r="AF112" i="1" s="1"/>
  <c r="AE120" i="1"/>
  <c r="AF120" i="1" s="1"/>
  <c r="AE136" i="1"/>
  <c r="AF136" i="1" s="1"/>
  <c r="T3" i="1"/>
  <c r="U3" i="1" s="1"/>
  <c r="V3" i="1" s="1"/>
  <c r="W3" i="1" s="1"/>
  <c r="X3" i="1" s="1"/>
  <c r="Y3" i="1" s="1"/>
  <c r="Z3" i="1" s="1"/>
  <c r="AA3" i="1" s="1"/>
  <c r="AB3" i="1" s="1"/>
  <c r="AC3" i="1" s="1"/>
  <c r="AD3" i="1" s="1"/>
  <c r="T132" i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T119" i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T103" i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T91" i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T86" i="1"/>
  <c r="U86" i="1" s="1"/>
  <c r="V86" i="1" s="1"/>
  <c r="W86" i="1" s="1"/>
  <c r="X86" i="1" s="1"/>
  <c r="Y86" i="1" s="1"/>
  <c r="Z86" i="1" s="1"/>
  <c r="AA86" i="1" s="1"/>
  <c r="AB86" i="1" s="1"/>
  <c r="AC86" i="1" s="1"/>
  <c r="AD86" i="1" s="1"/>
  <c r="T53" i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T31" i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T26" i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122" i="1"/>
  <c r="AF122" i="1" s="1"/>
  <c r="AE76" i="1"/>
  <c r="AF76" i="1" s="1"/>
  <c r="AE47" i="1"/>
  <c r="AF47" i="1" s="1"/>
  <c r="AE4" i="1"/>
  <c r="AF4" i="1" s="1"/>
  <c r="AE94" i="1"/>
  <c r="AF94" i="1" s="1"/>
  <c r="T28" i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13" i="1"/>
  <c r="AF13" i="1" s="1"/>
  <c r="AE63" i="1"/>
  <c r="AF63" i="1" s="1"/>
  <c r="T116" i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7" i="1"/>
  <c r="AF7" i="1" s="1"/>
  <c r="AE23" i="1"/>
  <c r="AF23" i="1" s="1"/>
  <c r="AE39" i="1"/>
  <c r="AF39" i="1" s="1"/>
  <c r="AE73" i="1"/>
  <c r="AF73" i="1" s="1"/>
  <c r="AE97" i="1"/>
  <c r="AF97" i="1" s="1"/>
  <c r="AE121" i="1"/>
  <c r="AF121" i="1" s="1"/>
  <c r="T145" i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T78" i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T42" i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T34" i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T15" i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35" i="1"/>
  <c r="AF135" i="1" s="1"/>
  <c r="AE75" i="1"/>
  <c r="AF75" i="1" s="1"/>
  <c r="AE102" i="1"/>
  <c r="AF102" i="1" s="1"/>
  <c r="AE21" i="1"/>
  <c r="AF21" i="1" s="1"/>
  <c r="AE71" i="1"/>
  <c r="AF71" i="1" s="1"/>
  <c r="AE151" i="1"/>
  <c r="AF151" i="1" s="1"/>
  <c r="AE8" i="1"/>
  <c r="AF8" i="1" s="1"/>
  <c r="AE16" i="1"/>
  <c r="AF16" i="1" s="1"/>
  <c r="AE24" i="1"/>
  <c r="AF24" i="1" s="1"/>
  <c r="AE32" i="1"/>
  <c r="AF32" i="1" s="1"/>
  <c r="AE40" i="1"/>
  <c r="AF40" i="1" s="1"/>
  <c r="AE48" i="1"/>
  <c r="AF48" i="1" s="1"/>
  <c r="AE56" i="1"/>
  <c r="AF56" i="1" s="1"/>
  <c r="AE82" i="1"/>
  <c r="AF82" i="1" s="1"/>
  <c r="AE106" i="1"/>
  <c r="AF106" i="1" s="1"/>
  <c r="AE114" i="1"/>
  <c r="AF114" i="1" s="1"/>
  <c r="AE138" i="1"/>
  <c r="AF138" i="1" s="1"/>
  <c r="AE146" i="1"/>
  <c r="AF146" i="1" s="1"/>
  <c r="T140" i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T126" i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T118" i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T108" i="1"/>
  <c r="U108" i="1" s="1"/>
  <c r="V108" i="1" s="1"/>
  <c r="W108" i="1" s="1"/>
  <c r="X108" i="1" s="1"/>
  <c r="Y108" i="1" s="1"/>
  <c r="Z108" i="1" s="1"/>
  <c r="AA108" i="1" s="1"/>
  <c r="AB108" i="1" s="1"/>
  <c r="AC108" i="1" s="1"/>
  <c r="AD108" i="1" s="1"/>
  <c r="T95" i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T90" i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T74" i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T66" i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T51" i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T46" i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T19" i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T14" i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4" i="1"/>
  <c r="AF144" i="1" s="1"/>
  <c r="AT6" i="1"/>
  <c r="AE12" i="1"/>
  <c r="AF12" i="1" s="1"/>
  <c r="AE62" i="1"/>
  <c r="AF62" i="1" s="1"/>
  <c r="AE128" i="1"/>
  <c r="AF128" i="1" s="1"/>
  <c r="AE45" i="1"/>
  <c r="AF45" i="1" s="1"/>
  <c r="AE87" i="1"/>
  <c r="AF87" i="1" s="1"/>
  <c r="AE127" i="1"/>
  <c r="AF127" i="1" s="1"/>
  <c r="T110" i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T79" i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T68" i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AE17" i="1"/>
  <c r="AF17" i="1" s="1"/>
  <c r="AE33" i="1"/>
  <c r="AF33" i="1" s="1"/>
  <c r="AE49" i="1"/>
  <c r="AF49" i="1" s="1"/>
  <c r="AE67" i="1"/>
  <c r="AF67" i="1" s="1"/>
  <c r="AE83" i="1"/>
  <c r="AF83" i="1" s="1"/>
  <c r="AE123" i="1"/>
  <c r="AF123" i="1" s="1"/>
  <c r="AE131" i="1"/>
  <c r="AF131" i="1" s="1"/>
  <c r="T113" i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T107" i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T101" i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T89" i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T85" i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T55" i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T37" i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S57" i="1" l="1"/>
  <c r="BG58" i="1"/>
  <c r="BJ58" i="1"/>
  <c r="BH59" i="1"/>
  <c r="BF6" i="1"/>
  <c r="BL58" i="1"/>
  <c r="BN137" i="1"/>
  <c r="BM58" i="1"/>
  <c r="BO59" i="1"/>
  <c r="BJ59" i="1"/>
  <c r="BG147" i="1"/>
  <c r="BF58" i="1"/>
  <c r="BI59" i="1"/>
  <c r="BK59" i="1"/>
  <c r="BN6" i="1"/>
  <c r="BH57" i="1"/>
  <c r="BH6" i="1"/>
  <c r="BN58" i="1"/>
  <c r="BF59" i="1"/>
  <c r="BL59" i="1"/>
  <c r="BO57" i="1"/>
  <c r="BJ41" i="1"/>
  <c r="BH58" i="1"/>
  <c r="BG59" i="1"/>
  <c r="BI124" i="1"/>
  <c r="BM57" i="1"/>
  <c r="BO58" i="1"/>
  <c r="BM59" i="1"/>
  <c r="BL41" i="1"/>
  <c r="BK58" i="1"/>
  <c r="BI58" i="1"/>
  <c r="BN59" i="1"/>
  <c r="AQ147" i="1"/>
  <c r="AT124" i="1"/>
  <c r="AN124" i="1"/>
  <c r="AN6" i="1"/>
  <c r="AJ57" i="1"/>
  <c r="AT147" i="1"/>
  <c r="AS6" i="1"/>
  <c r="AO6" i="1"/>
  <c r="AO147" i="1"/>
  <c r="AM57" i="1"/>
  <c r="AP6" i="1"/>
  <c r="AN57" i="1"/>
  <c r="AR57" i="1"/>
  <c r="AO57" i="1"/>
  <c r="AQ6" i="1"/>
  <c r="AK6" i="1"/>
  <c r="AN147" i="1"/>
  <c r="AT57" i="1"/>
  <c r="AP57" i="1"/>
  <c r="AR147" i="1"/>
  <c r="AM6" i="1"/>
  <c r="AI6" i="1"/>
  <c r="BE6" i="1" s="1"/>
  <c r="AL147" i="1"/>
  <c r="AK57" i="1"/>
  <c r="AE25" i="1"/>
  <c r="AF25" i="1" s="1"/>
  <c r="AT25" i="1" s="1"/>
  <c r="AI41" i="1"/>
  <c r="BE41" i="1" s="1"/>
  <c r="AQ124" i="1"/>
  <c r="AK124" i="1"/>
  <c r="AP124" i="1"/>
  <c r="AO124" i="1"/>
  <c r="AR41" i="1"/>
  <c r="AR124" i="1"/>
  <c r="AS124" i="1"/>
  <c r="AT41" i="1"/>
  <c r="AE130" i="1"/>
  <c r="AF130" i="1" s="1"/>
  <c r="AO130" i="1" s="1"/>
  <c r="AI124" i="1"/>
  <c r="BE124" i="1" s="1"/>
  <c r="AJ124" i="1"/>
  <c r="AK41" i="1"/>
  <c r="AI137" i="1"/>
  <c r="BE137" i="1" s="1"/>
  <c r="AE148" i="1"/>
  <c r="AF148" i="1" s="1"/>
  <c r="AL148" i="1" s="1"/>
  <c r="AL124" i="1"/>
  <c r="AJ41" i="1"/>
  <c r="AO41" i="1"/>
  <c r="AL137" i="1"/>
  <c r="AK137" i="1"/>
  <c r="AS147" i="1"/>
  <c r="AP147" i="1"/>
  <c r="AL41" i="1"/>
  <c r="AQ41" i="1"/>
  <c r="AS137" i="1"/>
  <c r="AO137" i="1"/>
  <c r="AE72" i="1"/>
  <c r="AF72" i="1" s="1"/>
  <c r="BP59" i="1"/>
  <c r="AU59" i="1"/>
  <c r="BP58" i="1"/>
  <c r="AU58" i="1"/>
  <c r="BP41" i="1"/>
  <c r="AU124" i="1"/>
  <c r="BP124" i="1"/>
  <c r="AE143" i="1"/>
  <c r="AF143" i="1" s="1"/>
  <c r="AM143" i="1" s="1"/>
  <c r="AM147" i="1"/>
  <c r="AT137" i="1"/>
  <c r="AI147" i="1"/>
  <c r="BE147" i="1" s="1"/>
  <c r="AS41" i="1"/>
  <c r="AP137" i="1"/>
  <c r="AE111" i="1"/>
  <c r="AF111" i="1" s="1"/>
  <c r="AU6" i="1"/>
  <c r="BP6" i="1"/>
  <c r="AJ147" i="1"/>
  <c r="AM41" i="1"/>
  <c r="AQ137" i="1"/>
  <c r="AJ137" i="1"/>
  <c r="AM137" i="1"/>
  <c r="AN137" i="1"/>
  <c r="AE5" i="1"/>
  <c r="AF5" i="1" s="1"/>
  <c r="AJ5" i="1" s="1"/>
  <c r="AE149" i="1"/>
  <c r="AF149" i="1" s="1"/>
  <c r="AJ149" i="1" s="1"/>
  <c r="AE79" i="1"/>
  <c r="AF79" i="1" s="1"/>
  <c r="AT79" i="1" s="1"/>
  <c r="AE101" i="1"/>
  <c r="AF101" i="1" s="1"/>
  <c r="AO101" i="1" s="1"/>
  <c r="AE19" i="1"/>
  <c r="AF19" i="1" s="1"/>
  <c r="AR19" i="1" s="1"/>
  <c r="AE81" i="1"/>
  <c r="AF81" i="1" s="1"/>
  <c r="AK81" i="1" s="1"/>
  <c r="AE53" i="1"/>
  <c r="AF53" i="1" s="1"/>
  <c r="AM53" i="1" s="1"/>
  <c r="AE85" i="1"/>
  <c r="AF85" i="1" s="1"/>
  <c r="AE115" i="1"/>
  <c r="AF115" i="1" s="1"/>
  <c r="AL115" i="1" s="1"/>
  <c r="AE22" i="1"/>
  <c r="AF22" i="1" s="1"/>
  <c r="AE132" i="1"/>
  <c r="AF132" i="1" s="1"/>
  <c r="AK132" i="1" s="1"/>
  <c r="AE113" i="1"/>
  <c r="AF113" i="1" s="1"/>
  <c r="AR113" i="1" s="1"/>
  <c r="AE118" i="1"/>
  <c r="AF118" i="1" s="1"/>
  <c r="AJ118" i="1" s="1"/>
  <c r="AE51" i="1"/>
  <c r="AF51" i="1" s="1"/>
  <c r="AN51" i="1" s="1"/>
  <c r="AE108" i="1"/>
  <c r="AF108" i="1" s="1"/>
  <c r="AK108" i="1" s="1"/>
  <c r="AE129" i="1"/>
  <c r="AF129" i="1" s="1"/>
  <c r="AE37" i="1"/>
  <c r="AF37" i="1" s="1"/>
  <c r="AJ37" i="1" s="1"/>
  <c r="AE100" i="1"/>
  <c r="AF100" i="1" s="1"/>
  <c r="AI100" i="1" s="1"/>
  <c r="BE100" i="1" s="1"/>
  <c r="AE107" i="1"/>
  <c r="AF107" i="1" s="1"/>
  <c r="AO107" i="1" s="1"/>
  <c r="AE125" i="1"/>
  <c r="AF125" i="1" s="1"/>
  <c r="AO125" i="1" s="1"/>
  <c r="AE65" i="1"/>
  <c r="AF65" i="1" s="1"/>
  <c r="AQ65" i="1" s="1"/>
  <c r="AE133" i="1"/>
  <c r="AF133" i="1" s="1"/>
  <c r="AE55" i="1"/>
  <c r="AF55" i="1" s="1"/>
  <c r="AN55" i="1" s="1"/>
  <c r="AE117" i="1"/>
  <c r="AF117" i="1" s="1"/>
  <c r="AE15" i="1"/>
  <c r="AF15" i="1" s="1"/>
  <c r="AI15" i="1" s="1"/>
  <c r="BE15" i="1" s="1"/>
  <c r="AE92" i="1"/>
  <c r="AF92" i="1" s="1"/>
  <c r="AM48" i="1"/>
  <c r="AT48" i="1"/>
  <c r="AL48" i="1"/>
  <c r="AS48" i="1"/>
  <c r="AK48" i="1"/>
  <c r="AR48" i="1"/>
  <c r="AJ48" i="1"/>
  <c r="AQ48" i="1"/>
  <c r="AI48" i="1"/>
  <c r="BE48" i="1" s="1"/>
  <c r="AO48" i="1"/>
  <c r="AP48" i="1"/>
  <c r="AN48" i="1"/>
  <c r="AT142" i="1"/>
  <c r="AL142" i="1"/>
  <c r="AS142" i="1"/>
  <c r="AK142" i="1"/>
  <c r="AP142" i="1"/>
  <c r="AR142" i="1"/>
  <c r="AQ142" i="1"/>
  <c r="AJ142" i="1"/>
  <c r="AI142" i="1"/>
  <c r="BE142" i="1" s="1"/>
  <c r="AO142" i="1"/>
  <c r="AN142" i="1"/>
  <c r="AM142" i="1"/>
  <c r="AQ71" i="1"/>
  <c r="AI71" i="1"/>
  <c r="BE71" i="1" s="1"/>
  <c r="AO71" i="1"/>
  <c r="AR71" i="1"/>
  <c r="AP71" i="1"/>
  <c r="AN71" i="1"/>
  <c r="AM71" i="1"/>
  <c r="AL71" i="1"/>
  <c r="AT71" i="1"/>
  <c r="AJ71" i="1"/>
  <c r="AS71" i="1"/>
  <c r="AK71" i="1"/>
  <c r="AN96" i="1"/>
  <c r="AS96" i="1"/>
  <c r="AJ96" i="1"/>
  <c r="AR96" i="1"/>
  <c r="AI96" i="1"/>
  <c r="BE96" i="1" s="1"/>
  <c r="AQ96" i="1"/>
  <c r="AP96" i="1"/>
  <c r="AO96" i="1"/>
  <c r="AT96" i="1"/>
  <c r="AM96" i="1"/>
  <c r="AL96" i="1"/>
  <c r="AK96" i="1"/>
  <c r="AN98" i="1"/>
  <c r="AM98" i="1"/>
  <c r="AQ98" i="1"/>
  <c r="AP98" i="1"/>
  <c r="AO98" i="1"/>
  <c r="AL98" i="1"/>
  <c r="AK98" i="1"/>
  <c r="AT98" i="1"/>
  <c r="AS98" i="1"/>
  <c r="AR98" i="1"/>
  <c r="AJ98" i="1"/>
  <c r="AI98" i="1"/>
  <c r="BE98" i="1" s="1"/>
  <c r="AR25" i="1"/>
  <c r="AK149" i="1"/>
  <c r="AO123" i="1"/>
  <c r="AR123" i="1"/>
  <c r="AI123" i="1"/>
  <c r="BE123" i="1" s="1"/>
  <c r="AQ123" i="1"/>
  <c r="AP123" i="1"/>
  <c r="AK123" i="1"/>
  <c r="AJ123" i="1"/>
  <c r="AT123" i="1"/>
  <c r="AS123" i="1"/>
  <c r="AN123" i="1"/>
  <c r="AM123" i="1"/>
  <c r="AL123" i="1"/>
  <c r="AP12" i="1"/>
  <c r="AO12" i="1"/>
  <c r="AN12" i="1"/>
  <c r="AM12" i="1"/>
  <c r="AR12" i="1"/>
  <c r="AJ12" i="1"/>
  <c r="AQ12" i="1"/>
  <c r="AL12" i="1"/>
  <c r="AK12" i="1"/>
  <c r="AI12" i="1"/>
  <c r="BE12" i="1" s="1"/>
  <c r="AT12" i="1"/>
  <c r="AS12" i="1"/>
  <c r="AT21" i="1"/>
  <c r="AL21" i="1"/>
  <c r="AS21" i="1"/>
  <c r="AK21" i="1"/>
  <c r="AR21" i="1"/>
  <c r="AJ21" i="1"/>
  <c r="AQ21" i="1"/>
  <c r="AI21" i="1"/>
  <c r="BE21" i="1" s="1"/>
  <c r="AN21" i="1"/>
  <c r="AO21" i="1"/>
  <c r="AM21" i="1"/>
  <c r="AP21" i="1"/>
  <c r="AT13" i="1"/>
  <c r="AL13" i="1"/>
  <c r="AS13" i="1"/>
  <c r="AK13" i="1"/>
  <c r="AR13" i="1"/>
  <c r="AJ13" i="1"/>
  <c r="AQ13" i="1"/>
  <c r="AI13" i="1"/>
  <c r="BE13" i="1" s="1"/>
  <c r="AN13" i="1"/>
  <c r="AM13" i="1"/>
  <c r="AP13" i="1"/>
  <c r="AO13" i="1"/>
  <c r="AM80" i="1"/>
  <c r="AT80" i="1"/>
  <c r="AL80" i="1"/>
  <c r="AS80" i="1"/>
  <c r="AK80" i="1"/>
  <c r="AI80" i="1"/>
  <c r="BE80" i="1" s="1"/>
  <c r="AR80" i="1"/>
  <c r="AQ80" i="1"/>
  <c r="AP80" i="1"/>
  <c r="AN80" i="1"/>
  <c r="AO80" i="1"/>
  <c r="AJ80" i="1"/>
  <c r="AQ43" i="1"/>
  <c r="AI43" i="1"/>
  <c r="BE43" i="1" s="1"/>
  <c r="AP43" i="1"/>
  <c r="AO43" i="1"/>
  <c r="AN43" i="1"/>
  <c r="AM43" i="1"/>
  <c r="AS43" i="1"/>
  <c r="AK43" i="1"/>
  <c r="AT43" i="1"/>
  <c r="AR43" i="1"/>
  <c r="AL43" i="1"/>
  <c r="AJ43" i="1"/>
  <c r="AM40" i="1"/>
  <c r="AT40" i="1"/>
  <c r="AL40" i="1"/>
  <c r="AS40" i="1"/>
  <c r="AK40" i="1"/>
  <c r="AR40" i="1"/>
  <c r="AJ40" i="1"/>
  <c r="AQ40" i="1"/>
  <c r="AI40" i="1"/>
  <c r="BE40" i="1" s="1"/>
  <c r="AO40" i="1"/>
  <c r="AP40" i="1"/>
  <c r="AN40" i="1"/>
  <c r="AQ39" i="1"/>
  <c r="AI39" i="1"/>
  <c r="BE39" i="1" s="1"/>
  <c r="AP39" i="1"/>
  <c r="AO39" i="1"/>
  <c r="AN39" i="1"/>
  <c r="AM39" i="1"/>
  <c r="AS39" i="1"/>
  <c r="AK39" i="1"/>
  <c r="AL39" i="1"/>
  <c r="AR39" i="1"/>
  <c r="AJ39" i="1"/>
  <c r="AT39" i="1"/>
  <c r="AQ35" i="1"/>
  <c r="AI35" i="1"/>
  <c r="BE35" i="1" s="1"/>
  <c r="AP35" i="1"/>
  <c r="AO35" i="1"/>
  <c r="AN35" i="1"/>
  <c r="AM35" i="1"/>
  <c r="AK35" i="1"/>
  <c r="AJ35" i="1"/>
  <c r="AR35" i="1"/>
  <c r="AT35" i="1"/>
  <c r="AS35" i="1"/>
  <c r="AL35" i="1"/>
  <c r="AT150" i="1"/>
  <c r="AL150" i="1"/>
  <c r="AS150" i="1"/>
  <c r="AK150" i="1"/>
  <c r="AP150" i="1"/>
  <c r="AN150" i="1"/>
  <c r="AM150" i="1"/>
  <c r="AJ150" i="1"/>
  <c r="AQ150" i="1"/>
  <c r="AO150" i="1"/>
  <c r="AI150" i="1"/>
  <c r="BE150" i="1" s="1"/>
  <c r="AR150" i="1"/>
  <c r="AL100" i="1"/>
  <c r="AS130" i="1"/>
  <c r="AK130" i="1"/>
  <c r="AP130" i="1"/>
  <c r="AN130" i="1"/>
  <c r="AM130" i="1"/>
  <c r="AJ130" i="1"/>
  <c r="AR130" i="1"/>
  <c r="AQ130" i="1"/>
  <c r="AI130" i="1"/>
  <c r="BE130" i="1" s="1"/>
  <c r="AR83" i="1"/>
  <c r="AJ83" i="1"/>
  <c r="AT83" i="1"/>
  <c r="AK83" i="1"/>
  <c r="AS83" i="1"/>
  <c r="AI83" i="1"/>
  <c r="BE83" i="1" s="1"/>
  <c r="AQ83" i="1"/>
  <c r="AP83" i="1"/>
  <c r="AO83" i="1"/>
  <c r="AN83" i="1"/>
  <c r="AM83" i="1"/>
  <c r="AL83" i="1"/>
  <c r="AO127" i="1"/>
  <c r="AP127" i="1"/>
  <c r="AN127" i="1"/>
  <c r="AM127" i="1"/>
  <c r="AT127" i="1"/>
  <c r="AS127" i="1"/>
  <c r="AR127" i="1"/>
  <c r="AI127" i="1"/>
  <c r="BE127" i="1" s="1"/>
  <c r="AQ127" i="1"/>
  <c r="AK127" i="1"/>
  <c r="AJ127" i="1"/>
  <c r="AL127" i="1"/>
  <c r="AT144" i="1"/>
  <c r="AL144" i="1"/>
  <c r="AS144" i="1"/>
  <c r="AK144" i="1"/>
  <c r="AP144" i="1"/>
  <c r="AI144" i="1"/>
  <c r="BE144" i="1" s="1"/>
  <c r="AR144" i="1"/>
  <c r="AQ144" i="1"/>
  <c r="AO144" i="1"/>
  <c r="AM144" i="1"/>
  <c r="AJ144" i="1"/>
  <c r="AN144" i="1"/>
  <c r="AN106" i="1"/>
  <c r="AS106" i="1"/>
  <c r="AJ106" i="1"/>
  <c r="AR106" i="1"/>
  <c r="AI106" i="1"/>
  <c r="BE106" i="1" s="1"/>
  <c r="AQ106" i="1"/>
  <c r="AT106" i="1"/>
  <c r="AP106" i="1"/>
  <c r="AO106" i="1"/>
  <c r="AM106" i="1"/>
  <c r="AK106" i="1"/>
  <c r="AL106" i="1"/>
  <c r="AM32" i="1"/>
  <c r="AT32" i="1"/>
  <c r="AL32" i="1"/>
  <c r="AS32" i="1"/>
  <c r="AK32" i="1"/>
  <c r="AR32" i="1"/>
  <c r="AJ32" i="1"/>
  <c r="AQ32" i="1"/>
  <c r="AP32" i="1"/>
  <c r="AI32" i="1"/>
  <c r="BE32" i="1" s="1"/>
  <c r="AO32" i="1"/>
  <c r="AN32" i="1"/>
  <c r="AE145" i="1"/>
  <c r="AF145" i="1" s="1"/>
  <c r="AT23" i="1"/>
  <c r="AL23" i="1"/>
  <c r="AS23" i="1"/>
  <c r="AK23" i="1"/>
  <c r="AR23" i="1"/>
  <c r="AJ23" i="1"/>
  <c r="AQ23" i="1"/>
  <c r="AI23" i="1"/>
  <c r="BE23" i="1" s="1"/>
  <c r="AN23" i="1"/>
  <c r="AM23" i="1"/>
  <c r="AP23" i="1"/>
  <c r="AO23" i="1"/>
  <c r="AE126" i="1"/>
  <c r="AF126" i="1" s="1"/>
  <c r="AE46" i="1"/>
  <c r="AF46" i="1" s="1"/>
  <c r="AK5" i="1"/>
  <c r="AR5" i="1"/>
  <c r="AP5" i="1"/>
  <c r="AT9" i="1"/>
  <c r="AL9" i="1"/>
  <c r="AS9" i="1"/>
  <c r="AK9" i="1"/>
  <c r="AR9" i="1"/>
  <c r="AJ9" i="1"/>
  <c r="AQ9" i="1"/>
  <c r="AI9" i="1"/>
  <c r="BE9" i="1" s="1"/>
  <c r="AN9" i="1"/>
  <c r="AP9" i="1"/>
  <c r="AO9" i="1"/>
  <c r="AM9" i="1"/>
  <c r="AE93" i="1"/>
  <c r="AF93" i="1" s="1"/>
  <c r="AQ27" i="1"/>
  <c r="AP27" i="1"/>
  <c r="AO27" i="1"/>
  <c r="AN27" i="1"/>
  <c r="AS27" i="1"/>
  <c r="AR27" i="1"/>
  <c r="AM27" i="1"/>
  <c r="AL27" i="1"/>
  <c r="AI27" i="1"/>
  <c r="BE27" i="1" s="1"/>
  <c r="AJ27" i="1"/>
  <c r="AT27" i="1"/>
  <c r="AK27" i="1"/>
  <c r="AE84" i="1"/>
  <c r="AF84" i="1" s="1"/>
  <c r="AE31" i="1"/>
  <c r="AF31" i="1" s="1"/>
  <c r="AE38" i="1"/>
  <c r="AF38" i="1" s="1"/>
  <c r="AM62" i="1"/>
  <c r="AT62" i="1"/>
  <c r="AL62" i="1"/>
  <c r="AS62" i="1"/>
  <c r="AK62" i="1"/>
  <c r="AR62" i="1"/>
  <c r="AJ62" i="1"/>
  <c r="AQ62" i="1"/>
  <c r="AI62" i="1"/>
  <c r="BE62" i="1" s="1"/>
  <c r="AO62" i="1"/>
  <c r="AP62" i="1"/>
  <c r="AN62" i="1"/>
  <c r="AN88" i="1"/>
  <c r="AO88" i="1"/>
  <c r="AM88" i="1"/>
  <c r="AL88" i="1"/>
  <c r="AT88" i="1"/>
  <c r="AK88" i="1"/>
  <c r="AS88" i="1"/>
  <c r="AJ88" i="1"/>
  <c r="AR88" i="1"/>
  <c r="AQ88" i="1"/>
  <c r="AP88" i="1"/>
  <c r="AI88" i="1"/>
  <c r="BE88" i="1" s="1"/>
  <c r="AR105" i="1"/>
  <c r="AJ105" i="1"/>
  <c r="AM105" i="1"/>
  <c r="AL105" i="1"/>
  <c r="AT105" i="1"/>
  <c r="AK105" i="1"/>
  <c r="AQ105" i="1"/>
  <c r="AP105" i="1"/>
  <c r="AO105" i="1"/>
  <c r="AN105" i="1"/>
  <c r="AI105" i="1"/>
  <c r="BE105" i="1" s="1"/>
  <c r="AS105" i="1"/>
  <c r="AM60" i="1"/>
  <c r="AT60" i="1"/>
  <c r="AL60" i="1"/>
  <c r="AS60" i="1"/>
  <c r="AK60" i="1"/>
  <c r="AR60" i="1"/>
  <c r="AJ60" i="1"/>
  <c r="AQ60" i="1"/>
  <c r="AI60" i="1"/>
  <c r="BE60" i="1" s="1"/>
  <c r="AO60" i="1"/>
  <c r="AP60" i="1"/>
  <c r="AN60" i="1"/>
  <c r="AO131" i="1"/>
  <c r="AM131" i="1"/>
  <c r="AL131" i="1"/>
  <c r="AT131" i="1"/>
  <c r="AK131" i="1"/>
  <c r="AQ131" i="1"/>
  <c r="AP131" i="1"/>
  <c r="AN131" i="1"/>
  <c r="AS131" i="1"/>
  <c r="AR131" i="1"/>
  <c r="AI131" i="1"/>
  <c r="BE131" i="1" s="1"/>
  <c r="AJ131" i="1"/>
  <c r="AM56" i="1"/>
  <c r="AT56" i="1"/>
  <c r="AL56" i="1"/>
  <c r="AS56" i="1"/>
  <c r="AK56" i="1"/>
  <c r="AR56" i="1"/>
  <c r="AJ56" i="1"/>
  <c r="AQ56" i="1"/>
  <c r="AI56" i="1"/>
  <c r="BE56" i="1" s="1"/>
  <c r="AO56" i="1"/>
  <c r="AP56" i="1"/>
  <c r="AN56" i="1"/>
  <c r="AQ47" i="1"/>
  <c r="AI47" i="1"/>
  <c r="BE47" i="1" s="1"/>
  <c r="AP47" i="1"/>
  <c r="AO47" i="1"/>
  <c r="AN47" i="1"/>
  <c r="AM47" i="1"/>
  <c r="AS47" i="1"/>
  <c r="AK47" i="1"/>
  <c r="AL47" i="1"/>
  <c r="AJ47" i="1"/>
  <c r="AT47" i="1"/>
  <c r="AR47" i="1"/>
  <c r="AM76" i="1"/>
  <c r="AT76" i="1"/>
  <c r="AL76" i="1"/>
  <c r="AS76" i="1"/>
  <c r="AK76" i="1"/>
  <c r="AR76" i="1"/>
  <c r="AQ76" i="1"/>
  <c r="AP76" i="1"/>
  <c r="AO76" i="1"/>
  <c r="AN76" i="1"/>
  <c r="AI76" i="1"/>
  <c r="BE76" i="1" s="1"/>
  <c r="AJ76" i="1"/>
  <c r="AS53" i="1"/>
  <c r="AT53" i="1"/>
  <c r="AJ53" i="1"/>
  <c r="AO117" i="1"/>
  <c r="AQ117" i="1"/>
  <c r="AN117" i="1"/>
  <c r="AL117" i="1"/>
  <c r="AK117" i="1"/>
  <c r="AJ117" i="1"/>
  <c r="AM117" i="1"/>
  <c r="AI117" i="1"/>
  <c r="BE117" i="1" s="1"/>
  <c r="AT117" i="1"/>
  <c r="AS117" i="1"/>
  <c r="AP117" i="1"/>
  <c r="AR117" i="1"/>
  <c r="AR87" i="1"/>
  <c r="AJ87" i="1"/>
  <c r="AQ87" i="1"/>
  <c r="AP87" i="1"/>
  <c r="AO87" i="1"/>
  <c r="AN87" i="1"/>
  <c r="AM87" i="1"/>
  <c r="AI87" i="1"/>
  <c r="BE87" i="1" s="1"/>
  <c r="AT87" i="1"/>
  <c r="AL87" i="1"/>
  <c r="AS87" i="1"/>
  <c r="AK87" i="1"/>
  <c r="AE90" i="1"/>
  <c r="AF90" i="1" s="1"/>
  <c r="AP115" i="1"/>
  <c r="AN115" i="1"/>
  <c r="AT115" i="1"/>
  <c r="AI115" i="1"/>
  <c r="BE115" i="1" s="1"/>
  <c r="AP16" i="1"/>
  <c r="AO16" i="1"/>
  <c r="AN16" i="1"/>
  <c r="AM16" i="1"/>
  <c r="AR16" i="1"/>
  <c r="AJ16" i="1"/>
  <c r="AK16" i="1"/>
  <c r="AI16" i="1"/>
  <c r="BE16" i="1" s="1"/>
  <c r="AS16" i="1"/>
  <c r="AT16" i="1"/>
  <c r="AQ16" i="1"/>
  <c r="AL16" i="1"/>
  <c r="AO135" i="1"/>
  <c r="AT135" i="1"/>
  <c r="AK135" i="1"/>
  <c r="AS135" i="1"/>
  <c r="AJ135" i="1"/>
  <c r="AR135" i="1"/>
  <c r="AI135" i="1"/>
  <c r="BE135" i="1" s="1"/>
  <c r="AM135" i="1"/>
  <c r="AL135" i="1"/>
  <c r="AQ135" i="1"/>
  <c r="AP135" i="1"/>
  <c r="AN135" i="1"/>
  <c r="AE28" i="1"/>
  <c r="AF28" i="1" s="1"/>
  <c r="AS120" i="1"/>
  <c r="AK120" i="1"/>
  <c r="AQ120" i="1"/>
  <c r="AP120" i="1"/>
  <c r="AO120" i="1"/>
  <c r="AR120" i="1"/>
  <c r="AN120" i="1"/>
  <c r="AM120" i="1"/>
  <c r="AT120" i="1"/>
  <c r="AL120" i="1"/>
  <c r="AJ120" i="1"/>
  <c r="AI120" i="1"/>
  <c r="BE120" i="1" s="1"/>
  <c r="AE14" i="1"/>
  <c r="AF14" i="1" s="1"/>
  <c r="AE78" i="1"/>
  <c r="AF78" i="1" s="1"/>
  <c r="AE77" i="1"/>
  <c r="AF77" i="1" s="1"/>
  <c r="AT11" i="1"/>
  <c r="AL11" i="1"/>
  <c r="AS11" i="1"/>
  <c r="AK11" i="1"/>
  <c r="AR11" i="1"/>
  <c r="AJ11" i="1"/>
  <c r="AQ11" i="1"/>
  <c r="AI11" i="1"/>
  <c r="BE11" i="1" s="1"/>
  <c r="AN11" i="1"/>
  <c r="AO11" i="1"/>
  <c r="AP11" i="1"/>
  <c r="AM11" i="1"/>
  <c r="AE50" i="1"/>
  <c r="AF50" i="1" s="1"/>
  <c r="AE103" i="1"/>
  <c r="AF103" i="1" s="1"/>
  <c r="AE42" i="1"/>
  <c r="AF42" i="1" s="1"/>
  <c r="AP79" i="1"/>
  <c r="AJ79" i="1"/>
  <c r="AO132" i="1"/>
  <c r="AO129" i="1"/>
  <c r="AS129" i="1"/>
  <c r="AJ129" i="1"/>
  <c r="AR129" i="1"/>
  <c r="AI129" i="1"/>
  <c r="BE129" i="1" s="1"/>
  <c r="AQ129" i="1"/>
  <c r="AL129" i="1"/>
  <c r="AK129" i="1"/>
  <c r="AT129" i="1"/>
  <c r="AP129" i="1"/>
  <c r="AN129" i="1"/>
  <c r="AM129" i="1"/>
  <c r="AO139" i="1"/>
  <c r="AT139" i="1"/>
  <c r="AR139" i="1"/>
  <c r="AI139" i="1"/>
  <c r="BE139" i="1" s="1"/>
  <c r="AQ139" i="1"/>
  <c r="AP139" i="1"/>
  <c r="AJ139" i="1"/>
  <c r="AS139" i="1"/>
  <c r="AN139" i="1"/>
  <c r="AM139" i="1"/>
  <c r="AL139" i="1"/>
  <c r="AK139" i="1"/>
  <c r="AN108" i="1"/>
  <c r="AL108" i="1"/>
  <c r="AT108" i="1"/>
  <c r="AS108" i="1"/>
  <c r="AR108" i="1"/>
  <c r="AP108" i="1"/>
  <c r="AO108" i="1"/>
  <c r="AS114" i="1"/>
  <c r="AK114" i="1"/>
  <c r="AP114" i="1"/>
  <c r="AQ114" i="1"/>
  <c r="AO114" i="1"/>
  <c r="AN114" i="1"/>
  <c r="AM114" i="1"/>
  <c r="AL114" i="1"/>
  <c r="AJ114" i="1"/>
  <c r="AI114" i="1"/>
  <c r="BE114" i="1" s="1"/>
  <c r="AT114" i="1"/>
  <c r="AR114" i="1"/>
  <c r="AN102" i="1"/>
  <c r="AL102" i="1"/>
  <c r="AT102" i="1"/>
  <c r="AK102" i="1"/>
  <c r="AS102" i="1"/>
  <c r="AJ102" i="1"/>
  <c r="AI102" i="1"/>
  <c r="BE102" i="1" s="1"/>
  <c r="AR102" i="1"/>
  <c r="AQ102" i="1"/>
  <c r="AP102" i="1"/>
  <c r="AO102" i="1"/>
  <c r="AM102" i="1"/>
  <c r="AS122" i="1"/>
  <c r="AK122" i="1"/>
  <c r="AL122" i="1"/>
  <c r="AT122" i="1"/>
  <c r="AJ122" i="1"/>
  <c r="AR122" i="1"/>
  <c r="AI122" i="1"/>
  <c r="BE122" i="1" s="1"/>
  <c r="AQ122" i="1"/>
  <c r="AP122" i="1"/>
  <c r="AO122" i="1"/>
  <c r="AN122" i="1"/>
  <c r="AM122" i="1"/>
  <c r="AM64" i="1"/>
  <c r="AS64" i="1"/>
  <c r="AK64" i="1"/>
  <c r="AP64" i="1"/>
  <c r="AO64" i="1"/>
  <c r="AN64" i="1"/>
  <c r="AL64" i="1"/>
  <c r="AJ64" i="1"/>
  <c r="AR64" i="1"/>
  <c r="AT64" i="1"/>
  <c r="AQ64" i="1"/>
  <c r="AI64" i="1"/>
  <c r="BE64" i="1" s="1"/>
  <c r="AQ67" i="1"/>
  <c r="AI67" i="1"/>
  <c r="BE67" i="1" s="1"/>
  <c r="AO67" i="1"/>
  <c r="AL67" i="1"/>
  <c r="AK67" i="1"/>
  <c r="AT67" i="1"/>
  <c r="AJ67" i="1"/>
  <c r="AS67" i="1"/>
  <c r="AR67" i="1"/>
  <c r="AN67" i="1"/>
  <c r="AP67" i="1"/>
  <c r="AM67" i="1"/>
  <c r="AP24" i="1"/>
  <c r="AO24" i="1"/>
  <c r="AN24" i="1"/>
  <c r="AM24" i="1"/>
  <c r="AR24" i="1"/>
  <c r="AJ24" i="1"/>
  <c r="AT24" i="1"/>
  <c r="AS24" i="1"/>
  <c r="AQ24" i="1"/>
  <c r="AI24" i="1"/>
  <c r="BE24" i="1" s="1"/>
  <c r="AL24" i="1"/>
  <c r="AK24" i="1"/>
  <c r="AO121" i="1"/>
  <c r="AN121" i="1"/>
  <c r="AM121" i="1"/>
  <c r="AL121" i="1"/>
  <c r="AS121" i="1"/>
  <c r="AR121" i="1"/>
  <c r="AQ121" i="1"/>
  <c r="AI121" i="1"/>
  <c r="BE121" i="1" s="1"/>
  <c r="AT121" i="1"/>
  <c r="AJ121" i="1"/>
  <c r="AP121" i="1"/>
  <c r="AK121" i="1"/>
  <c r="AN94" i="1"/>
  <c r="AP94" i="1"/>
  <c r="AO94" i="1"/>
  <c r="AM94" i="1"/>
  <c r="AL94" i="1"/>
  <c r="AT94" i="1"/>
  <c r="AK94" i="1"/>
  <c r="AS94" i="1"/>
  <c r="AR94" i="1"/>
  <c r="AQ94" i="1"/>
  <c r="AJ94" i="1"/>
  <c r="AI94" i="1"/>
  <c r="BE94" i="1" s="1"/>
  <c r="AM30" i="1"/>
  <c r="AT30" i="1"/>
  <c r="AL30" i="1"/>
  <c r="AS30" i="1"/>
  <c r="AK30" i="1"/>
  <c r="AR30" i="1"/>
  <c r="AJ30" i="1"/>
  <c r="AO30" i="1"/>
  <c r="AN30" i="1"/>
  <c r="AI30" i="1"/>
  <c r="BE30" i="1" s="1"/>
  <c r="AQ30" i="1"/>
  <c r="AP30" i="1"/>
  <c r="AM52" i="1"/>
  <c r="AT52" i="1"/>
  <c r="AL52" i="1"/>
  <c r="AS52" i="1"/>
  <c r="AK52" i="1"/>
  <c r="AR52" i="1"/>
  <c r="AJ52" i="1"/>
  <c r="AQ52" i="1"/>
  <c r="AI52" i="1"/>
  <c r="BE52" i="1" s="1"/>
  <c r="AO52" i="1"/>
  <c r="AP52" i="1"/>
  <c r="AN52" i="1"/>
  <c r="AR85" i="1"/>
  <c r="AJ85" i="1"/>
  <c r="AN85" i="1"/>
  <c r="AM85" i="1"/>
  <c r="AL85" i="1"/>
  <c r="AT85" i="1"/>
  <c r="AK85" i="1"/>
  <c r="AO85" i="1"/>
  <c r="AI85" i="1"/>
  <c r="BE85" i="1" s="1"/>
  <c r="AQ85" i="1"/>
  <c r="AS85" i="1"/>
  <c r="AP85" i="1"/>
  <c r="AE68" i="1"/>
  <c r="AF68" i="1" s="1"/>
  <c r="AJ15" i="1"/>
  <c r="AQ15" i="1"/>
  <c r="AQ33" i="1"/>
  <c r="AI33" i="1"/>
  <c r="BE33" i="1" s="1"/>
  <c r="AP33" i="1"/>
  <c r="AO33" i="1"/>
  <c r="AN33" i="1"/>
  <c r="AM33" i="1"/>
  <c r="AL33" i="1"/>
  <c r="AK33" i="1"/>
  <c r="AJ33" i="1"/>
  <c r="AS33" i="1"/>
  <c r="AT33" i="1"/>
  <c r="AR33" i="1"/>
  <c r="AS128" i="1"/>
  <c r="AK128" i="1"/>
  <c r="AM128" i="1"/>
  <c r="AL128" i="1"/>
  <c r="AT128" i="1"/>
  <c r="AJ128" i="1"/>
  <c r="AR128" i="1"/>
  <c r="AP128" i="1"/>
  <c r="AO128" i="1"/>
  <c r="AN128" i="1"/>
  <c r="AI128" i="1"/>
  <c r="BE128" i="1" s="1"/>
  <c r="AQ128" i="1"/>
  <c r="AE74" i="1"/>
  <c r="AF74" i="1" s="1"/>
  <c r="AP8" i="1"/>
  <c r="AO8" i="1"/>
  <c r="AN8" i="1"/>
  <c r="AM8" i="1"/>
  <c r="AR8" i="1"/>
  <c r="AJ8" i="1"/>
  <c r="AT8" i="1"/>
  <c r="AI8" i="1"/>
  <c r="BE8" i="1" s="1"/>
  <c r="AS8" i="1"/>
  <c r="AQ8" i="1"/>
  <c r="AL8" i="1"/>
  <c r="AK8" i="1"/>
  <c r="AR97" i="1"/>
  <c r="AJ97" i="1"/>
  <c r="AQ97" i="1"/>
  <c r="AI97" i="1"/>
  <c r="BE97" i="1" s="1"/>
  <c r="AS97" i="1"/>
  <c r="AP97" i="1"/>
  <c r="AO97" i="1"/>
  <c r="AN97" i="1"/>
  <c r="AM97" i="1"/>
  <c r="AK97" i="1"/>
  <c r="AT97" i="1"/>
  <c r="AL97" i="1"/>
  <c r="AE95" i="1"/>
  <c r="AF95" i="1" s="1"/>
  <c r="AN112" i="1"/>
  <c r="AT112" i="1"/>
  <c r="AK112" i="1"/>
  <c r="AS112" i="1"/>
  <c r="AJ112" i="1"/>
  <c r="AR112" i="1"/>
  <c r="AI112" i="1"/>
  <c r="BE112" i="1" s="1"/>
  <c r="AQ112" i="1"/>
  <c r="AP112" i="1"/>
  <c r="AO112" i="1"/>
  <c r="AM112" i="1"/>
  <c r="AL112" i="1"/>
  <c r="AE44" i="1"/>
  <c r="AF44" i="1" s="1"/>
  <c r="AQ69" i="1"/>
  <c r="AI69" i="1"/>
  <c r="BE69" i="1" s="1"/>
  <c r="AO69" i="1"/>
  <c r="AT69" i="1"/>
  <c r="AJ69" i="1"/>
  <c r="AS69" i="1"/>
  <c r="AR69" i="1"/>
  <c r="AP69" i="1"/>
  <c r="AN69" i="1"/>
  <c r="AL69" i="1"/>
  <c r="AM69" i="1"/>
  <c r="AK69" i="1"/>
  <c r="AP10" i="1"/>
  <c r="AO10" i="1"/>
  <c r="AN10" i="1"/>
  <c r="AM10" i="1"/>
  <c r="AR10" i="1"/>
  <c r="AJ10" i="1"/>
  <c r="AS10" i="1"/>
  <c r="AQ10" i="1"/>
  <c r="AL10" i="1"/>
  <c r="AK10" i="1"/>
  <c r="AI10" i="1"/>
  <c r="BE10" i="1" s="1"/>
  <c r="AT10" i="1"/>
  <c r="AE34" i="1"/>
  <c r="AF34" i="1" s="1"/>
  <c r="AE99" i="1"/>
  <c r="AF99" i="1" s="1"/>
  <c r="AE54" i="1"/>
  <c r="AF54" i="1" s="1"/>
  <c r="AE134" i="1"/>
  <c r="AF134" i="1" s="1"/>
  <c r="AE3" i="1"/>
  <c r="AF3" i="1" s="1"/>
  <c r="AE26" i="1"/>
  <c r="AF26" i="1" s="1"/>
  <c r="AT146" i="1"/>
  <c r="AL146" i="1"/>
  <c r="AS146" i="1"/>
  <c r="AK146" i="1"/>
  <c r="AP146" i="1"/>
  <c r="AJ146" i="1"/>
  <c r="AI146" i="1"/>
  <c r="BE146" i="1" s="1"/>
  <c r="AR146" i="1"/>
  <c r="AQ146" i="1"/>
  <c r="AM146" i="1"/>
  <c r="AO146" i="1"/>
  <c r="AN146" i="1"/>
  <c r="AQ73" i="1"/>
  <c r="AI73" i="1"/>
  <c r="BE73" i="1" s="1"/>
  <c r="AP73" i="1"/>
  <c r="AO73" i="1"/>
  <c r="AR73" i="1"/>
  <c r="AN73" i="1"/>
  <c r="AM73" i="1"/>
  <c r="AL73" i="1"/>
  <c r="AK73" i="1"/>
  <c r="AT73" i="1"/>
  <c r="AJ73" i="1"/>
  <c r="AS73" i="1"/>
  <c r="AR109" i="1"/>
  <c r="AJ109" i="1"/>
  <c r="AT109" i="1"/>
  <c r="AK109" i="1"/>
  <c r="AS109" i="1"/>
  <c r="AI109" i="1"/>
  <c r="BE109" i="1" s="1"/>
  <c r="AQ109" i="1"/>
  <c r="AN109" i="1"/>
  <c r="AM109" i="1"/>
  <c r="AL109" i="1"/>
  <c r="AO109" i="1"/>
  <c r="AP109" i="1"/>
  <c r="AS138" i="1"/>
  <c r="AK138" i="1"/>
  <c r="AL138" i="1"/>
  <c r="AT138" i="1"/>
  <c r="AJ138" i="1"/>
  <c r="AR138" i="1"/>
  <c r="AI138" i="1"/>
  <c r="BE138" i="1" s="1"/>
  <c r="AQ138" i="1"/>
  <c r="AP138" i="1"/>
  <c r="AN138" i="1"/>
  <c r="AM138" i="1"/>
  <c r="AO138" i="1"/>
  <c r="AQ55" i="1"/>
  <c r="AP55" i="1"/>
  <c r="AO55" i="1"/>
  <c r="AK55" i="1"/>
  <c r="AL55" i="1"/>
  <c r="AR55" i="1"/>
  <c r="AJ55" i="1"/>
  <c r="AK107" i="1"/>
  <c r="AQ29" i="1"/>
  <c r="AI29" i="1"/>
  <c r="BE29" i="1" s="1"/>
  <c r="AP29" i="1"/>
  <c r="AO29" i="1"/>
  <c r="AN29" i="1"/>
  <c r="AK29" i="1"/>
  <c r="AJ29" i="1"/>
  <c r="AT29" i="1"/>
  <c r="AM29" i="1"/>
  <c r="AS29" i="1"/>
  <c r="AR29" i="1"/>
  <c r="AL29" i="1"/>
  <c r="AQ75" i="1"/>
  <c r="AI75" i="1"/>
  <c r="BE75" i="1" s="1"/>
  <c r="AP75" i="1"/>
  <c r="AO75" i="1"/>
  <c r="AS75" i="1"/>
  <c r="AR75" i="1"/>
  <c r="AN75" i="1"/>
  <c r="AM75" i="1"/>
  <c r="AL75" i="1"/>
  <c r="AJ75" i="1"/>
  <c r="AT75" i="1"/>
  <c r="AK75" i="1"/>
  <c r="AT7" i="1"/>
  <c r="AL7" i="1"/>
  <c r="AS7" i="1"/>
  <c r="AK7" i="1"/>
  <c r="AR7" i="1"/>
  <c r="AJ7" i="1"/>
  <c r="AQ7" i="1"/>
  <c r="AI7" i="1"/>
  <c r="BE7" i="1" s="1"/>
  <c r="AN7" i="1"/>
  <c r="AM7" i="1"/>
  <c r="AP7" i="1"/>
  <c r="AO7" i="1"/>
  <c r="AS136" i="1"/>
  <c r="AK136" i="1"/>
  <c r="AQ136" i="1"/>
  <c r="AP136" i="1"/>
  <c r="AO136" i="1"/>
  <c r="AN136" i="1"/>
  <c r="AM136" i="1"/>
  <c r="AL136" i="1"/>
  <c r="AR136" i="1"/>
  <c r="AJ136" i="1"/>
  <c r="AI136" i="1"/>
  <c r="BE136" i="1" s="1"/>
  <c r="AT136" i="1"/>
  <c r="AQ49" i="1"/>
  <c r="AI49" i="1"/>
  <c r="BE49" i="1" s="1"/>
  <c r="AP49" i="1"/>
  <c r="AO49" i="1"/>
  <c r="AN49" i="1"/>
  <c r="AM49" i="1"/>
  <c r="AS49" i="1"/>
  <c r="AK49" i="1"/>
  <c r="AL49" i="1"/>
  <c r="AJ49" i="1"/>
  <c r="AT49" i="1"/>
  <c r="AR49" i="1"/>
  <c r="AQ45" i="1"/>
  <c r="AI45" i="1"/>
  <c r="BE45" i="1" s="1"/>
  <c r="AP45" i="1"/>
  <c r="AO45" i="1"/>
  <c r="AN45" i="1"/>
  <c r="AM45" i="1"/>
  <c r="AS45" i="1"/>
  <c r="AK45" i="1"/>
  <c r="AT45" i="1"/>
  <c r="AR45" i="1"/>
  <c r="AL45" i="1"/>
  <c r="AJ45" i="1"/>
  <c r="AN82" i="1"/>
  <c r="AM82" i="1"/>
  <c r="AL82" i="1"/>
  <c r="AT82" i="1"/>
  <c r="AK82" i="1"/>
  <c r="AS82" i="1"/>
  <c r="AJ82" i="1"/>
  <c r="AO82" i="1"/>
  <c r="AI82" i="1"/>
  <c r="BE82" i="1" s="1"/>
  <c r="AQ82" i="1"/>
  <c r="AR82" i="1"/>
  <c r="AP82" i="1"/>
  <c r="AT17" i="1"/>
  <c r="AL17" i="1"/>
  <c r="AS17" i="1"/>
  <c r="AK17" i="1"/>
  <c r="AR17" i="1"/>
  <c r="AJ17" i="1"/>
  <c r="AQ17" i="1"/>
  <c r="AI17" i="1"/>
  <c r="BE17" i="1" s="1"/>
  <c r="AN17" i="1"/>
  <c r="AP17" i="1"/>
  <c r="AO17" i="1"/>
  <c r="AM17" i="1"/>
  <c r="AE110" i="1"/>
  <c r="AF110" i="1" s="1"/>
  <c r="AE66" i="1"/>
  <c r="AF66" i="1" s="1"/>
  <c r="AP151" i="1"/>
  <c r="AO151" i="1"/>
  <c r="AT151" i="1"/>
  <c r="AL151" i="1"/>
  <c r="AN151" i="1"/>
  <c r="AM151" i="1"/>
  <c r="AK151" i="1"/>
  <c r="AS151" i="1"/>
  <c r="AQ151" i="1"/>
  <c r="AJ151" i="1"/>
  <c r="AI151" i="1"/>
  <c r="BE151" i="1" s="1"/>
  <c r="AR151" i="1"/>
  <c r="AE89" i="1"/>
  <c r="AF89" i="1" s="1"/>
  <c r="AQ63" i="1"/>
  <c r="AR63" i="1"/>
  <c r="AI63" i="1"/>
  <c r="BE63" i="1" s="1"/>
  <c r="AP63" i="1"/>
  <c r="AO63" i="1"/>
  <c r="AN63" i="1"/>
  <c r="AM63" i="1"/>
  <c r="AT63" i="1"/>
  <c r="AK63" i="1"/>
  <c r="AS63" i="1"/>
  <c r="AJ63" i="1"/>
  <c r="AL63" i="1"/>
  <c r="AP4" i="1"/>
  <c r="AO4" i="1"/>
  <c r="AN4" i="1"/>
  <c r="AM4" i="1"/>
  <c r="AR4" i="1"/>
  <c r="AJ4" i="1"/>
  <c r="AT4" i="1"/>
  <c r="AL4" i="1"/>
  <c r="AS4" i="1"/>
  <c r="AQ4" i="1"/>
  <c r="AK4" i="1"/>
  <c r="AI4" i="1"/>
  <c r="BE4" i="1" s="1"/>
  <c r="AN104" i="1"/>
  <c r="AP104" i="1"/>
  <c r="AO104" i="1"/>
  <c r="AM104" i="1"/>
  <c r="AQ104" i="1"/>
  <c r="AL104" i="1"/>
  <c r="AK104" i="1"/>
  <c r="AJ104" i="1"/>
  <c r="AI104" i="1"/>
  <c r="BE104" i="1" s="1"/>
  <c r="AT104" i="1"/>
  <c r="AS104" i="1"/>
  <c r="AR104" i="1"/>
  <c r="AE119" i="1"/>
  <c r="AF119" i="1" s="1"/>
  <c r="AP20" i="1"/>
  <c r="AO20" i="1"/>
  <c r="AN20" i="1"/>
  <c r="AM20" i="1"/>
  <c r="AR20" i="1"/>
  <c r="AJ20" i="1"/>
  <c r="AT20" i="1"/>
  <c r="AS20" i="1"/>
  <c r="AL20" i="1"/>
  <c r="AQ20" i="1"/>
  <c r="AK20" i="1"/>
  <c r="AI20" i="1"/>
  <c r="BE20" i="1" s="1"/>
  <c r="AQ61" i="1"/>
  <c r="AI61" i="1"/>
  <c r="BE61" i="1" s="1"/>
  <c r="AP61" i="1"/>
  <c r="AO61" i="1"/>
  <c r="AN61" i="1"/>
  <c r="AM61" i="1"/>
  <c r="AS61" i="1"/>
  <c r="AK61" i="1"/>
  <c r="AT61" i="1"/>
  <c r="AR61" i="1"/>
  <c r="AL61" i="1"/>
  <c r="AJ61" i="1"/>
  <c r="AM70" i="1"/>
  <c r="AS70" i="1"/>
  <c r="AK70" i="1"/>
  <c r="AR70" i="1"/>
  <c r="AQ70" i="1"/>
  <c r="AP70" i="1"/>
  <c r="AO70" i="1"/>
  <c r="AN70" i="1"/>
  <c r="AJ70" i="1"/>
  <c r="AT70" i="1"/>
  <c r="AL70" i="1"/>
  <c r="AI70" i="1"/>
  <c r="BE70" i="1" s="1"/>
  <c r="AE140" i="1"/>
  <c r="AF140" i="1" s="1"/>
  <c r="AE18" i="1"/>
  <c r="AF18" i="1" s="1"/>
  <c r="AE91" i="1"/>
  <c r="AF91" i="1" s="1"/>
  <c r="AE36" i="1"/>
  <c r="AF36" i="1" s="1"/>
  <c r="AE86" i="1"/>
  <c r="AF86" i="1" s="1"/>
  <c r="AE141" i="1"/>
  <c r="AF141" i="1" s="1"/>
  <c r="AE116" i="1"/>
  <c r="AF116" i="1" s="1"/>
  <c r="AE152" i="1"/>
  <c r="AF152" i="1" s="1"/>
  <c r="AT55" i="1" l="1"/>
  <c r="AI55" i="1"/>
  <c r="BE55" i="1" s="1"/>
  <c r="AQ108" i="1"/>
  <c r="AM108" i="1"/>
  <c r="AL53" i="1"/>
  <c r="AJ51" i="1"/>
  <c r="BF51" i="1" s="1"/>
  <c r="AQ107" i="1"/>
  <c r="AS55" i="1"/>
  <c r="BO55" i="1" s="1"/>
  <c r="AI108" i="1"/>
  <c r="BE108" i="1" s="1"/>
  <c r="AQ132" i="1"/>
  <c r="AO81" i="1"/>
  <c r="AN53" i="1"/>
  <c r="AL81" i="1"/>
  <c r="BH81" i="1" s="1"/>
  <c r="AI148" i="1"/>
  <c r="BE148" i="1" s="1"/>
  <c r="AP107" i="1"/>
  <c r="AM55" i="1"/>
  <c r="BI55" i="1" s="1"/>
  <c r="AJ108" i="1"/>
  <c r="BF108" i="1" s="1"/>
  <c r="AS132" i="1"/>
  <c r="AP53" i="1"/>
  <c r="AI25" i="1"/>
  <c r="BE25" i="1" s="1"/>
  <c r="AL101" i="1"/>
  <c r="BH101" i="1" s="1"/>
  <c r="AR107" i="1"/>
  <c r="AM79" i="1"/>
  <c r="AQ53" i="1"/>
  <c r="BM53" i="1" s="1"/>
  <c r="AQ25" i="1"/>
  <c r="BF70" i="1"/>
  <c r="BM4" i="1"/>
  <c r="BN7" i="1"/>
  <c r="BI146" i="1"/>
  <c r="BF112" i="1"/>
  <c r="BF15" i="1"/>
  <c r="BH94" i="1"/>
  <c r="BM67" i="1"/>
  <c r="BG108" i="1"/>
  <c r="BM120" i="1"/>
  <c r="BK60" i="1"/>
  <c r="BO27" i="1"/>
  <c r="BN106" i="1"/>
  <c r="BO130" i="1"/>
  <c r="BI43" i="1"/>
  <c r="BN123" i="1"/>
  <c r="BN19" i="1"/>
  <c r="BN41" i="1"/>
  <c r="BK61" i="1"/>
  <c r="BN49" i="1"/>
  <c r="BI75" i="1"/>
  <c r="BM55" i="1"/>
  <c r="BM146" i="1"/>
  <c r="BN97" i="1"/>
  <c r="BI24" i="1"/>
  <c r="BH114" i="1"/>
  <c r="BL11" i="1"/>
  <c r="BJ47" i="1"/>
  <c r="BI60" i="1"/>
  <c r="BF127" i="1"/>
  <c r="BL150" i="1"/>
  <c r="BM71" i="1"/>
  <c r="BK70" i="1"/>
  <c r="BH61" i="1"/>
  <c r="BL61" i="1"/>
  <c r="BN104" i="1"/>
  <c r="BI104" i="1"/>
  <c r="BH4" i="1"/>
  <c r="BH63" i="1"/>
  <c r="BL63" i="1"/>
  <c r="BM151" i="1"/>
  <c r="BL151" i="1"/>
  <c r="BM17" i="1"/>
  <c r="BN82" i="1"/>
  <c r="BH82" i="1"/>
  <c r="BO45" i="1"/>
  <c r="BL49" i="1"/>
  <c r="BI136" i="1"/>
  <c r="BL7" i="1"/>
  <c r="BO7" i="1"/>
  <c r="BJ75" i="1"/>
  <c r="AP101" i="1"/>
  <c r="BG107" i="1"/>
  <c r="BG55" i="1"/>
  <c r="BK138" i="1"/>
  <c r="BJ109" i="1"/>
  <c r="BO73" i="1"/>
  <c r="BK73" i="1"/>
  <c r="BN146" i="1"/>
  <c r="BG10" i="1"/>
  <c r="BK10" i="1"/>
  <c r="BO69" i="1"/>
  <c r="BI112" i="1"/>
  <c r="BG112" i="1"/>
  <c r="BJ97" i="1"/>
  <c r="BG8" i="1"/>
  <c r="BI8" i="1"/>
  <c r="BK128" i="1"/>
  <c r="BO128" i="1"/>
  <c r="BJ33" i="1"/>
  <c r="BL85" i="1"/>
  <c r="BI85" i="1"/>
  <c r="BM52" i="1"/>
  <c r="AO118" i="1"/>
  <c r="BF30" i="1"/>
  <c r="BF94" i="1"/>
  <c r="BK94" i="1"/>
  <c r="BM121" i="1"/>
  <c r="BH24" i="1"/>
  <c r="BJ24" i="1"/>
  <c r="BF67" i="1"/>
  <c r="BM64" i="1"/>
  <c r="BG64" i="1"/>
  <c r="BK102" i="1"/>
  <c r="BI114" i="1"/>
  <c r="BL108" i="1"/>
  <c r="BH108" i="1"/>
  <c r="BF139" i="1"/>
  <c r="BJ129" i="1"/>
  <c r="BF129" i="1"/>
  <c r="BL79" i="1"/>
  <c r="BK11" i="1"/>
  <c r="BH11" i="1"/>
  <c r="BO120" i="1"/>
  <c r="BI135" i="1"/>
  <c r="BH16" i="1"/>
  <c r="BI16" i="1"/>
  <c r="AM19" i="1"/>
  <c r="BI87" i="1"/>
  <c r="BN117" i="1"/>
  <c r="BH117" i="1"/>
  <c r="BJ53" i="1"/>
  <c r="BM76" i="1"/>
  <c r="BN47" i="1"/>
  <c r="BK47" i="1"/>
  <c r="BM56" i="1"/>
  <c r="BF131" i="1"/>
  <c r="BM60" i="1"/>
  <c r="BO105" i="1"/>
  <c r="BH105" i="1"/>
  <c r="BF88" i="1"/>
  <c r="BJ62" i="1"/>
  <c r="BO62" i="1"/>
  <c r="BK27" i="1"/>
  <c r="BL5" i="1"/>
  <c r="BJ23" i="1"/>
  <c r="BN32" i="1"/>
  <c r="BI106" i="1"/>
  <c r="BO106" i="1"/>
  <c r="BG127" i="1"/>
  <c r="BL127" i="1"/>
  <c r="BN130" i="1"/>
  <c r="BN150" i="1"/>
  <c r="BG150" i="1"/>
  <c r="BF35" i="1"/>
  <c r="BK39" i="1"/>
  <c r="BM40" i="1"/>
  <c r="BF43" i="1"/>
  <c r="BK43" i="1"/>
  <c r="BM80" i="1"/>
  <c r="BK13" i="1"/>
  <c r="BG13" i="1"/>
  <c r="BO12" i="1"/>
  <c r="BI12" i="1"/>
  <c r="BG149" i="1"/>
  <c r="BG96" i="1"/>
  <c r="BN96" i="1"/>
  <c r="BH71" i="1"/>
  <c r="BI142" i="1"/>
  <c r="BG142" i="1"/>
  <c r="BM48" i="1"/>
  <c r="AS125" i="1"/>
  <c r="BK107" i="1"/>
  <c r="BG132" i="1"/>
  <c r="BF147" i="1"/>
  <c r="BI147" i="1"/>
  <c r="BG137" i="1"/>
  <c r="BF124" i="1"/>
  <c r="BL124" i="1"/>
  <c r="BI6" i="1"/>
  <c r="BN57" i="1"/>
  <c r="BF57" i="1"/>
  <c r="BH104" i="1"/>
  <c r="BN136" i="1"/>
  <c r="BM75" i="1"/>
  <c r="BN138" i="1"/>
  <c r="BH146" i="1"/>
  <c r="BG97" i="1"/>
  <c r="BH33" i="1"/>
  <c r="BJ30" i="1"/>
  <c r="BN67" i="1"/>
  <c r="BO114" i="1"/>
  <c r="BI11" i="1"/>
  <c r="BJ115" i="1"/>
  <c r="BK56" i="1"/>
  <c r="BM32" i="1"/>
  <c r="BL83" i="1"/>
  <c r="BK21" i="1"/>
  <c r="BI98" i="1"/>
  <c r="BK48" i="1"/>
  <c r="BM137" i="1"/>
  <c r="BM6" i="1"/>
  <c r="BF61" i="1"/>
  <c r="BM104" i="1"/>
  <c r="BK63" i="1"/>
  <c r="BG45" i="1"/>
  <c r="BK7" i="1"/>
  <c r="BI29" i="1"/>
  <c r="BF138" i="1"/>
  <c r="BN73" i="1"/>
  <c r="BH112" i="1"/>
  <c r="BJ128" i="1"/>
  <c r="BK30" i="1"/>
  <c r="BO67" i="1"/>
  <c r="BK108" i="1"/>
  <c r="BH120" i="1"/>
  <c r="BJ88" i="1"/>
  <c r="BI23" i="1"/>
  <c r="BN144" i="1"/>
  <c r="BN35" i="1"/>
  <c r="BI80" i="1"/>
  <c r="BL70" i="1"/>
  <c r="BN61" i="1"/>
  <c r="BF20" i="1"/>
  <c r="BO104" i="1"/>
  <c r="BK104" i="1"/>
  <c r="BF63" i="1"/>
  <c r="BO151" i="1"/>
  <c r="BF17" i="1"/>
  <c r="BM82" i="1"/>
  <c r="BI82" i="1"/>
  <c r="BI45" i="1"/>
  <c r="BF49" i="1"/>
  <c r="BJ136" i="1"/>
  <c r="BI7" i="1"/>
  <c r="BH7" i="1"/>
  <c r="BN75" i="1"/>
  <c r="AS101" i="1"/>
  <c r="BF29" i="1"/>
  <c r="BM107" i="1"/>
  <c r="BI138" i="1"/>
  <c r="BH138" i="1"/>
  <c r="BM109" i="1"/>
  <c r="BF73" i="1"/>
  <c r="BL73" i="1"/>
  <c r="BH10" i="1"/>
  <c r="BL10" i="1"/>
  <c r="BF69" i="1"/>
  <c r="BK112" i="1"/>
  <c r="BK97" i="1"/>
  <c r="BH8" i="1"/>
  <c r="BJ8" i="1"/>
  <c r="BL128" i="1"/>
  <c r="BN33" i="1"/>
  <c r="BK33" i="1"/>
  <c r="BO85" i="1"/>
  <c r="BJ85" i="1"/>
  <c r="BF52" i="1"/>
  <c r="AM118" i="1"/>
  <c r="BN30" i="1"/>
  <c r="BM94" i="1"/>
  <c r="BL94" i="1"/>
  <c r="BN121" i="1"/>
  <c r="BK24" i="1"/>
  <c r="BO64" i="1"/>
  <c r="BN122" i="1"/>
  <c r="BL102" i="1"/>
  <c r="BH102" i="1"/>
  <c r="BJ114" i="1"/>
  <c r="BM108" i="1"/>
  <c r="BI108" i="1"/>
  <c r="BL139" i="1"/>
  <c r="BL129" i="1"/>
  <c r="BO129" i="1"/>
  <c r="BJ11" i="1"/>
  <c r="BI120" i="1"/>
  <c r="BM16" i="1"/>
  <c r="BJ16" i="1"/>
  <c r="AP19" i="1"/>
  <c r="BJ87" i="1"/>
  <c r="BL117" i="1"/>
  <c r="BJ117" i="1"/>
  <c r="BL53" i="1"/>
  <c r="BN76" i="1"/>
  <c r="BL47" i="1"/>
  <c r="BF56" i="1"/>
  <c r="BH131" i="1"/>
  <c r="BF60" i="1"/>
  <c r="BI105" i="1"/>
  <c r="BO88" i="1"/>
  <c r="BL62" i="1"/>
  <c r="BH62" i="1"/>
  <c r="BF27" i="1"/>
  <c r="BL27" i="1"/>
  <c r="BM9" i="1"/>
  <c r="BN5" i="1"/>
  <c r="BG32" i="1"/>
  <c r="BK106" i="1"/>
  <c r="BJ106" i="1"/>
  <c r="BL144" i="1"/>
  <c r="BM127" i="1"/>
  <c r="BK127" i="1"/>
  <c r="BO83" i="1"/>
  <c r="BF130" i="1"/>
  <c r="BO150" i="1"/>
  <c r="BG35" i="1"/>
  <c r="BF39" i="1"/>
  <c r="BL39" i="1"/>
  <c r="BF40" i="1"/>
  <c r="BH43" i="1"/>
  <c r="BL43" i="1"/>
  <c r="BN80" i="1"/>
  <c r="BL13" i="1"/>
  <c r="BO13" i="1"/>
  <c r="BM21" i="1"/>
  <c r="BJ12" i="1"/>
  <c r="BF123" i="1"/>
  <c r="BG98" i="1"/>
  <c r="BH96" i="1"/>
  <c r="BF96" i="1"/>
  <c r="BI71" i="1"/>
  <c r="BJ142" i="1"/>
  <c r="BO142" i="1"/>
  <c r="BF48" i="1"/>
  <c r="BF149" i="1"/>
  <c r="BI143" i="1"/>
  <c r="BH137" i="1"/>
  <c r="BG124" i="1"/>
  <c r="BN147" i="1"/>
  <c r="BJ57" i="1"/>
  <c r="BJ6" i="1"/>
  <c r="BJ61" i="1"/>
  <c r="BJ63" i="1"/>
  <c r="BG82" i="1"/>
  <c r="BH75" i="1"/>
  <c r="BI128" i="1"/>
  <c r="BI30" i="1"/>
  <c r="BK64" i="1"/>
  <c r="BJ139" i="1"/>
  <c r="BF117" i="1"/>
  <c r="BI47" i="1"/>
  <c r="BG105" i="1"/>
  <c r="BL23" i="1"/>
  <c r="BH127" i="1"/>
  <c r="BJ80" i="1"/>
  <c r="BF12" i="1"/>
  <c r="BM96" i="1"/>
  <c r="BN142" i="1"/>
  <c r="BH147" i="1"/>
  <c r="BO20" i="1"/>
  <c r="BN109" i="1"/>
  <c r="BN69" i="1"/>
  <c r="BI33" i="1"/>
  <c r="BG24" i="1"/>
  <c r="BI102" i="1"/>
  <c r="BF79" i="1"/>
  <c r="BK135" i="1"/>
  <c r="BO53" i="1"/>
  <c r="BG131" i="1"/>
  <c r="BG62" i="1"/>
  <c r="BH23" i="1"/>
  <c r="BJ127" i="1"/>
  <c r="BJ39" i="1"/>
  <c r="BN13" i="1"/>
  <c r="BO98" i="1"/>
  <c r="BK125" i="1"/>
  <c r="BK101" i="1"/>
  <c r="BO147" i="1"/>
  <c r="BP147" i="1"/>
  <c r="BM70" i="1"/>
  <c r="BM61" i="1"/>
  <c r="BN20" i="1"/>
  <c r="BL104" i="1"/>
  <c r="BF4" i="1"/>
  <c r="BO63" i="1"/>
  <c r="BN63" i="1"/>
  <c r="BG151" i="1"/>
  <c r="BN17" i="1"/>
  <c r="BJ82" i="1"/>
  <c r="BJ45" i="1"/>
  <c r="BH49" i="1"/>
  <c r="BM49" i="1"/>
  <c r="BK136" i="1"/>
  <c r="BJ7" i="1"/>
  <c r="BO75" i="1"/>
  <c r="AJ101" i="1"/>
  <c r="BG29" i="1"/>
  <c r="BL107" i="1"/>
  <c r="BJ138" i="1"/>
  <c r="BG138" i="1"/>
  <c r="BF146" i="1"/>
  <c r="BM10" i="1"/>
  <c r="BG69" i="1"/>
  <c r="BL112" i="1"/>
  <c r="BJ112" i="1"/>
  <c r="BL97" i="1"/>
  <c r="BM8" i="1"/>
  <c r="BK8" i="1"/>
  <c r="BN128" i="1"/>
  <c r="BL33" i="1"/>
  <c r="BM85" i="1"/>
  <c r="BF85" i="1"/>
  <c r="BN52" i="1"/>
  <c r="AN118" i="1"/>
  <c r="BG30" i="1"/>
  <c r="BN94" i="1"/>
  <c r="BJ94" i="1"/>
  <c r="BO121" i="1"/>
  <c r="BM24" i="1"/>
  <c r="BL24" i="1"/>
  <c r="BG67" i="1"/>
  <c r="BN64" i="1"/>
  <c r="BI64" i="1"/>
  <c r="BF122" i="1"/>
  <c r="BM102" i="1"/>
  <c r="BJ102" i="1"/>
  <c r="BK114" i="1"/>
  <c r="BN108" i="1"/>
  <c r="BJ108" i="1"/>
  <c r="BM139" i="1"/>
  <c r="BK129" i="1"/>
  <c r="BJ120" i="1"/>
  <c r="AL113" i="1"/>
  <c r="BN135" i="1"/>
  <c r="BK16" i="1"/>
  <c r="BK87" i="1"/>
  <c r="BO117" i="1"/>
  <c r="BM117" i="1"/>
  <c r="BG76" i="1"/>
  <c r="BF47" i="1"/>
  <c r="BN56" i="1"/>
  <c r="BN131" i="1"/>
  <c r="BI131" i="1"/>
  <c r="BN60" i="1"/>
  <c r="BJ105" i="1"/>
  <c r="BF105" i="1"/>
  <c r="BG88" i="1"/>
  <c r="BK62" i="1"/>
  <c r="BM27" i="1"/>
  <c r="BF9" i="1"/>
  <c r="BG5" i="1"/>
  <c r="BM23" i="1"/>
  <c r="BJ32" i="1"/>
  <c r="BO32" i="1"/>
  <c r="BL106" i="1"/>
  <c r="BJ144" i="1"/>
  <c r="BG144" i="1"/>
  <c r="BH83" i="1"/>
  <c r="BG83" i="1"/>
  <c r="BI130" i="1"/>
  <c r="BK150" i="1"/>
  <c r="BH150" i="1"/>
  <c r="BI35" i="1"/>
  <c r="BN39" i="1"/>
  <c r="BN40" i="1"/>
  <c r="BN43" i="1"/>
  <c r="BI13" i="1"/>
  <c r="BH13" i="1"/>
  <c r="BF21" i="1"/>
  <c r="BK12" i="1"/>
  <c r="BG123" i="1"/>
  <c r="BM25" i="1"/>
  <c r="BH98" i="1"/>
  <c r="BI96" i="1"/>
  <c r="BO96" i="1"/>
  <c r="BJ71" i="1"/>
  <c r="BK142" i="1"/>
  <c r="BH142" i="1"/>
  <c r="BN48" i="1"/>
  <c r="BF37" i="1"/>
  <c r="BH115" i="1"/>
  <c r="BF5" i="1"/>
  <c r="BK137" i="1"/>
  <c r="BK41" i="1"/>
  <c r="BK130" i="1"/>
  <c r="BM124" i="1"/>
  <c r="BL57" i="1"/>
  <c r="BL6" i="1"/>
  <c r="BJ124" i="1"/>
  <c r="BH20" i="1"/>
  <c r="BM45" i="1"/>
  <c r="BF109" i="1"/>
  <c r="BI10" i="1"/>
  <c r="BF97" i="1"/>
  <c r="BL122" i="1"/>
  <c r="BF114" i="1"/>
  <c r="BK139" i="1"/>
  <c r="BF120" i="1"/>
  <c r="BI76" i="1"/>
  <c r="BM131" i="1"/>
  <c r="BM88" i="1"/>
  <c r="BL9" i="1"/>
  <c r="BM144" i="1"/>
  <c r="BJ123" i="1"/>
  <c r="BF71" i="1"/>
  <c r="BO6" i="1"/>
  <c r="BF151" i="1"/>
  <c r="BK49" i="1"/>
  <c r="BM29" i="1"/>
  <c r="BO112" i="1"/>
  <c r="BN8" i="1"/>
  <c r="BH85" i="1"/>
  <c r="BI94" i="1"/>
  <c r="BL64" i="1"/>
  <c r="BG102" i="1"/>
  <c r="BO139" i="1"/>
  <c r="BO11" i="1"/>
  <c r="BL115" i="1"/>
  <c r="BJ27" i="1"/>
  <c r="BF106" i="1"/>
  <c r="BH100" i="1"/>
  <c r="BI40" i="1"/>
  <c r="BJ21" i="1"/>
  <c r="BK123" i="1"/>
  <c r="BN70" i="1"/>
  <c r="BG61" i="1"/>
  <c r="BI20" i="1"/>
  <c r="BJ104" i="1"/>
  <c r="BN4" i="1"/>
  <c r="BG63" i="1"/>
  <c r="BM63" i="1"/>
  <c r="BI151" i="1"/>
  <c r="BI17" i="1"/>
  <c r="BG17" i="1"/>
  <c r="BK82" i="1"/>
  <c r="BF45" i="1"/>
  <c r="BK45" i="1"/>
  <c r="BG49" i="1"/>
  <c r="BL136" i="1"/>
  <c r="BG75" i="1"/>
  <c r="BK75" i="1"/>
  <c r="AR101" i="1"/>
  <c r="BJ29" i="1"/>
  <c r="BN107" i="1"/>
  <c r="BJ55" i="1"/>
  <c r="BL138" i="1"/>
  <c r="BO138" i="1"/>
  <c r="BO109" i="1"/>
  <c r="BG73" i="1"/>
  <c r="BM73" i="1"/>
  <c r="BL146" i="1"/>
  <c r="BO10" i="1"/>
  <c r="BI69" i="1"/>
  <c r="BK69" i="1"/>
  <c r="BM112" i="1"/>
  <c r="BO97" i="1"/>
  <c r="BO8" i="1"/>
  <c r="BL8" i="1"/>
  <c r="BF128" i="1"/>
  <c r="BO33" i="1"/>
  <c r="BN85" i="1"/>
  <c r="BG52" i="1"/>
  <c r="BL30" i="1"/>
  <c r="BO30" i="1"/>
  <c r="BO94" i="1"/>
  <c r="BG121" i="1"/>
  <c r="BH121" i="1"/>
  <c r="BO24" i="1"/>
  <c r="BI67" i="1"/>
  <c r="BH67" i="1"/>
  <c r="BF64" i="1"/>
  <c r="BI122" i="1"/>
  <c r="BN102" i="1"/>
  <c r="BN114" i="1"/>
  <c r="BM114" i="1"/>
  <c r="BO108" i="1"/>
  <c r="BG139" i="1"/>
  <c r="BG129" i="1"/>
  <c r="BK132" i="1"/>
  <c r="BM11" i="1"/>
  <c r="BN120" i="1"/>
  <c r="AJ113" i="1"/>
  <c r="BF135" i="1"/>
  <c r="BO16" i="1"/>
  <c r="BL16" i="1"/>
  <c r="BG87" i="1"/>
  <c r="BL87" i="1"/>
  <c r="BK117" i="1"/>
  <c r="BF76" i="1"/>
  <c r="BO76" i="1"/>
  <c r="BH47" i="1"/>
  <c r="BM47" i="1"/>
  <c r="BG56" i="1"/>
  <c r="BO131" i="1"/>
  <c r="BK131" i="1"/>
  <c r="BG60" i="1"/>
  <c r="BK105" i="1"/>
  <c r="BN105" i="1"/>
  <c r="BI62" i="1"/>
  <c r="BH27" i="1"/>
  <c r="BN9" i="1"/>
  <c r="BF23" i="1"/>
  <c r="BK32" i="1"/>
  <c r="BH32" i="1"/>
  <c r="BF144" i="1"/>
  <c r="BO144" i="1"/>
  <c r="BN127" i="1"/>
  <c r="BI83" i="1"/>
  <c r="BJ130" i="1"/>
  <c r="BM150" i="1"/>
  <c r="BJ35" i="1"/>
  <c r="BH39" i="1"/>
  <c r="BM39" i="1"/>
  <c r="BG40" i="1"/>
  <c r="BM43" i="1"/>
  <c r="BG80" i="1"/>
  <c r="BJ13" i="1"/>
  <c r="BN21" i="1"/>
  <c r="BG12" i="1"/>
  <c r="BL12" i="1"/>
  <c r="BL123" i="1"/>
  <c r="BN25" i="1"/>
  <c r="BK98" i="1"/>
  <c r="BJ96" i="1"/>
  <c r="BL71" i="1"/>
  <c r="BG48" i="1"/>
  <c r="BJ137" i="1"/>
  <c r="BO137" i="1"/>
  <c r="BF41" i="1"/>
  <c r="AU41" i="1"/>
  <c r="BQ41" i="1" s="1"/>
  <c r="AU57" i="1"/>
  <c r="AV57" i="1" s="1"/>
  <c r="BI57" i="1"/>
  <c r="BI70" i="1"/>
  <c r="BK4" i="1"/>
  <c r="BJ17" i="1"/>
  <c r="BO136" i="1"/>
  <c r="BJ73" i="1"/>
  <c r="BL69" i="1"/>
  <c r="BF8" i="1"/>
  <c r="BN24" i="1"/>
  <c r="BO102" i="1"/>
  <c r="BI79" i="1"/>
  <c r="BM135" i="1"/>
  <c r="BN87" i="1"/>
  <c r="BK88" i="1"/>
  <c r="BO23" i="1"/>
  <c r="BI39" i="1"/>
  <c r="BF13" i="1"/>
  <c r="BN98" i="1"/>
  <c r="BF118" i="1"/>
  <c r="BO4" i="1"/>
  <c r="BL82" i="1"/>
  <c r="BG7" i="1"/>
  <c r="BI109" i="1"/>
  <c r="BJ10" i="1"/>
  <c r="BM122" i="1"/>
  <c r="BI129" i="1"/>
  <c r="BH135" i="1"/>
  <c r="BG117" i="1"/>
  <c r="BG27" i="1"/>
  <c r="BF32" i="1"/>
  <c r="BM83" i="1"/>
  <c r="BM35" i="1"/>
  <c r="BJ43" i="1"/>
  <c r="BO123" i="1"/>
  <c r="BL142" i="1"/>
  <c r="BN113" i="1"/>
  <c r="BI41" i="1"/>
  <c r="BG41" i="1"/>
  <c r="BK124" i="1"/>
  <c r="BK57" i="1"/>
  <c r="BH70" i="1"/>
  <c r="BG70" i="1"/>
  <c r="BO61" i="1"/>
  <c r="BG20" i="1"/>
  <c r="BJ20" i="1"/>
  <c r="BF104" i="1"/>
  <c r="BI4" i="1"/>
  <c r="BJ151" i="1"/>
  <c r="BK17" i="1"/>
  <c r="BO17" i="1"/>
  <c r="BF82" i="1"/>
  <c r="BH45" i="1"/>
  <c r="BL45" i="1"/>
  <c r="BO49" i="1"/>
  <c r="BM136" i="1"/>
  <c r="BM7" i="1"/>
  <c r="BL75" i="1"/>
  <c r="BH29" i="1"/>
  <c r="BK29" i="1"/>
  <c r="BF55" i="1"/>
  <c r="BK55" i="1"/>
  <c r="BM138" i="1"/>
  <c r="BL109" i="1"/>
  <c r="BG109" i="1"/>
  <c r="BH73" i="1"/>
  <c r="BJ146" i="1"/>
  <c r="BG146" i="1"/>
  <c r="BF10" i="1"/>
  <c r="BH69" i="1"/>
  <c r="BH97" i="1"/>
  <c r="BF33" i="1"/>
  <c r="BM33" i="1"/>
  <c r="BK85" i="1"/>
  <c r="BJ52" i="1"/>
  <c r="BO52" i="1"/>
  <c r="BM30" i="1"/>
  <c r="BH30" i="1"/>
  <c r="BG94" i="1"/>
  <c r="BL121" i="1"/>
  <c r="BI121" i="1"/>
  <c r="BL67" i="1"/>
  <c r="BK67" i="1"/>
  <c r="BH64" i="1"/>
  <c r="BJ122" i="1"/>
  <c r="BH122" i="1"/>
  <c r="BL114" i="1"/>
  <c r="BH139" i="1"/>
  <c r="BN139" i="1"/>
  <c r="BH129" i="1"/>
  <c r="BM132" i="1"/>
  <c r="BK81" i="1"/>
  <c r="BF11" i="1"/>
  <c r="BK120" i="1"/>
  <c r="BJ135" i="1"/>
  <c r="BO135" i="1"/>
  <c r="BO87" i="1"/>
  <c r="BM87" i="1"/>
  <c r="BF53" i="1"/>
  <c r="BH76" i="1"/>
  <c r="BG47" i="1"/>
  <c r="BJ56" i="1"/>
  <c r="BO56" i="1"/>
  <c r="BJ131" i="1"/>
  <c r="BJ60" i="1"/>
  <c r="BO60" i="1"/>
  <c r="BL105" i="1"/>
  <c r="BH88" i="1"/>
  <c r="BM62" i="1"/>
  <c r="BI27" i="1"/>
  <c r="BI9" i="1"/>
  <c r="BG9" i="1"/>
  <c r="BN23" i="1"/>
  <c r="BM106" i="1"/>
  <c r="BI144" i="1"/>
  <c r="BH144" i="1"/>
  <c r="BO127" i="1"/>
  <c r="BJ83" i="1"/>
  <c r="BF83" i="1"/>
  <c r="BL130" i="1"/>
  <c r="BF150" i="1"/>
  <c r="BH35" i="1"/>
  <c r="BK35" i="1"/>
  <c r="BG39" i="1"/>
  <c r="BJ40" i="1"/>
  <c r="BO40" i="1"/>
  <c r="BG43" i="1"/>
  <c r="BF80" i="1"/>
  <c r="BO80" i="1"/>
  <c r="BL21" i="1"/>
  <c r="BG21" i="1"/>
  <c r="BH12" i="1"/>
  <c r="BH123" i="1"/>
  <c r="BM123" i="1"/>
  <c r="BL98" i="1"/>
  <c r="BK96" i="1"/>
  <c r="BG71" i="1"/>
  <c r="BN71" i="1"/>
  <c r="BF142" i="1"/>
  <c r="BJ48" i="1"/>
  <c r="BO48" i="1"/>
  <c r="BI53" i="1"/>
  <c r="BI137" i="1"/>
  <c r="BL137" i="1"/>
  <c r="BM41" i="1"/>
  <c r="BH124" i="1"/>
  <c r="BO124" i="1"/>
  <c r="BJ147" i="1"/>
  <c r="BK147" i="1"/>
  <c r="BM147" i="1"/>
  <c r="BL20" i="1"/>
  <c r="BJ49" i="1"/>
  <c r="BO29" i="1"/>
  <c r="BH109" i="1"/>
  <c r="BK52" i="1"/>
  <c r="BK121" i="1"/>
  <c r="BO122" i="1"/>
  <c r="BG11" i="1"/>
  <c r="BF16" i="1"/>
  <c r="BK76" i="1"/>
  <c r="BN62" i="1"/>
  <c r="BH9" i="1"/>
  <c r="BH106" i="1"/>
  <c r="BI127" i="1"/>
  <c r="BJ150" i="1"/>
  <c r="BK40" i="1"/>
  <c r="BH21" i="1"/>
  <c r="BM65" i="1"/>
  <c r="BL147" i="1"/>
  <c r="BJ70" i="1"/>
  <c r="BL4" i="1"/>
  <c r="BK151" i="1"/>
  <c r="BH136" i="1"/>
  <c r="BH55" i="1"/>
  <c r="BI97" i="1"/>
  <c r="BG128" i="1"/>
  <c r="BI52" i="1"/>
  <c r="BN129" i="1"/>
  <c r="BG120" i="1"/>
  <c r="BN16" i="1"/>
  <c r="BL76" i="1"/>
  <c r="BI56" i="1"/>
  <c r="BN88" i="1"/>
  <c r="BJ9" i="1"/>
  <c r="BG106" i="1"/>
  <c r="BM130" i="1"/>
  <c r="BL80" i="1"/>
  <c r="BN12" i="1"/>
  <c r="BJ98" i="1"/>
  <c r="BI48" i="1"/>
  <c r="BO70" i="1"/>
  <c r="BI61" i="1"/>
  <c r="BM20" i="1"/>
  <c r="BK20" i="1"/>
  <c r="BG104" i="1"/>
  <c r="BG4" i="1"/>
  <c r="BJ4" i="1"/>
  <c r="BI63" i="1"/>
  <c r="BN151" i="1"/>
  <c r="BH151" i="1"/>
  <c r="BL17" i="1"/>
  <c r="BH17" i="1"/>
  <c r="BO82" i="1"/>
  <c r="BN45" i="1"/>
  <c r="BI49" i="1"/>
  <c r="BF136" i="1"/>
  <c r="BG136" i="1"/>
  <c r="BF7" i="1"/>
  <c r="BF75" i="1"/>
  <c r="BN29" i="1"/>
  <c r="BL29" i="1"/>
  <c r="BN55" i="1"/>
  <c r="BL55" i="1"/>
  <c r="BK109" i="1"/>
  <c r="BI73" i="1"/>
  <c r="BK146" i="1"/>
  <c r="BO146" i="1"/>
  <c r="BN10" i="1"/>
  <c r="BJ69" i="1"/>
  <c r="BM69" i="1"/>
  <c r="BN112" i="1"/>
  <c r="BM97" i="1"/>
  <c r="BM128" i="1"/>
  <c r="BH128" i="1"/>
  <c r="BG33" i="1"/>
  <c r="BM15" i="1"/>
  <c r="BG85" i="1"/>
  <c r="BL52" i="1"/>
  <c r="BH52" i="1"/>
  <c r="BF121" i="1"/>
  <c r="BJ121" i="1"/>
  <c r="BF24" i="1"/>
  <c r="BJ67" i="1"/>
  <c r="BJ64" i="1"/>
  <c r="BK122" i="1"/>
  <c r="BG122" i="1"/>
  <c r="BF102" i="1"/>
  <c r="BG114" i="1"/>
  <c r="BI139" i="1"/>
  <c r="BM129" i="1"/>
  <c r="BO132" i="1"/>
  <c r="BN11" i="1"/>
  <c r="BL120" i="1"/>
  <c r="BL135" i="1"/>
  <c r="BG135" i="1"/>
  <c r="BG16" i="1"/>
  <c r="BH87" i="1"/>
  <c r="BF87" i="1"/>
  <c r="BI117" i="1"/>
  <c r="BH53" i="1"/>
  <c r="BJ76" i="1"/>
  <c r="BO47" i="1"/>
  <c r="BL56" i="1"/>
  <c r="BH56" i="1"/>
  <c r="BL131" i="1"/>
  <c r="BL60" i="1"/>
  <c r="BH60" i="1"/>
  <c r="BM105" i="1"/>
  <c r="BL88" i="1"/>
  <c r="BI88" i="1"/>
  <c r="BF62" i="1"/>
  <c r="BN27" i="1"/>
  <c r="BK9" i="1"/>
  <c r="BO9" i="1"/>
  <c r="BK23" i="1"/>
  <c r="BG23" i="1"/>
  <c r="BL32" i="1"/>
  <c r="BI32" i="1"/>
  <c r="BK144" i="1"/>
  <c r="BK83" i="1"/>
  <c r="BN83" i="1"/>
  <c r="BG130" i="1"/>
  <c r="BI150" i="1"/>
  <c r="BO35" i="1"/>
  <c r="BL35" i="1"/>
  <c r="BO39" i="1"/>
  <c r="BL40" i="1"/>
  <c r="BH40" i="1"/>
  <c r="BO43" i="1"/>
  <c r="BK80" i="1"/>
  <c r="BH80" i="1"/>
  <c r="BM13" i="1"/>
  <c r="BI21" i="1"/>
  <c r="BO21" i="1"/>
  <c r="BM12" i="1"/>
  <c r="BI123" i="1"/>
  <c r="BF98" i="1"/>
  <c r="BM98" i="1"/>
  <c r="BL96" i="1"/>
  <c r="BO71" i="1"/>
  <c r="BK71" i="1"/>
  <c r="BM142" i="1"/>
  <c r="BL48" i="1"/>
  <c r="BH48" i="1"/>
  <c r="BJ51" i="1"/>
  <c r="BG81" i="1"/>
  <c r="BF137" i="1"/>
  <c r="BO41" i="1"/>
  <c r="BH41" i="1"/>
  <c r="BH148" i="1"/>
  <c r="BN124" i="1"/>
  <c r="BG57" i="1"/>
  <c r="BG6" i="1"/>
  <c r="BK6" i="1"/>
  <c r="AQ101" i="1"/>
  <c r="AM113" i="1"/>
  <c r="AS113" i="1"/>
  <c r="AL19" i="1"/>
  <c r="AT148" i="1"/>
  <c r="AK53" i="1"/>
  <c r="AL130" i="1"/>
  <c r="AR100" i="1"/>
  <c r="AJ25" i="1"/>
  <c r="AK125" i="1"/>
  <c r="BP57" i="1"/>
  <c r="AT113" i="1"/>
  <c r="AO113" i="1"/>
  <c r="AI113" i="1"/>
  <c r="BE113" i="1" s="1"/>
  <c r="AL65" i="1"/>
  <c r="AM25" i="1"/>
  <c r="AK25" i="1"/>
  <c r="AI125" i="1"/>
  <c r="BE125" i="1" s="1"/>
  <c r="AU147" i="1"/>
  <c r="AV147" i="1" s="1"/>
  <c r="AT101" i="1"/>
  <c r="BP101" i="1" s="1"/>
  <c r="AM101" i="1"/>
  <c r="AK113" i="1"/>
  <c r="AO53" i="1"/>
  <c r="AO51" i="1"/>
  <c r="AT130" i="1"/>
  <c r="AO25" i="1"/>
  <c r="AS25" i="1"/>
  <c r="AQ125" i="1"/>
  <c r="AI101" i="1"/>
  <c r="BE101" i="1" s="1"/>
  <c r="AN101" i="1"/>
  <c r="AP113" i="1"/>
  <c r="AP25" i="1"/>
  <c r="AL25" i="1"/>
  <c r="AR125" i="1"/>
  <c r="AK101" i="1"/>
  <c r="AQ113" i="1"/>
  <c r="AN25" i="1"/>
  <c r="AP125" i="1"/>
  <c r="AN113" i="1"/>
  <c r="AR148" i="1"/>
  <c r="AJ125" i="1"/>
  <c r="AN81" i="1"/>
  <c r="AP81" i="1"/>
  <c r="AL51" i="1"/>
  <c r="AP51" i="1"/>
  <c r="AM81" i="1"/>
  <c r="AI81" i="1"/>
  <c r="BE81" i="1" s="1"/>
  <c r="AR53" i="1"/>
  <c r="AI53" i="1"/>
  <c r="BE53" i="1" s="1"/>
  <c r="AR51" i="1"/>
  <c r="AI51" i="1"/>
  <c r="AT65" i="1"/>
  <c r="AR81" i="1"/>
  <c r="AQ81" i="1"/>
  <c r="AT51" i="1"/>
  <c r="AQ51" i="1"/>
  <c r="AS81" i="1"/>
  <c r="AK51" i="1"/>
  <c r="AT81" i="1"/>
  <c r="BP81" i="1" s="1"/>
  <c r="AS51" i="1"/>
  <c r="AJ81" i="1"/>
  <c r="AM51" i="1"/>
  <c r="AN125" i="1"/>
  <c r="AN100" i="1"/>
  <c r="AR15" i="1"/>
  <c r="AJ115" i="1"/>
  <c r="AM115" i="1"/>
  <c r="AJ148" i="1"/>
  <c r="AM5" i="1"/>
  <c r="AS5" i="1"/>
  <c r="AO100" i="1"/>
  <c r="AR149" i="1"/>
  <c r="AL149" i="1"/>
  <c r="AM100" i="1"/>
  <c r="AM149" i="1"/>
  <c r="AM15" i="1"/>
  <c r="AK15" i="1"/>
  <c r="AK115" i="1"/>
  <c r="AO115" i="1"/>
  <c r="AM148" i="1"/>
  <c r="AO5" i="1"/>
  <c r="AL5" i="1"/>
  <c r="AS100" i="1"/>
  <c r="AN149" i="1"/>
  <c r="AT149" i="1"/>
  <c r="AO15" i="1"/>
  <c r="AS15" i="1"/>
  <c r="AQ115" i="1"/>
  <c r="AP148" i="1"/>
  <c r="AN5" i="1"/>
  <c r="AT5" i="1"/>
  <c r="AT100" i="1"/>
  <c r="AQ149" i="1"/>
  <c r="AO149" i="1"/>
  <c r="AP15" i="1"/>
  <c r="AL15" i="1"/>
  <c r="AR115" i="1"/>
  <c r="AN148" i="1"/>
  <c r="AK148" i="1"/>
  <c r="AI5" i="1"/>
  <c r="AP100" i="1"/>
  <c r="AS149" i="1"/>
  <c r="AP149" i="1"/>
  <c r="AN15" i="1"/>
  <c r="AT15" i="1"/>
  <c r="AS115" i="1"/>
  <c r="AK19" i="1"/>
  <c r="AO148" i="1"/>
  <c r="AS148" i="1"/>
  <c r="AQ5" i="1"/>
  <c r="AJ100" i="1"/>
  <c r="AQ100" i="1"/>
  <c r="AI149" i="1"/>
  <c r="BE149" i="1" s="1"/>
  <c r="AN37" i="1"/>
  <c r="AQ148" i="1"/>
  <c r="AK100" i="1"/>
  <c r="AU79" i="1"/>
  <c r="BP79" i="1"/>
  <c r="AU49" i="1"/>
  <c r="BP49" i="1"/>
  <c r="AU130" i="1"/>
  <c r="BP130" i="1"/>
  <c r="AU39" i="1"/>
  <c r="BP39" i="1"/>
  <c r="AU123" i="1"/>
  <c r="BP123" i="1"/>
  <c r="AM72" i="1"/>
  <c r="AS72" i="1"/>
  <c r="AQ72" i="1"/>
  <c r="AR72" i="1"/>
  <c r="AK72" i="1"/>
  <c r="AP72" i="1"/>
  <c r="AL72" i="1"/>
  <c r="AO72" i="1"/>
  <c r="AI72" i="1"/>
  <c r="BE72" i="1" s="1"/>
  <c r="AN72" i="1"/>
  <c r="AT72" i="1"/>
  <c r="AU4" i="1"/>
  <c r="BP4" i="1"/>
  <c r="AM107" i="1"/>
  <c r="AJ107" i="1"/>
  <c r="AU73" i="1"/>
  <c r="BP73" i="1"/>
  <c r="AU69" i="1"/>
  <c r="BP69" i="1"/>
  <c r="AU33" i="1"/>
  <c r="BP33" i="1"/>
  <c r="AT118" i="1"/>
  <c r="AL118" i="1"/>
  <c r="AU108" i="1"/>
  <c r="BP108" i="1"/>
  <c r="AP132" i="1"/>
  <c r="AK79" i="1"/>
  <c r="AO79" i="1"/>
  <c r="AO19" i="1"/>
  <c r="AS19" i="1"/>
  <c r="AU106" i="1"/>
  <c r="BP106" i="1"/>
  <c r="AU83" i="1"/>
  <c r="BP83" i="1"/>
  <c r="AK65" i="1"/>
  <c r="AU12" i="1"/>
  <c r="BP12" i="1"/>
  <c r="AV124" i="1"/>
  <c r="BQ124" i="1"/>
  <c r="AU112" i="1"/>
  <c r="BP112" i="1"/>
  <c r="AU16" i="1"/>
  <c r="BP16" i="1"/>
  <c r="AU136" i="1"/>
  <c r="BP136" i="1"/>
  <c r="AS107" i="1"/>
  <c r="AU128" i="1"/>
  <c r="BP128" i="1"/>
  <c r="AP118" i="1"/>
  <c r="AK118" i="1"/>
  <c r="AU67" i="1"/>
  <c r="BP67" i="1"/>
  <c r="AU64" i="1"/>
  <c r="BP64" i="1"/>
  <c r="AI132" i="1"/>
  <c r="BE132" i="1" s="1"/>
  <c r="AL79" i="1"/>
  <c r="AI79" i="1"/>
  <c r="AN19" i="1"/>
  <c r="AT19" i="1"/>
  <c r="AU56" i="1"/>
  <c r="BP56" i="1"/>
  <c r="AU60" i="1"/>
  <c r="BP60" i="1"/>
  <c r="AU144" i="1"/>
  <c r="BP144" i="1"/>
  <c r="AU127" i="1"/>
  <c r="BP127" i="1"/>
  <c r="AM65" i="1"/>
  <c r="AU150" i="1"/>
  <c r="BP150" i="1"/>
  <c r="AU43" i="1"/>
  <c r="BP43" i="1"/>
  <c r="AU13" i="1"/>
  <c r="BP13" i="1"/>
  <c r="AU71" i="1"/>
  <c r="BP71" i="1"/>
  <c r="AJ72" i="1"/>
  <c r="AU137" i="1"/>
  <c r="BP137" i="1"/>
  <c r="AV41" i="1"/>
  <c r="AU88" i="1"/>
  <c r="BP88" i="1"/>
  <c r="AU61" i="1"/>
  <c r="BP61" i="1"/>
  <c r="AU75" i="1"/>
  <c r="BP75" i="1"/>
  <c r="AT107" i="1"/>
  <c r="AU109" i="1"/>
  <c r="BP109" i="1"/>
  <c r="AU97" i="1"/>
  <c r="BP97" i="1"/>
  <c r="AU8" i="1"/>
  <c r="BP8" i="1"/>
  <c r="AQ118" i="1"/>
  <c r="AS118" i="1"/>
  <c r="AU129" i="1"/>
  <c r="BP129" i="1"/>
  <c r="AR132" i="1"/>
  <c r="AN79" i="1"/>
  <c r="AQ79" i="1"/>
  <c r="AI19" i="1"/>
  <c r="BE19" i="1" s="1"/>
  <c r="AU53" i="1"/>
  <c r="BP53" i="1"/>
  <c r="AU105" i="1"/>
  <c r="BP105" i="1"/>
  <c r="AU9" i="1"/>
  <c r="BP9" i="1"/>
  <c r="AP65" i="1"/>
  <c r="AN65" i="1"/>
  <c r="AU98" i="1"/>
  <c r="BP98" i="1"/>
  <c r="AV58" i="1"/>
  <c r="BQ58" i="1"/>
  <c r="AU20" i="1"/>
  <c r="BP20" i="1"/>
  <c r="AU117" i="1"/>
  <c r="BP117" i="1"/>
  <c r="AU104" i="1"/>
  <c r="BP104" i="1"/>
  <c r="AU102" i="1"/>
  <c r="BP102" i="1"/>
  <c r="AU63" i="1"/>
  <c r="BP63" i="1"/>
  <c r="AU70" i="1"/>
  <c r="BP70" i="1"/>
  <c r="AI107" i="1"/>
  <c r="BE107" i="1" s="1"/>
  <c r="AU55" i="1"/>
  <c r="BP55" i="1"/>
  <c r="AU10" i="1"/>
  <c r="BP10" i="1"/>
  <c r="AR118" i="1"/>
  <c r="AU122" i="1"/>
  <c r="BP122" i="1"/>
  <c r="AL132" i="1"/>
  <c r="AJ132" i="1"/>
  <c r="AR79" i="1"/>
  <c r="AU115" i="1"/>
  <c r="BP115" i="1"/>
  <c r="AQ19" i="1"/>
  <c r="AU131" i="1"/>
  <c r="BP131" i="1"/>
  <c r="AU27" i="1"/>
  <c r="BP27" i="1"/>
  <c r="AS65" i="1"/>
  <c r="AO65" i="1"/>
  <c r="AT125" i="1"/>
  <c r="AU7" i="1"/>
  <c r="BP7" i="1"/>
  <c r="AU48" i="1"/>
  <c r="BP48" i="1"/>
  <c r="AU151" i="1"/>
  <c r="BP151" i="1"/>
  <c r="AU17" i="1"/>
  <c r="BP17" i="1"/>
  <c r="AU45" i="1"/>
  <c r="BP45" i="1"/>
  <c r="AN107" i="1"/>
  <c r="AU146" i="1"/>
  <c r="BP146" i="1"/>
  <c r="AI118" i="1"/>
  <c r="AU24" i="1"/>
  <c r="BP24" i="1"/>
  <c r="AU114" i="1"/>
  <c r="BP114" i="1"/>
  <c r="AM132" i="1"/>
  <c r="AT132" i="1"/>
  <c r="AS79" i="1"/>
  <c r="AU120" i="1"/>
  <c r="BP120" i="1"/>
  <c r="AU135" i="1"/>
  <c r="BP135" i="1"/>
  <c r="AJ19" i="1"/>
  <c r="AU47" i="1"/>
  <c r="BP47" i="1"/>
  <c r="AU23" i="1"/>
  <c r="BP23" i="1"/>
  <c r="AR65" i="1"/>
  <c r="AI65" i="1"/>
  <c r="BE65" i="1" s="1"/>
  <c r="AU35" i="1"/>
  <c r="BP35" i="1"/>
  <c r="AU40" i="1"/>
  <c r="BP40" i="1"/>
  <c r="AU80" i="1"/>
  <c r="BP80" i="1"/>
  <c r="AL125" i="1"/>
  <c r="AV6" i="1"/>
  <c r="BQ6" i="1"/>
  <c r="BQ147" i="1"/>
  <c r="AV59" i="1"/>
  <c r="BQ59" i="1"/>
  <c r="AU121" i="1"/>
  <c r="BP121" i="1"/>
  <c r="AU87" i="1"/>
  <c r="BP87" i="1"/>
  <c r="AU32" i="1"/>
  <c r="BP32" i="1"/>
  <c r="AU82" i="1"/>
  <c r="BP82" i="1"/>
  <c r="AU29" i="1"/>
  <c r="BP29" i="1"/>
  <c r="AL107" i="1"/>
  <c r="AU138" i="1"/>
  <c r="BP138" i="1"/>
  <c r="AU85" i="1"/>
  <c r="BP85" i="1"/>
  <c r="AU52" i="1"/>
  <c r="BP52" i="1"/>
  <c r="AU30" i="1"/>
  <c r="BP30" i="1"/>
  <c r="AU94" i="1"/>
  <c r="BP94" i="1"/>
  <c r="AU139" i="1"/>
  <c r="BP139" i="1"/>
  <c r="AN132" i="1"/>
  <c r="AU11" i="1"/>
  <c r="BP11" i="1"/>
  <c r="AU76" i="1"/>
  <c r="BP76" i="1"/>
  <c r="AU62" i="1"/>
  <c r="BP62" i="1"/>
  <c r="AJ65" i="1"/>
  <c r="AU21" i="1"/>
  <c r="BP21" i="1"/>
  <c r="AU25" i="1"/>
  <c r="BP25" i="1"/>
  <c r="AU96" i="1"/>
  <c r="BP96" i="1"/>
  <c r="AU142" i="1"/>
  <c r="BP142" i="1"/>
  <c r="AM125" i="1"/>
  <c r="AS111" i="1"/>
  <c r="AO111" i="1"/>
  <c r="AR111" i="1"/>
  <c r="AK111" i="1"/>
  <c r="AJ111" i="1"/>
  <c r="AT111" i="1"/>
  <c r="AQ111" i="1"/>
  <c r="AN111" i="1"/>
  <c r="AI111" i="1"/>
  <c r="BE111" i="1" s="1"/>
  <c r="AP111" i="1"/>
  <c r="AM111" i="1"/>
  <c r="AL111" i="1"/>
  <c r="AO143" i="1"/>
  <c r="AS143" i="1"/>
  <c r="AR143" i="1"/>
  <c r="AQ143" i="1"/>
  <c r="AL143" i="1"/>
  <c r="AI143" i="1"/>
  <c r="BE143" i="1" s="1"/>
  <c r="AN143" i="1"/>
  <c r="AP143" i="1"/>
  <c r="AK143" i="1"/>
  <c r="AT143" i="1"/>
  <c r="AJ143" i="1"/>
  <c r="AM37" i="1"/>
  <c r="AR22" i="1"/>
  <c r="AJ22" i="1"/>
  <c r="AK22" i="1"/>
  <c r="AT22" i="1"/>
  <c r="AP22" i="1"/>
  <c r="AS22" i="1"/>
  <c r="AO22" i="1"/>
  <c r="AQ22" i="1"/>
  <c r="AN22" i="1"/>
  <c r="AL22" i="1"/>
  <c r="AM22" i="1"/>
  <c r="AI22" i="1"/>
  <c r="BE22" i="1" s="1"/>
  <c r="AK37" i="1"/>
  <c r="AO37" i="1"/>
  <c r="AR37" i="1"/>
  <c r="AP37" i="1"/>
  <c r="AS37" i="1"/>
  <c r="AI37" i="1"/>
  <c r="AN133" i="1"/>
  <c r="AK133" i="1"/>
  <c r="AI133" i="1"/>
  <c r="BE133" i="1" s="1"/>
  <c r="AT133" i="1"/>
  <c r="AS133" i="1"/>
  <c r="AR133" i="1"/>
  <c r="AO133" i="1"/>
  <c r="AM133" i="1"/>
  <c r="AQ133" i="1"/>
  <c r="AL133" i="1"/>
  <c r="AP133" i="1"/>
  <c r="AJ133" i="1"/>
  <c r="AL37" i="1"/>
  <c r="AQ37" i="1"/>
  <c r="AT37" i="1"/>
  <c r="AR92" i="1"/>
  <c r="AI92" i="1"/>
  <c r="BE92" i="1" s="1"/>
  <c r="AN92" i="1"/>
  <c r="AQ92" i="1"/>
  <c r="AL92" i="1"/>
  <c r="AP92" i="1"/>
  <c r="AT92" i="1"/>
  <c r="AO92" i="1"/>
  <c r="AK92" i="1"/>
  <c r="AM92" i="1"/>
  <c r="AS92" i="1"/>
  <c r="AJ92" i="1"/>
  <c r="AN90" i="1"/>
  <c r="AR90" i="1"/>
  <c r="AI90" i="1"/>
  <c r="BE90" i="1" s="1"/>
  <c r="AQ90" i="1"/>
  <c r="AP90" i="1"/>
  <c r="AO90" i="1"/>
  <c r="AM90" i="1"/>
  <c r="AT90" i="1"/>
  <c r="AS90" i="1"/>
  <c r="AL90" i="1"/>
  <c r="AK90" i="1"/>
  <c r="AJ90" i="1"/>
  <c r="AP141" i="1"/>
  <c r="AO141" i="1"/>
  <c r="AT141" i="1"/>
  <c r="AL141" i="1"/>
  <c r="AS141" i="1"/>
  <c r="AR141" i="1"/>
  <c r="AQ141" i="1"/>
  <c r="AN141" i="1"/>
  <c r="AI141" i="1"/>
  <c r="BE141" i="1" s="1"/>
  <c r="AM141" i="1"/>
  <c r="AK141" i="1"/>
  <c r="AJ141" i="1"/>
  <c r="AM44" i="1"/>
  <c r="AT44" i="1"/>
  <c r="AL44" i="1"/>
  <c r="AS44" i="1"/>
  <c r="AK44" i="1"/>
  <c r="AR44" i="1"/>
  <c r="AJ44" i="1"/>
  <c r="AQ44" i="1"/>
  <c r="AI44" i="1"/>
  <c r="BE44" i="1" s="1"/>
  <c r="AO44" i="1"/>
  <c r="AP44" i="1"/>
  <c r="AN44" i="1"/>
  <c r="AM42" i="1"/>
  <c r="AT42" i="1"/>
  <c r="AL42" i="1"/>
  <c r="AS42" i="1"/>
  <c r="AK42" i="1"/>
  <c r="AR42" i="1"/>
  <c r="AJ42" i="1"/>
  <c r="AQ42" i="1"/>
  <c r="AI42" i="1"/>
  <c r="BE42" i="1" s="1"/>
  <c r="AO42" i="1"/>
  <c r="AN42" i="1"/>
  <c r="AP42" i="1"/>
  <c r="AM28" i="1"/>
  <c r="AT28" i="1"/>
  <c r="AL28" i="1"/>
  <c r="AS28" i="1"/>
  <c r="AK28" i="1"/>
  <c r="AR28" i="1"/>
  <c r="AJ28" i="1"/>
  <c r="AQ28" i="1"/>
  <c r="AP28" i="1"/>
  <c r="AI28" i="1"/>
  <c r="BE28" i="1" s="1"/>
  <c r="AN28" i="1"/>
  <c r="AO28" i="1"/>
  <c r="AP145" i="1"/>
  <c r="AO145" i="1"/>
  <c r="AT145" i="1"/>
  <c r="AL145" i="1"/>
  <c r="AJ145" i="1"/>
  <c r="AI145" i="1"/>
  <c r="BE145" i="1" s="1"/>
  <c r="AS145" i="1"/>
  <c r="AN145" i="1"/>
  <c r="AM145" i="1"/>
  <c r="AK145" i="1"/>
  <c r="AR145" i="1"/>
  <c r="AQ145" i="1"/>
  <c r="AS116" i="1"/>
  <c r="AK116" i="1"/>
  <c r="AT116" i="1"/>
  <c r="AJ116" i="1"/>
  <c r="AN116" i="1"/>
  <c r="AM116" i="1"/>
  <c r="AL116" i="1"/>
  <c r="AR116" i="1"/>
  <c r="AQ116" i="1"/>
  <c r="AP116" i="1"/>
  <c r="AI116" i="1"/>
  <c r="BE116" i="1" s="1"/>
  <c r="AO116" i="1"/>
  <c r="AR89" i="1"/>
  <c r="AJ89" i="1"/>
  <c r="AL89" i="1"/>
  <c r="AT89" i="1"/>
  <c r="AK89" i="1"/>
  <c r="AS89" i="1"/>
  <c r="AI89" i="1"/>
  <c r="BE89" i="1" s="1"/>
  <c r="AQ89" i="1"/>
  <c r="AP89" i="1"/>
  <c r="AN89" i="1"/>
  <c r="AO89" i="1"/>
  <c r="AM89" i="1"/>
  <c r="AM34" i="1"/>
  <c r="AT34" i="1"/>
  <c r="AL34" i="1"/>
  <c r="AS34" i="1"/>
  <c r="AK34" i="1"/>
  <c r="AR34" i="1"/>
  <c r="AJ34" i="1"/>
  <c r="AQ34" i="1"/>
  <c r="AI34" i="1"/>
  <c r="BE34" i="1" s="1"/>
  <c r="AP34" i="1"/>
  <c r="AO34" i="1"/>
  <c r="AN34" i="1"/>
  <c r="AR103" i="1"/>
  <c r="AJ103" i="1"/>
  <c r="AS103" i="1"/>
  <c r="AI103" i="1"/>
  <c r="BE103" i="1" s="1"/>
  <c r="AQ103" i="1"/>
  <c r="AP103" i="1"/>
  <c r="AM103" i="1"/>
  <c r="AL103" i="1"/>
  <c r="AK103" i="1"/>
  <c r="AO103" i="1"/>
  <c r="AN103" i="1"/>
  <c r="AT103" i="1"/>
  <c r="AR91" i="1"/>
  <c r="AJ91" i="1"/>
  <c r="AO91" i="1"/>
  <c r="AN91" i="1"/>
  <c r="AM91" i="1"/>
  <c r="AL91" i="1"/>
  <c r="AT91" i="1"/>
  <c r="AK91" i="1"/>
  <c r="AS91" i="1"/>
  <c r="AP91" i="1"/>
  <c r="AQ91" i="1"/>
  <c r="AI91" i="1"/>
  <c r="BE91" i="1" s="1"/>
  <c r="AT3" i="1"/>
  <c r="AL3" i="1"/>
  <c r="AS3" i="1"/>
  <c r="AK3" i="1"/>
  <c r="AR3" i="1"/>
  <c r="AJ3" i="1"/>
  <c r="AQ3" i="1"/>
  <c r="AI3" i="1"/>
  <c r="AN3" i="1"/>
  <c r="AP3" i="1"/>
  <c r="AO3" i="1"/>
  <c r="AM3" i="1"/>
  <c r="AM68" i="1"/>
  <c r="AS68" i="1"/>
  <c r="AK68" i="1"/>
  <c r="AJ68" i="1"/>
  <c r="AT68" i="1"/>
  <c r="AI68" i="1"/>
  <c r="BE68" i="1" s="1"/>
  <c r="AR68" i="1"/>
  <c r="AQ68" i="1"/>
  <c r="AP68" i="1"/>
  <c r="AN68" i="1"/>
  <c r="AO68" i="1"/>
  <c r="AL68" i="1"/>
  <c r="AQ77" i="1"/>
  <c r="AI77" i="1"/>
  <c r="BE77" i="1" s="1"/>
  <c r="AP77" i="1"/>
  <c r="AO77" i="1"/>
  <c r="AT77" i="1"/>
  <c r="AS77" i="1"/>
  <c r="AR77" i="1"/>
  <c r="AN77" i="1"/>
  <c r="AM77" i="1"/>
  <c r="AK77" i="1"/>
  <c r="AL77" i="1"/>
  <c r="AJ77" i="1"/>
  <c r="AR93" i="1"/>
  <c r="AJ93" i="1"/>
  <c r="AS93" i="1"/>
  <c r="AI93" i="1"/>
  <c r="BE93" i="1" s="1"/>
  <c r="AQ93" i="1"/>
  <c r="AP93" i="1"/>
  <c r="AO93" i="1"/>
  <c r="AN93" i="1"/>
  <c r="AK93" i="1"/>
  <c r="AM93" i="1"/>
  <c r="AT93" i="1"/>
  <c r="AL93" i="1"/>
  <c r="AT26" i="1"/>
  <c r="AS26" i="1"/>
  <c r="AR26" i="1"/>
  <c r="AP26" i="1"/>
  <c r="AO26" i="1"/>
  <c r="AN26" i="1"/>
  <c r="AM26" i="1"/>
  <c r="AJ26" i="1"/>
  <c r="AQ26" i="1"/>
  <c r="AL26" i="1"/>
  <c r="AK26" i="1"/>
  <c r="AI26" i="1"/>
  <c r="BE26" i="1" s="1"/>
  <c r="AM66" i="1"/>
  <c r="AS66" i="1"/>
  <c r="AK66" i="1"/>
  <c r="AN66" i="1"/>
  <c r="AL66" i="1"/>
  <c r="AJ66" i="1"/>
  <c r="AT66" i="1"/>
  <c r="AI66" i="1"/>
  <c r="BE66" i="1" s="1"/>
  <c r="AR66" i="1"/>
  <c r="AP66" i="1"/>
  <c r="AO66" i="1"/>
  <c r="AQ66" i="1"/>
  <c r="AS134" i="1"/>
  <c r="AK134" i="1"/>
  <c r="AN134" i="1"/>
  <c r="AM134" i="1"/>
  <c r="AL134" i="1"/>
  <c r="AI134" i="1"/>
  <c r="BE134" i="1" s="1"/>
  <c r="AT134" i="1"/>
  <c r="AP134" i="1"/>
  <c r="AO134" i="1"/>
  <c r="AJ134" i="1"/>
  <c r="AR134" i="1"/>
  <c r="AQ134" i="1"/>
  <c r="AM78" i="1"/>
  <c r="AT78" i="1"/>
  <c r="AL78" i="1"/>
  <c r="AS78" i="1"/>
  <c r="AK78" i="1"/>
  <c r="AR78" i="1"/>
  <c r="AQ78" i="1"/>
  <c r="AP78" i="1"/>
  <c r="AO78" i="1"/>
  <c r="AJ78" i="1"/>
  <c r="AN78" i="1"/>
  <c r="AI78" i="1"/>
  <c r="BE78" i="1" s="1"/>
  <c r="AM38" i="1"/>
  <c r="AT38" i="1"/>
  <c r="AL38" i="1"/>
  <c r="AS38" i="1"/>
  <c r="AK38" i="1"/>
  <c r="AR38" i="1"/>
  <c r="AJ38" i="1"/>
  <c r="AQ38" i="1"/>
  <c r="AI38" i="1"/>
  <c r="BE38" i="1" s="1"/>
  <c r="AP38" i="1"/>
  <c r="AO38" i="1"/>
  <c r="AN38" i="1"/>
  <c r="AM46" i="1"/>
  <c r="AT46" i="1"/>
  <c r="AL46" i="1"/>
  <c r="AS46" i="1"/>
  <c r="AK46" i="1"/>
  <c r="AR46" i="1"/>
  <c r="AJ46" i="1"/>
  <c r="AQ46" i="1"/>
  <c r="AI46" i="1"/>
  <c r="BE46" i="1" s="1"/>
  <c r="AO46" i="1"/>
  <c r="AP46" i="1"/>
  <c r="AN46" i="1"/>
  <c r="AO119" i="1"/>
  <c r="AT119" i="1"/>
  <c r="AK119" i="1"/>
  <c r="AS119" i="1"/>
  <c r="AJ119" i="1"/>
  <c r="AR119" i="1"/>
  <c r="AI119" i="1"/>
  <c r="BE119" i="1" s="1"/>
  <c r="AN119" i="1"/>
  <c r="AM119" i="1"/>
  <c r="AL119" i="1"/>
  <c r="AQ119" i="1"/>
  <c r="AP119" i="1"/>
  <c r="AP18" i="1"/>
  <c r="AO18" i="1"/>
  <c r="AN18" i="1"/>
  <c r="AM18" i="1"/>
  <c r="AR18" i="1"/>
  <c r="AJ18" i="1"/>
  <c r="AI18" i="1"/>
  <c r="BE18" i="1" s="1"/>
  <c r="AQ18" i="1"/>
  <c r="AT18" i="1"/>
  <c r="AS18" i="1"/>
  <c r="AL18" i="1"/>
  <c r="AK18" i="1"/>
  <c r="AT140" i="1"/>
  <c r="AL140" i="1"/>
  <c r="AS140" i="1"/>
  <c r="AK140" i="1"/>
  <c r="AP140" i="1"/>
  <c r="AR140" i="1"/>
  <c r="AQ140" i="1"/>
  <c r="AO140" i="1"/>
  <c r="AM140" i="1"/>
  <c r="AJ140" i="1"/>
  <c r="AI140" i="1"/>
  <c r="BE140" i="1" s="1"/>
  <c r="AN140" i="1"/>
  <c r="AN110" i="1"/>
  <c r="AQ110" i="1"/>
  <c r="AP110" i="1"/>
  <c r="AO110" i="1"/>
  <c r="AR110" i="1"/>
  <c r="AM110" i="1"/>
  <c r="AL110" i="1"/>
  <c r="AK110" i="1"/>
  <c r="AJ110" i="1"/>
  <c r="AT110" i="1"/>
  <c r="AI110" i="1"/>
  <c r="BE110" i="1" s="1"/>
  <c r="AS110" i="1"/>
  <c r="AM54" i="1"/>
  <c r="AT54" i="1"/>
  <c r="AL54" i="1"/>
  <c r="AS54" i="1"/>
  <c r="AK54" i="1"/>
  <c r="AR54" i="1"/>
  <c r="AJ54" i="1"/>
  <c r="AQ54" i="1"/>
  <c r="AI54" i="1"/>
  <c r="BE54" i="1" s="1"/>
  <c r="AO54" i="1"/>
  <c r="AP54" i="1"/>
  <c r="AN54" i="1"/>
  <c r="AR95" i="1"/>
  <c r="AJ95" i="1"/>
  <c r="AM95" i="1"/>
  <c r="AL95" i="1"/>
  <c r="AT95" i="1"/>
  <c r="AK95" i="1"/>
  <c r="AS95" i="1"/>
  <c r="AI95" i="1"/>
  <c r="BE95" i="1" s="1"/>
  <c r="AQ95" i="1"/>
  <c r="AO95" i="1"/>
  <c r="AP95" i="1"/>
  <c r="AN95" i="1"/>
  <c r="AP14" i="1"/>
  <c r="AO14" i="1"/>
  <c r="AN14" i="1"/>
  <c r="AM14" i="1"/>
  <c r="AR14" i="1"/>
  <c r="AJ14" i="1"/>
  <c r="AL14" i="1"/>
  <c r="AT14" i="1"/>
  <c r="AK14" i="1"/>
  <c r="AI14" i="1"/>
  <c r="BE14" i="1" s="1"/>
  <c r="AS14" i="1"/>
  <c r="AQ14" i="1"/>
  <c r="AQ31" i="1"/>
  <c r="AI31" i="1"/>
  <c r="BE31" i="1" s="1"/>
  <c r="AP31" i="1"/>
  <c r="AO31" i="1"/>
  <c r="AN31" i="1"/>
  <c r="AS31" i="1"/>
  <c r="AR31" i="1"/>
  <c r="AM31" i="1"/>
  <c r="AL31" i="1"/>
  <c r="AT31" i="1"/>
  <c r="AK31" i="1"/>
  <c r="AJ31" i="1"/>
  <c r="AS126" i="1"/>
  <c r="AK126" i="1"/>
  <c r="AR126" i="1"/>
  <c r="AI126" i="1"/>
  <c r="BE126" i="1" s="1"/>
  <c r="AQ126" i="1"/>
  <c r="AP126" i="1"/>
  <c r="AT126" i="1"/>
  <c r="AO126" i="1"/>
  <c r="AN126" i="1"/>
  <c r="AM126" i="1"/>
  <c r="AL126" i="1"/>
  <c r="AJ126" i="1"/>
  <c r="AN86" i="1"/>
  <c r="AT86" i="1"/>
  <c r="AK86" i="1"/>
  <c r="AS86" i="1"/>
  <c r="AJ86" i="1"/>
  <c r="AR86" i="1"/>
  <c r="AI86" i="1"/>
  <c r="BE86" i="1" s="1"/>
  <c r="AQ86" i="1"/>
  <c r="AP86" i="1"/>
  <c r="AO86" i="1"/>
  <c r="AM86" i="1"/>
  <c r="AL86" i="1"/>
  <c r="AM36" i="1"/>
  <c r="AT36" i="1"/>
  <c r="AL36" i="1"/>
  <c r="AS36" i="1"/>
  <c r="AK36" i="1"/>
  <c r="AR36" i="1"/>
  <c r="AJ36" i="1"/>
  <c r="AQ36" i="1"/>
  <c r="AI36" i="1"/>
  <c r="BE36" i="1" s="1"/>
  <c r="AP36" i="1"/>
  <c r="AO36" i="1"/>
  <c r="AN36" i="1"/>
  <c r="AT152" i="1"/>
  <c r="AL152" i="1"/>
  <c r="AS152" i="1"/>
  <c r="AK152" i="1"/>
  <c r="AP152" i="1"/>
  <c r="AO152" i="1"/>
  <c r="AN152" i="1"/>
  <c r="AM152" i="1"/>
  <c r="AJ152" i="1"/>
  <c r="AI152" i="1"/>
  <c r="BE152" i="1" s="1"/>
  <c r="AR152" i="1"/>
  <c r="AQ152" i="1"/>
  <c r="AR99" i="1"/>
  <c r="AJ99" i="1"/>
  <c r="AT99" i="1"/>
  <c r="AK99" i="1"/>
  <c r="AS99" i="1"/>
  <c r="AI99" i="1"/>
  <c r="BE99" i="1" s="1"/>
  <c r="AP99" i="1"/>
  <c r="AO99" i="1"/>
  <c r="AN99" i="1"/>
  <c r="AM99" i="1"/>
  <c r="AL99" i="1"/>
  <c r="AQ99" i="1"/>
  <c r="AM74" i="1"/>
  <c r="AT74" i="1"/>
  <c r="AL74" i="1"/>
  <c r="AS74" i="1"/>
  <c r="AK74" i="1"/>
  <c r="AQ74" i="1"/>
  <c r="AP74" i="1"/>
  <c r="AO74" i="1"/>
  <c r="AN74" i="1"/>
  <c r="AJ74" i="1"/>
  <c r="AR74" i="1"/>
  <c r="AI74" i="1"/>
  <c r="BE74" i="1" s="1"/>
  <c r="AM50" i="1"/>
  <c r="AT50" i="1"/>
  <c r="AL50" i="1"/>
  <c r="AS50" i="1"/>
  <c r="AK50" i="1"/>
  <c r="AR50" i="1"/>
  <c r="AJ50" i="1"/>
  <c r="AQ50" i="1"/>
  <c r="AI50" i="1"/>
  <c r="BE50" i="1" s="1"/>
  <c r="AO50" i="1"/>
  <c r="AP50" i="1"/>
  <c r="AN50" i="1"/>
  <c r="AN84" i="1"/>
  <c r="AQ84" i="1"/>
  <c r="AP84" i="1"/>
  <c r="AO84" i="1"/>
  <c r="AM84" i="1"/>
  <c r="AI84" i="1"/>
  <c r="BE84" i="1" s="1"/>
  <c r="AT84" i="1"/>
  <c r="AS84" i="1"/>
  <c r="AR84" i="1"/>
  <c r="AK84" i="1"/>
  <c r="AL84" i="1"/>
  <c r="AJ84" i="1"/>
  <c r="BQ57" i="1" l="1"/>
  <c r="BL84" i="1"/>
  <c r="BF36" i="1"/>
  <c r="BH14" i="1"/>
  <c r="BH18" i="1"/>
  <c r="BJ78" i="1"/>
  <c r="BM91" i="1"/>
  <c r="BH28" i="1"/>
  <c r="BG90" i="1"/>
  <c r="BN133" i="1"/>
  <c r="BM143" i="1"/>
  <c r="BJ132" i="1"/>
  <c r="BO79" i="1"/>
  <c r="BM79" i="1"/>
  <c r="BG15" i="1"/>
  <c r="BH113" i="1"/>
  <c r="BM84" i="1"/>
  <c r="BF14" i="1"/>
  <c r="BN54" i="1"/>
  <c r="BK18" i="1"/>
  <c r="BN38" i="1"/>
  <c r="BL66" i="1"/>
  <c r="BF93" i="1"/>
  <c r="BO68" i="1"/>
  <c r="BG116" i="1"/>
  <c r="BL92" i="1"/>
  <c r="BK22" i="1"/>
  <c r="BF65" i="1"/>
  <c r="BH132" i="1"/>
  <c r="BO19" i="1"/>
  <c r="AU100" i="1"/>
  <c r="BO51" i="1"/>
  <c r="BM125" i="1"/>
  <c r="BI118" i="1"/>
  <c r="BN84" i="1"/>
  <c r="BJ84" i="1"/>
  <c r="BG50" i="1"/>
  <c r="BJ74" i="1"/>
  <c r="BI74" i="1"/>
  <c r="BO99" i="1"/>
  <c r="BF152" i="1"/>
  <c r="BG36" i="1"/>
  <c r="BL86" i="1"/>
  <c r="BJ86" i="1"/>
  <c r="BM126" i="1"/>
  <c r="BH31" i="1"/>
  <c r="BM31" i="1"/>
  <c r="BN14" i="1"/>
  <c r="BM95" i="1"/>
  <c r="BN95" i="1"/>
  <c r="BG54" i="1"/>
  <c r="BF110" i="1"/>
  <c r="BJ110" i="1"/>
  <c r="BL140" i="1"/>
  <c r="BL18" i="1"/>
  <c r="BF119" i="1"/>
  <c r="BI46" i="1"/>
  <c r="BG38" i="1"/>
  <c r="BK78" i="1"/>
  <c r="BI78" i="1"/>
  <c r="BH134" i="1"/>
  <c r="BN66" i="1"/>
  <c r="BI66" i="1"/>
  <c r="BK26" i="1"/>
  <c r="BG93" i="1"/>
  <c r="BN93" i="1"/>
  <c r="BL68" i="1"/>
  <c r="BI68" i="1"/>
  <c r="BO91" i="1"/>
  <c r="BN91" i="1"/>
  <c r="BM103" i="1"/>
  <c r="BI34" i="1"/>
  <c r="BG89" i="1"/>
  <c r="BM116" i="1"/>
  <c r="BO116" i="1"/>
  <c r="BF145" i="1"/>
  <c r="BL28" i="1"/>
  <c r="BI28" i="1"/>
  <c r="BG42" i="1"/>
  <c r="BI44" i="1"/>
  <c r="BO141" i="1"/>
  <c r="BO90" i="1"/>
  <c r="BJ90" i="1"/>
  <c r="BH92" i="1"/>
  <c r="BF133" i="1"/>
  <c r="BK37" i="1"/>
  <c r="BO22" i="1"/>
  <c r="BO143" i="1"/>
  <c r="BI132" i="1"/>
  <c r="BJ107" i="1"/>
  <c r="BN132" i="1"/>
  <c r="BF72" i="1"/>
  <c r="BK19" i="1"/>
  <c r="BG72" i="1"/>
  <c r="BM148" i="1"/>
  <c r="BG19" i="1"/>
  <c r="BG148" i="1"/>
  <c r="AU5" i="1"/>
  <c r="BO100" i="1"/>
  <c r="BI149" i="1"/>
  <c r="BI115" i="1"/>
  <c r="AU81" i="1"/>
  <c r="BE51" i="1"/>
  <c r="BL81" i="1"/>
  <c r="CC81" i="1"/>
  <c r="BG101" i="1"/>
  <c r="BO25" i="1"/>
  <c r="BO113" i="1"/>
  <c r="BN74" i="1"/>
  <c r="BI86" i="1"/>
  <c r="BL95" i="1"/>
  <c r="BO93" i="1"/>
  <c r="BK91" i="1"/>
  <c r="BH34" i="1"/>
  <c r="BO145" i="1"/>
  <c r="BM141" i="1"/>
  <c r="BM37" i="1"/>
  <c r="BI37" i="1"/>
  <c r="BJ111" i="1"/>
  <c r="BH72" i="1"/>
  <c r="BM149" i="1"/>
  <c r="BN81" i="1"/>
  <c r="BF74" i="1"/>
  <c r="BH152" i="1"/>
  <c r="BF95" i="1"/>
  <c r="BN140" i="1"/>
  <c r="BI93" i="1"/>
  <c r="BJ68" i="1"/>
  <c r="BF91" i="1"/>
  <c r="BO89" i="1"/>
  <c r="BN141" i="1"/>
  <c r="BH37" i="1"/>
  <c r="BF143" i="1"/>
  <c r="BO107" i="1"/>
  <c r="BI107" i="1"/>
  <c r="BK148" i="1"/>
  <c r="BJ149" i="1"/>
  <c r="AU65" i="1"/>
  <c r="AV65" i="1" s="1"/>
  <c r="AU101" i="1"/>
  <c r="BO84" i="1"/>
  <c r="BJ50" i="1"/>
  <c r="BO50" i="1"/>
  <c r="BK74" i="1"/>
  <c r="BM99" i="1"/>
  <c r="BG99" i="1"/>
  <c r="BI152" i="1"/>
  <c r="BJ36" i="1"/>
  <c r="BO36" i="1"/>
  <c r="BM86" i="1"/>
  <c r="BF126" i="1"/>
  <c r="BI31" i="1"/>
  <c r="BM14" i="1"/>
  <c r="BI14" i="1"/>
  <c r="BJ54" i="1"/>
  <c r="BO54" i="1"/>
  <c r="BG110" i="1"/>
  <c r="BJ140" i="1"/>
  <c r="BG140" i="1"/>
  <c r="BM18" i="1"/>
  <c r="BL119" i="1"/>
  <c r="BO119" i="1"/>
  <c r="BM46" i="1"/>
  <c r="BJ38" i="1"/>
  <c r="BO38" i="1"/>
  <c r="BL78" i="1"/>
  <c r="BM134" i="1"/>
  <c r="BI134" i="1"/>
  <c r="BL26" i="1"/>
  <c r="BJ93" i="1"/>
  <c r="BF77" i="1"/>
  <c r="BK77" i="1"/>
  <c r="BM68" i="1"/>
  <c r="BG91" i="1"/>
  <c r="BM34" i="1"/>
  <c r="BI89" i="1"/>
  <c r="BN116" i="1"/>
  <c r="BM145" i="1"/>
  <c r="BH145" i="1"/>
  <c r="BM28" i="1"/>
  <c r="BL42" i="1"/>
  <c r="BO42" i="1"/>
  <c r="CF42" i="1"/>
  <c r="BM44" i="1"/>
  <c r="BF141" i="1"/>
  <c r="BH141" i="1"/>
  <c r="BF92" i="1"/>
  <c r="BM92" i="1"/>
  <c r="BL133" i="1"/>
  <c r="BG37" i="1"/>
  <c r="BL22" i="1"/>
  <c r="CC22" i="1"/>
  <c r="BG143" i="1"/>
  <c r="BK143" i="1"/>
  <c r="BF111" i="1"/>
  <c r="BF19" i="1"/>
  <c r="CH98" i="1"/>
  <c r="BI65" i="1"/>
  <c r="BK79" i="1"/>
  <c r="BN72" i="1"/>
  <c r="BJ37" i="1"/>
  <c r="BO115" i="1"/>
  <c r="CF115" i="1"/>
  <c r="BJ148" i="1"/>
  <c r="BJ5" i="1"/>
  <c r="BH5" i="1"/>
  <c r="BI100" i="1"/>
  <c r="BF115" i="1"/>
  <c r="BG51" i="1"/>
  <c r="BN51" i="1"/>
  <c r="BJ81" i="1"/>
  <c r="BN125" i="1"/>
  <c r="BK25" i="1"/>
  <c r="BG125" i="1"/>
  <c r="BI113" i="1"/>
  <c r="BN152" i="1"/>
  <c r="BG31" i="1"/>
  <c r="BL46" i="1"/>
  <c r="CC46" i="1"/>
  <c r="BK66" i="1"/>
  <c r="BK68" i="1"/>
  <c r="BF42" i="1"/>
  <c r="BM22" i="1"/>
  <c r="BI125" i="1"/>
  <c r="BF107" i="1"/>
  <c r="BO148" i="1"/>
  <c r="BI5" i="1"/>
  <c r="BL51" i="1"/>
  <c r="BK113" i="1"/>
  <c r="BN50" i="1"/>
  <c r="BN119" i="1"/>
  <c r="BJ26" i="1"/>
  <c r="BL103" i="1"/>
  <c r="BL116" i="1"/>
  <c r="BN42" i="1"/>
  <c r="BH90" i="1"/>
  <c r="BO133" i="1"/>
  <c r="BN143" i="1"/>
  <c r="CH82" i="1"/>
  <c r="BJ79" i="1"/>
  <c r="BG100" i="1"/>
  <c r="BI15" i="1"/>
  <c r="BH51" i="1"/>
  <c r="BH19" i="1"/>
  <c r="BL50" i="1"/>
  <c r="CC50" i="1"/>
  <c r="BH50" i="1"/>
  <c r="BL74" i="1"/>
  <c r="BH99" i="1"/>
  <c r="BJ152" i="1"/>
  <c r="BK36" i="1"/>
  <c r="BH36" i="1"/>
  <c r="BH126" i="1"/>
  <c r="BN126" i="1"/>
  <c r="BN31" i="1"/>
  <c r="BO14" i="1"/>
  <c r="BJ14" i="1"/>
  <c r="BO95" i="1"/>
  <c r="BL54" i="1"/>
  <c r="BH54" i="1"/>
  <c r="BH110" i="1"/>
  <c r="BO140" i="1"/>
  <c r="BM119" i="1"/>
  <c r="BG119" i="1"/>
  <c r="BF46" i="1"/>
  <c r="BK38" i="1"/>
  <c r="CB38" i="1"/>
  <c r="BH38" i="1"/>
  <c r="BM78" i="1"/>
  <c r="BN134" i="1"/>
  <c r="BJ134" i="1"/>
  <c r="BG26" i="1"/>
  <c r="BN26" i="1"/>
  <c r="BK93" i="1"/>
  <c r="BH77" i="1"/>
  <c r="BL77" i="1"/>
  <c r="BN68" i="1"/>
  <c r="BJ103" i="1"/>
  <c r="BO103" i="1"/>
  <c r="BF34" i="1"/>
  <c r="BK89" i="1"/>
  <c r="CB89" i="1"/>
  <c r="BH89" i="1"/>
  <c r="BH116" i="1"/>
  <c r="BN145" i="1"/>
  <c r="BF28" i="1"/>
  <c r="BJ42" i="1"/>
  <c r="BH42" i="1"/>
  <c r="BF44" i="1"/>
  <c r="BW44" i="1"/>
  <c r="BG141" i="1"/>
  <c r="BI90" i="1"/>
  <c r="BO92" i="1"/>
  <c r="BJ92" i="1"/>
  <c r="BH133" i="1"/>
  <c r="BG133" i="1"/>
  <c r="BL143" i="1"/>
  <c r="BH111" i="1"/>
  <c r="BG111" i="1"/>
  <c r="BM19" i="1"/>
  <c r="BN118" i="1"/>
  <c r="CH70" i="1"/>
  <c r="BJ65" i="1"/>
  <c r="BP148" i="1"/>
  <c r="BG65" i="1"/>
  <c r="BG79" i="1"/>
  <c r="BM72" i="1"/>
  <c r="AU15" i="1"/>
  <c r="BN115" i="1"/>
  <c r="BL148" i="1"/>
  <c r="BK5" i="1"/>
  <c r="BH149" i="1"/>
  <c r="BN15" i="1"/>
  <c r="BO81" i="1"/>
  <c r="BF125" i="1"/>
  <c r="BH25" i="1"/>
  <c r="BG25" i="1"/>
  <c r="BF25" i="1"/>
  <c r="BM101" i="1"/>
  <c r="BL101" i="1"/>
  <c r="BH74" i="1"/>
  <c r="BF54" i="1"/>
  <c r="BJ18" i="1"/>
  <c r="BH78" i="1"/>
  <c r="BK34" i="1"/>
  <c r="BL44" i="1"/>
  <c r="BK90" i="1"/>
  <c r="BI92" i="1"/>
  <c r="BM133" i="1"/>
  <c r="BJ133" i="1"/>
  <c r="BI22" i="1"/>
  <c r="BG22" i="1"/>
  <c r="BJ143" i="1"/>
  <c r="BI111" i="1"/>
  <c r="BN111" i="1"/>
  <c r="BH107" i="1"/>
  <c r="BL65" i="1"/>
  <c r="AU148" i="1"/>
  <c r="CH148" i="1" s="1"/>
  <c r="BO118" i="1"/>
  <c r="BJ19" i="1"/>
  <c r="BG118" i="1"/>
  <c r="BL132" i="1"/>
  <c r="BJ72" i="1"/>
  <c r="BO72" i="1"/>
  <c r="CF72" i="1"/>
  <c r="BM100" i="1"/>
  <c r="BJ15" i="1"/>
  <c r="BH15" i="1"/>
  <c r="BM115" i="1"/>
  <c r="BI148" i="1"/>
  <c r="BN149" i="1"/>
  <c r="BJ100" i="1"/>
  <c r="BM51" i="1"/>
  <c r="BN53" i="1"/>
  <c r="BN148" i="1"/>
  <c r="BL25" i="1"/>
  <c r="BK51" i="1"/>
  <c r="BI25" i="1"/>
  <c r="BN100" i="1"/>
  <c r="CD65" i="1"/>
  <c r="BH84" i="1"/>
  <c r="BO152" i="1"/>
  <c r="BL31" i="1"/>
  <c r="BL110" i="1"/>
  <c r="BF38" i="1"/>
  <c r="BG66" i="1"/>
  <c r="BN77" i="1"/>
  <c r="BI103" i="1"/>
  <c r="BJ28" i="1"/>
  <c r="BL37" i="1"/>
  <c r="AU149" i="1"/>
  <c r="AV149" i="1" s="1"/>
  <c r="BF81" i="1"/>
  <c r="BI101" i="1"/>
  <c r="BG84" i="1"/>
  <c r="BN36" i="1"/>
  <c r="BL126" i="1"/>
  <c r="BK95" i="1"/>
  <c r="BM110" i="1"/>
  <c r="BO18" i="1"/>
  <c r="BK46" i="1"/>
  <c r="BF78" i="1"/>
  <c r="BO66" i="1"/>
  <c r="BO77" i="1"/>
  <c r="BL91" i="1"/>
  <c r="BL34" i="1"/>
  <c r="BK44" i="1"/>
  <c r="BN90" i="1"/>
  <c r="BN37" i="1"/>
  <c r="BM111" i="1"/>
  <c r="BL72" i="1"/>
  <c r="BE5" i="1"/>
  <c r="BF148" i="1"/>
  <c r="BM113" i="1"/>
  <c r="BK50" i="1"/>
  <c r="BM74" i="1"/>
  <c r="BF99" i="1"/>
  <c r="BI126" i="1"/>
  <c r="BO31" i="1"/>
  <c r="BK14" i="1"/>
  <c r="BF140" i="1"/>
  <c r="BF18" i="1"/>
  <c r="BL38" i="1"/>
  <c r="BN78" i="1"/>
  <c r="BG134" i="1"/>
  <c r="BH26" i="1"/>
  <c r="BL93" i="1"/>
  <c r="BH91" i="1"/>
  <c r="BF103" i="1"/>
  <c r="BJ89" i="1"/>
  <c r="BF89" i="1"/>
  <c r="BG145" i="1"/>
  <c r="BK145" i="1"/>
  <c r="BN28" i="1"/>
  <c r="BK42" i="1"/>
  <c r="BN44" i="1"/>
  <c r="BI141" i="1"/>
  <c r="BI84" i="1"/>
  <c r="BG74" i="1"/>
  <c r="BF86" i="1"/>
  <c r="BO126" i="1"/>
  <c r="CF126" i="1"/>
  <c r="BG14" i="1"/>
  <c r="BL14" i="1"/>
  <c r="BI54" i="1"/>
  <c r="BN110" i="1"/>
  <c r="BI140" i="1"/>
  <c r="BN18" i="1"/>
  <c r="BI119" i="1"/>
  <c r="BK119" i="1"/>
  <c r="BG46" i="1"/>
  <c r="BI38" i="1"/>
  <c r="BG78" i="1"/>
  <c r="BK134" i="1"/>
  <c r="BO134" i="1"/>
  <c r="BH66" i="1"/>
  <c r="BM26" i="1"/>
  <c r="BM93" i="1"/>
  <c r="BI77" i="1"/>
  <c r="BM77" i="1"/>
  <c r="BI91" i="1"/>
  <c r="BG103" i="1"/>
  <c r="BN103" i="1"/>
  <c r="BG34" i="1"/>
  <c r="BL89" i="1"/>
  <c r="BN89" i="1"/>
  <c r="BJ116" i="1"/>
  <c r="BI145" i="1"/>
  <c r="BL145" i="1"/>
  <c r="BG28" i="1"/>
  <c r="BI42" i="1"/>
  <c r="BG44" i="1"/>
  <c r="BL141" i="1"/>
  <c r="BL90" i="1"/>
  <c r="BG92" i="1"/>
  <c r="BN92" i="1"/>
  <c r="BI133" i="1"/>
  <c r="BE37" i="1"/>
  <c r="BH22" i="1"/>
  <c r="BF22" i="1"/>
  <c r="BL111" i="1"/>
  <c r="BK111" i="1"/>
  <c r="BH125" i="1"/>
  <c r="BN65" i="1"/>
  <c r="BK65" i="1"/>
  <c r="BM118" i="1"/>
  <c r="BE79" i="1"/>
  <c r="BW79" i="1"/>
  <c r="BL118" i="1"/>
  <c r="BI72" i="1"/>
  <c r="BF100" i="1"/>
  <c r="BL149" i="1"/>
  <c r="BL15" i="1"/>
  <c r="BO15" i="1"/>
  <c r="BK115" i="1"/>
  <c r="BK100" i="1"/>
  <c r="BJ125" i="1"/>
  <c r="AU51" i="1"/>
  <c r="BJ113" i="1"/>
  <c r="BL113" i="1"/>
  <c r="BK53" i="1"/>
  <c r="BH65" i="1"/>
  <c r="BY65" i="1"/>
  <c r="BH130" i="1"/>
  <c r="BF50" i="1"/>
  <c r="BL99" i="1"/>
  <c r="BG86" i="1"/>
  <c r="BI95" i="1"/>
  <c r="BM140" i="1"/>
  <c r="BH46" i="1"/>
  <c r="BI26" i="1"/>
  <c r="BG68" i="1"/>
  <c r="BH44" i="1"/>
  <c r="BF132" i="1"/>
  <c r="BH118" i="1"/>
  <c r="BL100" i="1"/>
  <c r="CC100" i="1"/>
  <c r="BJ25" i="1"/>
  <c r="BK86" i="1"/>
  <c r="AU113" i="1"/>
  <c r="BI99" i="1"/>
  <c r="BK152" i="1"/>
  <c r="BL36" i="1"/>
  <c r="BN86" i="1"/>
  <c r="BG126" i="1"/>
  <c r="BG95" i="1"/>
  <c r="BK54" i="1"/>
  <c r="BI110" i="1"/>
  <c r="BH140" i="1"/>
  <c r="BH119" i="1"/>
  <c r="BN46" i="1"/>
  <c r="BF134" i="1"/>
  <c r="BF66" i="1"/>
  <c r="BO26" i="1"/>
  <c r="BG77" i="1"/>
  <c r="BK103" i="1"/>
  <c r="BN34" i="1"/>
  <c r="BI116" i="1"/>
  <c r="BK141" i="1"/>
  <c r="BI50" i="1"/>
  <c r="BJ99" i="1"/>
  <c r="BN99" i="1"/>
  <c r="BL152" i="1"/>
  <c r="BI36" i="1"/>
  <c r="BJ126" i="1"/>
  <c r="BJ31" i="1"/>
  <c r="BF84" i="1"/>
  <c r="BK84" i="1"/>
  <c r="BM50" i="1"/>
  <c r="BO74" i="1"/>
  <c r="BK99" i="1"/>
  <c r="BM152" i="1"/>
  <c r="BG152" i="1"/>
  <c r="BM36" i="1"/>
  <c r="BH86" i="1"/>
  <c r="BY86" i="1"/>
  <c r="BO86" i="1"/>
  <c r="BK126" i="1"/>
  <c r="BF31" i="1"/>
  <c r="BK31" i="1"/>
  <c r="BJ95" i="1"/>
  <c r="BH95" i="1"/>
  <c r="BM54" i="1"/>
  <c r="BO110" i="1"/>
  <c r="BK110" i="1"/>
  <c r="BK140" i="1"/>
  <c r="BG18" i="1"/>
  <c r="BI18" i="1"/>
  <c r="BJ119" i="1"/>
  <c r="BJ46" i="1"/>
  <c r="BO46" i="1"/>
  <c r="CF46" i="1"/>
  <c r="BM38" i="1"/>
  <c r="BO78" i="1"/>
  <c r="BL134" i="1"/>
  <c r="BM66" i="1"/>
  <c r="BJ66" i="1"/>
  <c r="BF26" i="1"/>
  <c r="BH93" i="1"/>
  <c r="BJ77" i="1"/>
  <c r="BH68" i="1"/>
  <c r="BF68" i="1"/>
  <c r="BJ91" i="1"/>
  <c r="BH103" i="1"/>
  <c r="BY103" i="1"/>
  <c r="BJ34" i="1"/>
  <c r="BO34" i="1"/>
  <c r="BM89" i="1"/>
  <c r="BK116" i="1"/>
  <c r="BF116" i="1"/>
  <c r="BJ145" i="1"/>
  <c r="BK28" i="1"/>
  <c r="BO28" i="1"/>
  <c r="CF28" i="1"/>
  <c r="BM42" i="1"/>
  <c r="BJ44" i="1"/>
  <c r="BO44" i="1"/>
  <c r="BJ141" i="1"/>
  <c r="BF90" i="1"/>
  <c r="BM90" i="1"/>
  <c r="BK92" i="1"/>
  <c r="BK133" i="1"/>
  <c r="BO37" i="1"/>
  <c r="BJ22" i="1"/>
  <c r="BN22" i="1"/>
  <c r="BH143" i="1"/>
  <c r="BO111" i="1"/>
  <c r="BE118" i="1"/>
  <c r="BO65" i="1"/>
  <c r="BN79" i="1"/>
  <c r="BP100" i="1"/>
  <c r="CH20" i="1"/>
  <c r="BH79" i="1"/>
  <c r="BK72" i="1"/>
  <c r="BM5" i="1"/>
  <c r="BO149" i="1"/>
  <c r="CF149" i="1"/>
  <c r="BK149" i="1"/>
  <c r="BK15" i="1"/>
  <c r="BG115" i="1"/>
  <c r="BO5" i="1"/>
  <c r="BI51" i="1"/>
  <c r="BM81" i="1"/>
  <c r="BI81" i="1"/>
  <c r="BL125" i="1"/>
  <c r="BJ101" i="1"/>
  <c r="BG113" i="1"/>
  <c r="BG53" i="1"/>
  <c r="BI19" i="1"/>
  <c r="BK118" i="1"/>
  <c r="BF113" i="1"/>
  <c r="BO101" i="1"/>
  <c r="BO125" i="1"/>
  <c r="BN101" i="1"/>
  <c r="BJ118" i="1"/>
  <c r="BF101" i="1"/>
  <c r="BL19" i="1"/>
  <c r="BP113" i="1"/>
  <c r="BP51" i="1"/>
  <c r="BP65" i="1"/>
  <c r="BP15" i="1"/>
  <c r="BP5" i="1"/>
  <c r="BP149" i="1"/>
  <c r="AU111" i="1"/>
  <c r="BP111" i="1"/>
  <c r="AV23" i="1"/>
  <c r="BQ23" i="1"/>
  <c r="AW124" i="1"/>
  <c r="BR124" i="1"/>
  <c r="AV73" i="1"/>
  <c r="BQ73" i="1"/>
  <c r="BG154" i="1"/>
  <c r="BY28" i="1" s="1"/>
  <c r="BG3" i="1"/>
  <c r="AU95" i="1"/>
  <c r="BP95" i="1"/>
  <c r="AU26" i="1"/>
  <c r="BP26" i="1"/>
  <c r="BE3" i="1"/>
  <c r="BE154" i="1"/>
  <c r="BW133" i="1" s="1"/>
  <c r="AU37" i="1"/>
  <c r="BP37" i="1"/>
  <c r="AW6" i="1"/>
  <c r="BR6" i="1"/>
  <c r="AU125" i="1"/>
  <c r="BP125" i="1"/>
  <c r="AV104" i="1"/>
  <c r="BQ104" i="1"/>
  <c r="AU126" i="1"/>
  <c r="BP126" i="1"/>
  <c r="AU134" i="1"/>
  <c r="BP134" i="1"/>
  <c r="AU93" i="1"/>
  <c r="BP93" i="1"/>
  <c r="BM154" i="1"/>
  <c r="CE42" i="1" s="1"/>
  <c r="BM3" i="1"/>
  <c r="AU116" i="1"/>
  <c r="BP116" i="1"/>
  <c r="AU92" i="1"/>
  <c r="BP92" i="1"/>
  <c r="AV21" i="1"/>
  <c r="BQ21" i="1"/>
  <c r="AV52" i="1"/>
  <c r="BQ52" i="1"/>
  <c r="AV24" i="1"/>
  <c r="BQ24" i="1"/>
  <c r="AV17" i="1"/>
  <c r="BQ17" i="1"/>
  <c r="AV115" i="1"/>
  <c r="BQ115" i="1"/>
  <c r="AV10" i="1"/>
  <c r="BQ10" i="1"/>
  <c r="AV61" i="1"/>
  <c r="BQ61" i="1"/>
  <c r="AW57" i="1"/>
  <c r="BR57" i="1"/>
  <c r="AV60" i="1"/>
  <c r="BQ60" i="1"/>
  <c r="AV112" i="1"/>
  <c r="BQ112" i="1"/>
  <c r="AV69" i="1"/>
  <c r="BQ69" i="1"/>
  <c r="AU77" i="1"/>
  <c r="BP77" i="1"/>
  <c r="AU143" i="1"/>
  <c r="BP143" i="1"/>
  <c r="AV151" i="1"/>
  <c r="BQ151" i="1"/>
  <c r="AV56" i="1"/>
  <c r="BQ56" i="1"/>
  <c r="BI3" i="1"/>
  <c r="BI154" i="1"/>
  <c r="CA78" i="1" s="1"/>
  <c r="AU140" i="1"/>
  <c r="BP140" i="1"/>
  <c r="AU14" i="1"/>
  <c r="BP14" i="1"/>
  <c r="AV11" i="1"/>
  <c r="BQ11" i="1"/>
  <c r="AV87" i="1"/>
  <c r="BQ87" i="1"/>
  <c r="AV98" i="1"/>
  <c r="BQ98" i="1"/>
  <c r="AU74" i="1"/>
  <c r="BP74" i="1"/>
  <c r="AU86" i="1"/>
  <c r="BP86" i="1"/>
  <c r="AU31" i="1"/>
  <c r="BP31" i="1"/>
  <c r="AU110" i="1"/>
  <c r="BP110" i="1"/>
  <c r="AU46" i="1"/>
  <c r="BP46" i="1"/>
  <c r="AU78" i="1"/>
  <c r="BP78" i="1"/>
  <c r="BF3" i="1"/>
  <c r="BF154" i="1"/>
  <c r="BX54" i="1" s="1"/>
  <c r="AU34" i="1"/>
  <c r="BP34" i="1"/>
  <c r="AU28" i="1"/>
  <c r="BP28" i="1"/>
  <c r="AU44" i="1"/>
  <c r="BP44" i="1"/>
  <c r="AV29" i="1"/>
  <c r="BQ29" i="1"/>
  <c r="AV121" i="1"/>
  <c r="BQ121" i="1"/>
  <c r="AV120" i="1"/>
  <c r="BQ120" i="1"/>
  <c r="AV63" i="1"/>
  <c r="BQ63" i="1"/>
  <c r="AV117" i="1"/>
  <c r="BQ117" i="1"/>
  <c r="AV53" i="1"/>
  <c r="BQ53" i="1"/>
  <c r="AV97" i="1"/>
  <c r="BQ97" i="1"/>
  <c r="AV150" i="1"/>
  <c r="BQ150" i="1"/>
  <c r="AV128" i="1"/>
  <c r="BQ128" i="1"/>
  <c r="AV83" i="1"/>
  <c r="BQ83" i="1"/>
  <c r="AU133" i="1"/>
  <c r="BP133" i="1"/>
  <c r="AV108" i="1"/>
  <c r="BQ108" i="1"/>
  <c r="AU90" i="1"/>
  <c r="BP90" i="1"/>
  <c r="AV62" i="1"/>
  <c r="BQ62" i="1"/>
  <c r="AW59" i="1"/>
  <c r="BR59" i="1"/>
  <c r="AU132" i="1"/>
  <c r="BP132" i="1"/>
  <c r="AV100" i="1"/>
  <c r="BQ100" i="1"/>
  <c r="AV20" i="1"/>
  <c r="BQ20" i="1"/>
  <c r="AV109" i="1"/>
  <c r="BQ109" i="1"/>
  <c r="AU19" i="1"/>
  <c r="BP19" i="1"/>
  <c r="AV123" i="1"/>
  <c r="BQ123" i="1"/>
  <c r="BK154" i="1"/>
  <c r="CC66" i="1" s="1"/>
  <c r="BK3" i="1"/>
  <c r="BO3" i="1"/>
  <c r="BO154" i="1"/>
  <c r="CG25" i="1" s="1"/>
  <c r="AU91" i="1"/>
  <c r="BP91" i="1"/>
  <c r="AU145" i="1"/>
  <c r="BP145" i="1"/>
  <c r="AU141" i="1"/>
  <c r="BP141" i="1"/>
  <c r="AU22" i="1"/>
  <c r="BP22" i="1"/>
  <c r="AV96" i="1"/>
  <c r="BQ96" i="1"/>
  <c r="AV94" i="1"/>
  <c r="BQ94" i="1"/>
  <c r="AV40" i="1"/>
  <c r="BQ40" i="1"/>
  <c r="AV47" i="1"/>
  <c r="BQ47" i="1"/>
  <c r="AV48" i="1"/>
  <c r="BQ48" i="1"/>
  <c r="AU107" i="1"/>
  <c r="BP107" i="1"/>
  <c r="AW41" i="1"/>
  <c r="BR41" i="1"/>
  <c r="AV127" i="1"/>
  <c r="BQ127" i="1"/>
  <c r="AV136" i="1"/>
  <c r="BQ136" i="1"/>
  <c r="AU118" i="1"/>
  <c r="BP118" i="1"/>
  <c r="AU152" i="1"/>
  <c r="BP152" i="1"/>
  <c r="AU18" i="1"/>
  <c r="BP18" i="1"/>
  <c r="BN3" i="1"/>
  <c r="BN154" i="1"/>
  <c r="CF51" i="1" s="1"/>
  <c r="AV85" i="1"/>
  <c r="BQ85" i="1"/>
  <c r="AV55" i="1"/>
  <c r="BQ55" i="1"/>
  <c r="AU103" i="1"/>
  <c r="BP103" i="1"/>
  <c r="AU89" i="1"/>
  <c r="BP89" i="1"/>
  <c r="AV82" i="1"/>
  <c r="BQ82" i="1"/>
  <c r="AV146" i="1"/>
  <c r="BQ146" i="1"/>
  <c r="AV27" i="1"/>
  <c r="BQ27" i="1"/>
  <c r="AV9" i="1"/>
  <c r="BQ9" i="1"/>
  <c r="AV129" i="1"/>
  <c r="BQ129" i="1"/>
  <c r="AV71" i="1"/>
  <c r="BQ71" i="1"/>
  <c r="AV64" i="1"/>
  <c r="BQ64" i="1"/>
  <c r="AV106" i="1"/>
  <c r="BQ106" i="1"/>
  <c r="AV5" i="1"/>
  <c r="BQ5" i="1"/>
  <c r="AU84" i="1"/>
  <c r="BP84" i="1"/>
  <c r="AU99" i="1"/>
  <c r="BP99" i="1"/>
  <c r="AU66" i="1"/>
  <c r="BP66" i="1"/>
  <c r="AU50" i="1"/>
  <c r="BP50" i="1"/>
  <c r="AU36" i="1"/>
  <c r="BP36" i="1"/>
  <c r="AU54" i="1"/>
  <c r="BP54" i="1"/>
  <c r="AU119" i="1"/>
  <c r="BP119" i="1"/>
  <c r="AU38" i="1"/>
  <c r="BP38" i="1"/>
  <c r="BL3" i="1"/>
  <c r="BL154" i="1"/>
  <c r="CD31" i="1" s="1"/>
  <c r="BH154" i="1"/>
  <c r="BZ101" i="1" s="1"/>
  <c r="BH3" i="1"/>
  <c r="AU42" i="1"/>
  <c r="BP42" i="1"/>
  <c r="AV76" i="1"/>
  <c r="BQ76" i="1"/>
  <c r="AV32" i="1"/>
  <c r="BQ32" i="1"/>
  <c r="AW147" i="1"/>
  <c r="BR147" i="1"/>
  <c r="AV131" i="1"/>
  <c r="BQ131" i="1"/>
  <c r="AV122" i="1"/>
  <c r="BQ122" i="1"/>
  <c r="AV101" i="1"/>
  <c r="BQ101" i="1"/>
  <c r="AV102" i="1"/>
  <c r="BQ102" i="1"/>
  <c r="AW58" i="1"/>
  <c r="BR58" i="1"/>
  <c r="AV105" i="1"/>
  <c r="BQ105" i="1"/>
  <c r="AV13" i="1"/>
  <c r="BQ13" i="1"/>
  <c r="AV67" i="1"/>
  <c r="BQ67" i="1"/>
  <c r="AV39" i="1"/>
  <c r="BQ39" i="1"/>
  <c r="AV49" i="1"/>
  <c r="BQ49" i="1"/>
  <c r="AV139" i="1"/>
  <c r="BQ139" i="1"/>
  <c r="AV88" i="1"/>
  <c r="BQ88" i="1"/>
  <c r="AU68" i="1"/>
  <c r="BP68" i="1"/>
  <c r="BJ154" i="1"/>
  <c r="CB37" i="1" s="1"/>
  <c r="BJ3" i="1"/>
  <c r="AV25" i="1"/>
  <c r="BQ25" i="1"/>
  <c r="AV30" i="1"/>
  <c r="BQ30" i="1"/>
  <c r="AV138" i="1"/>
  <c r="BQ138" i="1"/>
  <c r="AV35" i="1"/>
  <c r="BQ35" i="1"/>
  <c r="AV114" i="1"/>
  <c r="BQ114" i="1"/>
  <c r="AV45" i="1"/>
  <c r="BQ45" i="1"/>
  <c r="AV7" i="1"/>
  <c r="BQ7" i="1"/>
  <c r="AV81" i="1"/>
  <c r="BQ81" i="1"/>
  <c r="AV75" i="1"/>
  <c r="BQ75" i="1"/>
  <c r="AV137" i="1"/>
  <c r="BQ137" i="1"/>
  <c r="AV144" i="1"/>
  <c r="BQ144" i="1"/>
  <c r="AV113" i="1"/>
  <c r="BQ113" i="1"/>
  <c r="AV16" i="1"/>
  <c r="BQ16" i="1"/>
  <c r="AV12" i="1"/>
  <c r="BQ12" i="1"/>
  <c r="AV33" i="1"/>
  <c r="BQ33" i="1"/>
  <c r="AV4" i="1"/>
  <c r="BQ4" i="1"/>
  <c r="AV142" i="1"/>
  <c r="BQ142" i="1"/>
  <c r="AV80" i="1"/>
  <c r="BQ80" i="1"/>
  <c r="AU3" i="1"/>
  <c r="BP3" i="1"/>
  <c r="BP154" i="1"/>
  <c r="CH123" i="1" s="1"/>
  <c r="AV135" i="1"/>
  <c r="BQ135" i="1"/>
  <c r="AV70" i="1"/>
  <c r="BQ70" i="1"/>
  <c r="AV51" i="1"/>
  <c r="BQ51" i="1"/>
  <c r="AV8" i="1"/>
  <c r="BQ8" i="1"/>
  <c r="AV43" i="1"/>
  <c r="BQ43" i="1"/>
  <c r="AU72" i="1"/>
  <c r="CH72" i="1" s="1"/>
  <c r="BP72" i="1"/>
  <c r="AV130" i="1"/>
  <c r="BQ130" i="1"/>
  <c r="AV79" i="1"/>
  <c r="BQ79" i="1"/>
  <c r="CD51" i="1" l="1"/>
  <c r="CA36" i="1"/>
  <c r="CA111" i="1"/>
  <c r="BX93" i="1"/>
  <c r="CH54" i="1"/>
  <c r="CH99" i="1"/>
  <c r="CH103" i="1"/>
  <c r="CH18" i="1"/>
  <c r="BW113" i="1"/>
  <c r="CH9" i="1"/>
  <c r="BY143" i="1"/>
  <c r="CC152" i="1"/>
  <c r="CB115" i="1"/>
  <c r="CH30" i="1"/>
  <c r="BY26" i="1"/>
  <c r="CF132" i="1"/>
  <c r="CA143" i="1"/>
  <c r="CH130" i="1"/>
  <c r="CG132" i="1"/>
  <c r="BW107" i="1"/>
  <c r="CA81" i="1"/>
  <c r="CH53" i="1"/>
  <c r="CA141" i="1"/>
  <c r="BY3" i="1"/>
  <c r="CA116" i="1"/>
  <c r="CA3" i="1"/>
  <c r="CF31" i="1"/>
  <c r="BW5" i="1"/>
  <c r="CC91" i="1"/>
  <c r="CH23" i="1"/>
  <c r="CB34" i="1"/>
  <c r="BW25" i="1"/>
  <c r="CH114" i="1"/>
  <c r="CA92" i="1"/>
  <c r="BY92" i="1"/>
  <c r="BQ65" i="1"/>
  <c r="CA118" i="1"/>
  <c r="BW84" i="1"/>
  <c r="CG50" i="1"/>
  <c r="BY44" i="1"/>
  <c r="CA113" i="1"/>
  <c r="BX78" i="1"/>
  <c r="CC126" i="1"/>
  <c r="CH21" i="1"/>
  <c r="CC31" i="1"/>
  <c r="CH87" i="1"/>
  <c r="CC5" i="1"/>
  <c r="CH35" i="1"/>
  <c r="CF95" i="1"/>
  <c r="CH32" i="1"/>
  <c r="BW91" i="1"/>
  <c r="CH47" i="1"/>
  <c r="BW145" i="1"/>
  <c r="BW36" i="1"/>
  <c r="BX92" i="1"/>
  <c r="CH28" i="1"/>
  <c r="CH46" i="1"/>
  <c r="CH74" i="1"/>
  <c r="CH14" i="1"/>
  <c r="BX53" i="1"/>
  <c r="CB116" i="1"/>
  <c r="BX18" i="1"/>
  <c r="CB31" i="1"/>
  <c r="BW50" i="1"/>
  <c r="CH115" i="1"/>
  <c r="BY22" i="1"/>
  <c r="BW103" i="1"/>
  <c r="CD115" i="1"/>
  <c r="BY107" i="1"/>
  <c r="CH67" i="1"/>
  <c r="CG91" i="1"/>
  <c r="CA134" i="1"/>
  <c r="CA152" i="1"/>
  <c r="CC51" i="1"/>
  <c r="BX125" i="1"/>
  <c r="BW92" i="1"/>
  <c r="CF145" i="1"/>
  <c r="CH57" i="1"/>
  <c r="BY134" i="1"/>
  <c r="BQ149" i="1"/>
  <c r="BY115" i="1"/>
  <c r="CH108" i="1"/>
  <c r="CB133" i="1"/>
  <c r="CB141" i="1"/>
  <c r="BW100" i="1"/>
  <c r="CG119" i="1"/>
  <c r="BX118" i="1"/>
  <c r="CD133" i="1"/>
  <c r="CF3" i="1"/>
  <c r="CB79" i="1"/>
  <c r="CA38" i="1"/>
  <c r="CF113" i="1"/>
  <c r="CG143" i="1"/>
  <c r="CA110" i="1"/>
  <c r="CA74" i="1"/>
  <c r="CG34" i="1"/>
  <c r="CD34" i="1"/>
  <c r="BX148" i="1"/>
  <c r="CH145" i="1"/>
  <c r="CH112" i="1"/>
  <c r="CH120" i="1"/>
  <c r="CA77" i="1"/>
  <c r="CB99" i="1"/>
  <c r="BW134" i="1"/>
  <c r="CG26" i="1"/>
  <c r="BW18" i="1"/>
  <c r="BW125" i="1"/>
  <c r="CC143" i="1"/>
  <c r="CF140" i="1"/>
  <c r="CF54" i="1"/>
  <c r="BW143" i="1"/>
  <c r="CH151" i="1"/>
  <c r="CF22" i="1"/>
  <c r="CF19" i="1"/>
  <c r="BS147" i="1"/>
  <c r="BH155" i="1"/>
  <c r="BZ59" i="1"/>
  <c r="BZ58" i="1"/>
  <c r="BZ136" i="1"/>
  <c r="BZ135" i="1"/>
  <c r="BZ106" i="1"/>
  <c r="BZ108" i="1"/>
  <c r="BZ30" i="1"/>
  <c r="BZ102" i="1"/>
  <c r="BZ129" i="1"/>
  <c r="BZ121" i="1"/>
  <c r="BZ73" i="1"/>
  <c r="BZ104" i="1"/>
  <c r="BZ85" i="1"/>
  <c r="BZ12" i="1"/>
  <c r="BZ23" i="1"/>
  <c r="BZ47" i="1"/>
  <c r="BZ40" i="1"/>
  <c r="BZ57" i="1"/>
  <c r="BZ52" i="1"/>
  <c r="BZ61" i="1"/>
  <c r="BZ43" i="1"/>
  <c r="BZ138" i="1"/>
  <c r="BZ83" i="1"/>
  <c r="BZ109" i="1"/>
  <c r="BZ146" i="1"/>
  <c r="BZ114" i="1"/>
  <c r="BZ147" i="1"/>
  <c r="BZ6" i="1"/>
  <c r="BZ98" i="1"/>
  <c r="BZ120" i="1"/>
  <c r="BZ64" i="1"/>
  <c r="BZ20" i="1"/>
  <c r="BZ4" i="1"/>
  <c r="BZ16" i="1"/>
  <c r="BZ33" i="1"/>
  <c r="BZ76" i="1"/>
  <c r="BZ94" i="1"/>
  <c r="BZ39" i="1"/>
  <c r="BZ142" i="1"/>
  <c r="BZ29" i="1"/>
  <c r="BZ82" i="1"/>
  <c r="BZ7" i="1"/>
  <c r="BZ105" i="1"/>
  <c r="BZ96" i="1"/>
  <c r="BZ10" i="1"/>
  <c r="BZ151" i="1"/>
  <c r="BZ122" i="1"/>
  <c r="BZ70" i="1"/>
  <c r="BZ24" i="1"/>
  <c r="BZ17" i="1"/>
  <c r="BZ63" i="1"/>
  <c r="BZ69" i="1"/>
  <c r="BZ137" i="1"/>
  <c r="BZ48" i="1"/>
  <c r="BZ117" i="1"/>
  <c r="BZ97" i="1"/>
  <c r="BZ124" i="1"/>
  <c r="BZ112" i="1"/>
  <c r="BZ11" i="1"/>
  <c r="BZ32" i="1"/>
  <c r="BZ75" i="1"/>
  <c r="BZ55" i="1"/>
  <c r="BZ13" i="1"/>
  <c r="BZ27" i="1"/>
  <c r="BZ144" i="1"/>
  <c r="BZ127" i="1"/>
  <c r="BZ56" i="1"/>
  <c r="BZ8" i="1"/>
  <c r="BZ87" i="1"/>
  <c r="BZ128" i="1"/>
  <c r="BZ53" i="1"/>
  <c r="BZ45" i="1"/>
  <c r="BZ71" i="1"/>
  <c r="BZ62" i="1"/>
  <c r="BZ49" i="1"/>
  <c r="BZ88" i="1"/>
  <c r="BZ35" i="1"/>
  <c r="BZ21" i="1"/>
  <c r="BZ60" i="1"/>
  <c r="BZ131" i="1"/>
  <c r="BZ67" i="1"/>
  <c r="BZ41" i="1"/>
  <c r="BZ9" i="1"/>
  <c r="BZ150" i="1"/>
  <c r="BZ123" i="1"/>
  <c r="BZ80" i="1"/>
  <c r="BZ139" i="1"/>
  <c r="BZ113" i="1"/>
  <c r="BZ145" i="1"/>
  <c r="BZ99" i="1"/>
  <c r="BZ50" i="1"/>
  <c r="BZ36" i="1"/>
  <c r="BZ18" i="1"/>
  <c r="BZ143" i="1"/>
  <c r="BZ74" i="1"/>
  <c r="BZ132" i="1"/>
  <c r="BZ3" i="1"/>
  <c r="BZ89" i="1"/>
  <c r="BZ111" i="1"/>
  <c r="BZ148" i="1"/>
  <c r="BZ103" i="1"/>
  <c r="BZ84" i="1"/>
  <c r="BZ140" i="1"/>
  <c r="BZ130" i="1"/>
  <c r="BZ19" i="1"/>
  <c r="BZ119" i="1"/>
  <c r="BZ42" i="1"/>
  <c r="BZ93" i="1"/>
  <c r="BZ14" i="1"/>
  <c r="BZ65" i="1"/>
  <c r="BZ125" i="1"/>
  <c r="BZ25" i="1"/>
  <c r="BZ91" i="1"/>
  <c r="BZ133" i="1"/>
  <c r="BZ26" i="1"/>
  <c r="BZ51" i="1"/>
  <c r="BZ44" i="1"/>
  <c r="BZ66" i="1"/>
  <c r="BZ28" i="1"/>
  <c r="BZ86" i="1"/>
  <c r="BZ90" i="1"/>
  <c r="BZ22" i="1"/>
  <c r="BZ77" i="1"/>
  <c r="BZ72" i="1"/>
  <c r="BZ37" i="1"/>
  <c r="BZ152" i="1"/>
  <c r="BZ5" i="1"/>
  <c r="BZ38" i="1"/>
  <c r="BZ95" i="1"/>
  <c r="BZ116" i="1"/>
  <c r="BZ81" i="1"/>
  <c r="BZ118" i="1"/>
  <c r="BZ78" i="1"/>
  <c r="BZ149" i="1"/>
  <c r="BZ92" i="1"/>
  <c r="BZ126" i="1"/>
  <c r="BZ54" i="1"/>
  <c r="BZ79" i="1"/>
  <c r="BZ68" i="1"/>
  <c r="BZ107" i="1"/>
  <c r="BZ31" i="1"/>
  <c r="BZ134" i="1"/>
  <c r="BZ110" i="1"/>
  <c r="BZ46" i="1"/>
  <c r="BZ34" i="1"/>
  <c r="BZ115" i="1"/>
  <c r="CE77" i="1"/>
  <c r="BZ15" i="1"/>
  <c r="CE110" i="1"/>
  <c r="CH15" i="1"/>
  <c r="AV15" i="1"/>
  <c r="BQ15" i="1"/>
  <c r="BM155" i="1"/>
  <c r="CE59" i="1"/>
  <c r="CE58" i="1"/>
  <c r="CE41" i="1"/>
  <c r="CE130" i="1"/>
  <c r="CE138" i="1"/>
  <c r="CE30" i="1"/>
  <c r="CE109" i="1"/>
  <c r="CE52" i="1"/>
  <c r="CE60" i="1"/>
  <c r="CE8" i="1"/>
  <c r="CE102" i="1"/>
  <c r="CE127" i="1"/>
  <c r="CE98" i="1"/>
  <c r="CE16" i="1"/>
  <c r="CE12" i="1"/>
  <c r="CE6" i="1"/>
  <c r="CE7" i="1"/>
  <c r="CE117" i="1"/>
  <c r="CE47" i="1"/>
  <c r="CE96" i="1"/>
  <c r="CE73" i="1"/>
  <c r="CE75" i="1"/>
  <c r="CE17" i="1"/>
  <c r="CE64" i="1"/>
  <c r="CE135" i="1"/>
  <c r="CE39" i="1"/>
  <c r="CE62" i="1"/>
  <c r="CE45" i="1"/>
  <c r="CE55" i="1"/>
  <c r="CE150" i="1"/>
  <c r="CE67" i="1"/>
  <c r="CE76" i="1"/>
  <c r="CE69" i="1"/>
  <c r="CE13" i="1"/>
  <c r="CE56" i="1"/>
  <c r="CE114" i="1"/>
  <c r="CE120" i="1"/>
  <c r="CE21" i="1"/>
  <c r="CE25" i="1"/>
  <c r="CE139" i="1"/>
  <c r="CE23" i="1"/>
  <c r="CE144" i="1"/>
  <c r="CE80" i="1"/>
  <c r="CE40" i="1"/>
  <c r="CE9" i="1"/>
  <c r="CE123" i="1"/>
  <c r="CE49" i="1"/>
  <c r="CE97" i="1"/>
  <c r="CE136" i="1"/>
  <c r="CE61" i="1"/>
  <c r="CE137" i="1"/>
  <c r="CE20" i="1"/>
  <c r="CE131" i="1"/>
  <c r="CE105" i="1"/>
  <c r="CE57" i="1"/>
  <c r="CE35" i="1"/>
  <c r="CE33" i="1"/>
  <c r="CE63" i="1"/>
  <c r="CE94" i="1"/>
  <c r="CE108" i="1"/>
  <c r="CE43" i="1"/>
  <c r="CE107" i="1"/>
  <c r="CE24" i="1"/>
  <c r="CE87" i="1"/>
  <c r="CE71" i="1"/>
  <c r="CE27" i="1"/>
  <c r="CE106" i="1"/>
  <c r="CE82" i="1"/>
  <c r="CE128" i="1"/>
  <c r="CE112" i="1"/>
  <c r="CE83" i="1"/>
  <c r="CE48" i="1"/>
  <c r="CE151" i="1"/>
  <c r="CE121" i="1"/>
  <c r="CE4" i="1"/>
  <c r="CE85" i="1"/>
  <c r="CE19" i="1"/>
  <c r="CE142" i="1"/>
  <c r="CE70" i="1"/>
  <c r="CE104" i="1"/>
  <c r="CE129" i="1"/>
  <c r="CE10" i="1"/>
  <c r="CE11" i="1"/>
  <c r="CE124" i="1"/>
  <c r="CE32" i="1"/>
  <c r="CE147" i="1"/>
  <c r="CE122" i="1"/>
  <c r="CE146" i="1"/>
  <c r="CE88" i="1"/>
  <c r="CE29" i="1"/>
  <c r="CE38" i="1"/>
  <c r="CE95" i="1"/>
  <c r="CE28" i="1"/>
  <c r="CE92" i="1"/>
  <c r="CE37" i="1"/>
  <c r="CE103" i="1"/>
  <c r="CE86" i="1"/>
  <c r="CE84" i="1"/>
  <c r="CE66" i="1"/>
  <c r="CE93" i="1"/>
  <c r="CE74" i="1"/>
  <c r="CE31" i="1"/>
  <c r="CE53" i="1"/>
  <c r="CE125" i="1"/>
  <c r="CE50" i="1"/>
  <c r="CE115" i="1"/>
  <c r="CE65" i="1"/>
  <c r="CE34" i="1"/>
  <c r="CE91" i="1"/>
  <c r="CE141" i="1"/>
  <c r="CE72" i="1"/>
  <c r="CE152" i="1"/>
  <c r="CE15" i="1"/>
  <c r="CE111" i="1"/>
  <c r="CE149" i="1"/>
  <c r="CE148" i="1"/>
  <c r="CE78" i="1"/>
  <c r="CE54" i="1"/>
  <c r="CE14" i="1"/>
  <c r="CE116" i="1"/>
  <c r="CE26" i="1"/>
  <c r="CE68" i="1"/>
  <c r="CE100" i="1"/>
  <c r="CE36" i="1"/>
  <c r="CE90" i="1"/>
  <c r="CE113" i="1"/>
  <c r="CE18" i="1"/>
  <c r="CE89" i="1"/>
  <c r="CE46" i="1"/>
  <c r="CE99" i="1"/>
  <c r="CE79" i="1"/>
  <c r="CE101" i="1"/>
  <c r="CE3" i="1"/>
  <c r="CE132" i="1"/>
  <c r="CE81" i="1"/>
  <c r="CE51" i="1"/>
  <c r="CE119" i="1"/>
  <c r="CE143" i="1"/>
  <c r="CE134" i="1"/>
  <c r="CE145" i="1"/>
  <c r="CE118" i="1"/>
  <c r="CE44" i="1"/>
  <c r="CE22" i="1"/>
  <c r="CE5" i="1"/>
  <c r="CE133" i="1"/>
  <c r="CE140" i="1"/>
  <c r="CE126" i="1"/>
  <c r="BZ100" i="1"/>
  <c r="BZ141" i="1"/>
  <c r="CD140" i="1"/>
  <c r="CB65" i="1"/>
  <c r="CD26" i="1"/>
  <c r="CG126" i="1"/>
  <c r="CB5" i="1"/>
  <c r="CG145" i="1"/>
  <c r="CB93" i="1"/>
  <c r="CG78" i="1"/>
  <c r="CG92" i="1"/>
  <c r="CH62" i="1"/>
  <c r="CD145" i="1"/>
  <c r="CB77" i="1"/>
  <c r="CD18" i="1"/>
  <c r="CB74" i="1"/>
  <c r="CG101" i="1"/>
  <c r="CG148" i="1"/>
  <c r="CG134" i="1"/>
  <c r="CB19" i="1"/>
  <c r="CH40" i="1"/>
  <c r="CD95" i="1"/>
  <c r="CD126" i="1"/>
  <c r="CG152" i="1"/>
  <c r="CB22" i="1"/>
  <c r="CF68" i="1"/>
  <c r="CB18" i="1"/>
  <c r="CF79" i="1"/>
  <c r="CG93" i="1"/>
  <c r="CH36" i="1"/>
  <c r="CH84" i="1"/>
  <c r="CH152" i="1"/>
  <c r="CH91" i="1"/>
  <c r="CH19" i="1"/>
  <c r="CH90" i="1"/>
  <c r="CH34" i="1"/>
  <c r="CH110" i="1"/>
  <c r="CH140" i="1"/>
  <c r="CH143" i="1"/>
  <c r="CI115" i="1"/>
  <c r="CH93" i="1"/>
  <c r="CH125" i="1"/>
  <c r="CH26" i="1"/>
  <c r="BS124" i="1"/>
  <c r="BX113" i="1"/>
  <c r="BX115" i="1"/>
  <c r="CH121" i="1"/>
  <c r="CG37" i="1"/>
  <c r="BW31" i="1"/>
  <c r="CD36" i="1"/>
  <c r="CF74" i="1"/>
  <c r="CG95" i="1"/>
  <c r="BX77" i="1"/>
  <c r="CG38" i="1"/>
  <c r="CG113" i="1"/>
  <c r="BY118" i="1"/>
  <c r="CG116" i="1"/>
  <c r="CG51" i="1"/>
  <c r="CF15" i="1"/>
  <c r="CH25" i="1"/>
  <c r="CD77" i="1"/>
  <c r="BW86" i="1"/>
  <c r="BX134" i="1"/>
  <c r="CC72" i="1"/>
  <c r="BW81" i="1"/>
  <c r="CC37" i="1"/>
  <c r="BX66" i="1"/>
  <c r="CF152" i="1"/>
  <c r="BY148" i="1"/>
  <c r="CC25" i="1"/>
  <c r="CA100" i="1"/>
  <c r="BY15" i="1"/>
  <c r="CA72" i="1"/>
  <c r="CA19" i="1"/>
  <c r="CC65" i="1"/>
  <c r="BX22" i="1"/>
  <c r="CD3" i="1"/>
  <c r="BY74" i="1"/>
  <c r="CF81" i="1"/>
  <c r="CD72" i="1"/>
  <c r="CG19" i="1"/>
  <c r="CH138" i="1"/>
  <c r="CF92" i="1"/>
  <c r="BW34" i="1"/>
  <c r="CB3" i="1"/>
  <c r="BW46" i="1"/>
  <c r="BY110" i="1"/>
  <c r="CA14" i="1"/>
  <c r="BY126" i="1"/>
  <c r="CG99" i="1"/>
  <c r="BX100" i="1"/>
  <c r="CC116" i="1"/>
  <c r="CH128" i="1"/>
  <c r="BW42" i="1"/>
  <c r="BX31" i="1"/>
  <c r="BY5" i="1"/>
  <c r="CA37" i="1"/>
  <c r="CH12" i="1"/>
  <c r="CH104" i="1"/>
  <c r="BW111" i="1"/>
  <c r="BX37" i="1"/>
  <c r="CG90" i="1"/>
  <c r="CG103" i="1"/>
  <c r="CH101" i="1"/>
  <c r="BY37" i="1"/>
  <c r="BW95" i="1"/>
  <c r="CC95" i="1"/>
  <c r="BX19" i="1"/>
  <c r="CH48" i="1"/>
  <c r="CH85" i="1"/>
  <c r="CA90" i="1"/>
  <c r="BX42" i="1"/>
  <c r="CF116" i="1"/>
  <c r="CD103" i="1"/>
  <c r="CB26" i="1"/>
  <c r="BW119" i="1"/>
  <c r="BW152" i="1"/>
  <c r="BX50" i="1"/>
  <c r="CD125" i="1"/>
  <c r="BY113" i="1"/>
  <c r="CC84" i="1"/>
  <c r="CD66" i="1"/>
  <c r="BI155" i="1"/>
  <c r="CA59" i="1"/>
  <c r="CA58" i="1"/>
  <c r="CA41" i="1"/>
  <c r="CA24" i="1"/>
  <c r="CA30" i="1"/>
  <c r="CA11" i="1"/>
  <c r="CA142" i="1"/>
  <c r="CA57" i="1"/>
  <c r="CA63" i="1"/>
  <c r="CA39" i="1"/>
  <c r="CA123" i="1"/>
  <c r="CA131" i="1"/>
  <c r="CA9" i="1"/>
  <c r="CA69" i="1"/>
  <c r="CA67" i="1"/>
  <c r="CA76" i="1"/>
  <c r="CA109" i="1"/>
  <c r="CA8" i="1"/>
  <c r="CA106" i="1"/>
  <c r="CA80" i="1"/>
  <c r="CA138" i="1"/>
  <c r="CA102" i="1"/>
  <c r="CA144" i="1"/>
  <c r="CA71" i="1"/>
  <c r="CA17" i="1"/>
  <c r="CA122" i="1"/>
  <c r="CA48" i="1"/>
  <c r="CA150" i="1"/>
  <c r="CA62" i="1"/>
  <c r="CA87" i="1"/>
  <c r="CA6" i="1"/>
  <c r="CA105" i="1"/>
  <c r="CA35" i="1"/>
  <c r="CA60" i="1"/>
  <c r="CA97" i="1"/>
  <c r="CA129" i="1"/>
  <c r="CA23" i="1"/>
  <c r="CA136" i="1"/>
  <c r="CA85" i="1"/>
  <c r="CA82" i="1"/>
  <c r="CA32" i="1"/>
  <c r="CA27" i="1"/>
  <c r="CA21" i="1"/>
  <c r="CA29" i="1"/>
  <c r="CA146" i="1"/>
  <c r="CA40" i="1"/>
  <c r="CA47" i="1"/>
  <c r="CA114" i="1"/>
  <c r="CA12" i="1"/>
  <c r="CA139" i="1"/>
  <c r="CA124" i="1"/>
  <c r="CA10" i="1"/>
  <c r="CA33" i="1"/>
  <c r="CA53" i="1"/>
  <c r="CA128" i="1"/>
  <c r="CA45" i="1"/>
  <c r="CA7" i="1"/>
  <c r="CA104" i="1"/>
  <c r="CA130" i="1"/>
  <c r="CA137" i="1"/>
  <c r="CA43" i="1"/>
  <c r="CA20" i="1"/>
  <c r="CA88" i="1"/>
  <c r="CA127" i="1"/>
  <c r="CA75" i="1"/>
  <c r="CA61" i="1"/>
  <c r="CA108" i="1"/>
  <c r="CA147" i="1"/>
  <c r="CA117" i="1"/>
  <c r="CA94" i="1"/>
  <c r="CA13" i="1"/>
  <c r="CA64" i="1"/>
  <c r="CA98" i="1"/>
  <c r="CA51" i="1"/>
  <c r="CA112" i="1"/>
  <c r="CA96" i="1"/>
  <c r="CA151" i="1"/>
  <c r="CA49" i="1"/>
  <c r="CA16" i="1"/>
  <c r="CA73" i="1"/>
  <c r="CA121" i="1"/>
  <c r="CA83" i="1"/>
  <c r="CA135" i="1"/>
  <c r="CA70" i="1"/>
  <c r="CA120" i="1"/>
  <c r="CA52" i="1"/>
  <c r="CA4" i="1"/>
  <c r="CA55" i="1"/>
  <c r="CA56" i="1"/>
  <c r="CB118" i="1"/>
  <c r="CD81" i="1"/>
  <c r="CD5" i="1"/>
  <c r="BY79" i="1"/>
  <c r="CH29" i="1"/>
  <c r="CB92" i="1"/>
  <c r="CF44" i="1"/>
  <c r="CB28" i="1"/>
  <c r="CD89" i="1"/>
  <c r="CA91" i="1"/>
  <c r="BY93" i="1"/>
  <c r="CC134" i="1"/>
  <c r="CA46" i="1"/>
  <c r="CB140" i="1"/>
  <c r="BY95" i="1"/>
  <c r="CA31" i="1"/>
  <c r="CB54" i="1"/>
  <c r="CC36" i="1"/>
  <c r="CH113" i="1"/>
  <c r="BX68" i="1"/>
  <c r="BW149" i="1"/>
  <c r="CC53" i="1"/>
  <c r="CH51" i="1"/>
  <c r="CH49" i="1"/>
  <c r="CH13" i="1"/>
  <c r="CH17" i="1"/>
  <c r="CB111" i="1"/>
  <c r="BW37" i="1"/>
  <c r="CC90" i="1"/>
  <c r="BX28" i="1"/>
  <c r="BX103" i="1"/>
  <c r="BY66" i="1"/>
  <c r="BX145" i="1"/>
  <c r="BY91" i="1"/>
  <c r="BW140" i="1"/>
  <c r="CF77" i="1"/>
  <c r="CF18" i="1"/>
  <c r="CH76" i="1"/>
  <c r="BY78" i="1"/>
  <c r="BX25" i="1"/>
  <c r="CC148" i="1"/>
  <c r="CH71" i="1"/>
  <c r="CH94" i="1"/>
  <c r="CG22" i="1"/>
  <c r="BY42" i="1"/>
  <c r="BY99" i="1"/>
  <c r="CG84" i="1"/>
  <c r="CH8" i="1"/>
  <c r="CB25" i="1"/>
  <c r="CH136" i="1"/>
  <c r="CH122" i="1"/>
  <c r="BY141" i="1"/>
  <c r="CC42" i="1"/>
  <c r="BX91" i="1"/>
  <c r="BW77" i="1"/>
  <c r="CD134" i="1"/>
  <c r="CD46" i="1"/>
  <c r="BX140" i="1"/>
  <c r="CA54" i="1"/>
  <c r="BW126" i="1"/>
  <c r="CF50" i="1"/>
  <c r="CG65" i="1"/>
  <c r="CF107" i="1"/>
  <c r="CA68" i="1"/>
  <c r="BY34" i="1"/>
  <c r="CH147" i="1"/>
  <c r="BW51" i="1"/>
  <c r="CH64" i="1"/>
  <c r="CB107" i="1"/>
  <c r="CH139" i="1"/>
  <c r="CC68" i="1"/>
  <c r="BW110" i="1"/>
  <c r="CA86" i="1"/>
  <c r="CH105" i="1"/>
  <c r="CC92" i="1"/>
  <c r="BW93" i="1"/>
  <c r="CH80" i="1"/>
  <c r="BX90" i="1"/>
  <c r="CD84" i="1"/>
  <c r="BJ155" i="1"/>
  <c r="CB59" i="1"/>
  <c r="CB58" i="1"/>
  <c r="CB70" i="1"/>
  <c r="CB102" i="1"/>
  <c r="CB24" i="1"/>
  <c r="CB62" i="1"/>
  <c r="CB137" i="1"/>
  <c r="CB75" i="1"/>
  <c r="CB117" i="1"/>
  <c r="CB88" i="1"/>
  <c r="CB17" i="1"/>
  <c r="CB128" i="1"/>
  <c r="CB11" i="1"/>
  <c r="CB39" i="1"/>
  <c r="CB21" i="1"/>
  <c r="CB49" i="1"/>
  <c r="CB69" i="1"/>
  <c r="CB55" i="1"/>
  <c r="CB96" i="1"/>
  <c r="CB9" i="1"/>
  <c r="CB83" i="1"/>
  <c r="CB60" i="1"/>
  <c r="CB61" i="1"/>
  <c r="CB94" i="1"/>
  <c r="CB56" i="1"/>
  <c r="CB104" i="1"/>
  <c r="CB112" i="1"/>
  <c r="CB64" i="1"/>
  <c r="CB41" i="1"/>
  <c r="CB105" i="1"/>
  <c r="CB85" i="1"/>
  <c r="CB10" i="1"/>
  <c r="CB47" i="1"/>
  <c r="CB13" i="1"/>
  <c r="CB7" i="1"/>
  <c r="CB108" i="1"/>
  <c r="CB136" i="1"/>
  <c r="CB114" i="1"/>
  <c r="CB150" i="1"/>
  <c r="CB142" i="1"/>
  <c r="CB82" i="1"/>
  <c r="CB124" i="1"/>
  <c r="CB135" i="1"/>
  <c r="CB129" i="1"/>
  <c r="CB16" i="1"/>
  <c r="CB130" i="1"/>
  <c r="CB98" i="1"/>
  <c r="CB73" i="1"/>
  <c r="CB48" i="1"/>
  <c r="CB97" i="1"/>
  <c r="CB8" i="1"/>
  <c r="CB12" i="1"/>
  <c r="CB123" i="1"/>
  <c r="CB57" i="1"/>
  <c r="CB29" i="1"/>
  <c r="CB146" i="1"/>
  <c r="CB139" i="1"/>
  <c r="CB32" i="1"/>
  <c r="CB151" i="1"/>
  <c r="CB20" i="1"/>
  <c r="CB80" i="1"/>
  <c r="CB106" i="1"/>
  <c r="CB71" i="1"/>
  <c r="CB27" i="1"/>
  <c r="CB63" i="1"/>
  <c r="CB33" i="1"/>
  <c r="CB4" i="1"/>
  <c r="CB67" i="1"/>
  <c r="CB52" i="1"/>
  <c r="CB6" i="1"/>
  <c r="CB87" i="1"/>
  <c r="CB120" i="1"/>
  <c r="CB76" i="1"/>
  <c r="CB131" i="1"/>
  <c r="CB35" i="1"/>
  <c r="CB30" i="1"/>
  <c r="CB127" i="1"/>
  <c r="CB147" i="1"/>
  <c r="CB121" i="1"/>
  <c r="CB109" i="1"/>
  <c r="CB144" i="1"/>
  <c r="CB40" i="1"/>
  <c r="CB45" i="1"/>
  <c r="CB122" i="1"/>
  <c r="CB23" i="1"/>
  <c r="CB43" i="1"/>
  <c r="CB125" i="1"/>
  <c r="CB138" i="1"/>
  <c r="CH38" i="1"/>
  <c r="CH50" i="1"/>
  <c r="CI85" i="1"/>
  <c r="CH118" i="1"/>
  <c r="BS41" i="1"/>
  <c r="CH22" i="1"/>
  <c r="CH132" i="1"/>
  <c r="CH31" i="1"/>
  <c r="CH77" i="1"/>
  <c r="BS57" i="1"/>
  <c r="CH92" i="1"/>
  <c r="CH134" i="1"/>
  <c r="BS6" i="1"/>
  <c r="CH95" i="1"/>
  <c r="CB101" i="1"/>
  <c r="CB15" i="1"/>
  <c r="CH11" i="1"/>
  <c r="CA22" i="1"/>
  <c r="CB126" i="1"/>
  <c r="BX152" i="1"/>
  <c r="CD50" i="1"/>
  <c r="CF26" i="1"/>
  <c r="CB86" i="1"/>
  <c r="CH43" i="1"/>
  <c r="BY100" i="1"/>
  <c r="CB53" i="1"/>
  <c r="CA125" i="1"/>
  <c r="CD15" i="1"/>
  <c r="CD118" i="1"/>
  <c r="CH24" i="1"/>
  <c r="CC14" i="1"/>
  <c r="BX74" i="1"/>
  <c r="CG42" i="1"/>
  <c r="CG36" i="1"/>
  <c r="CD113" i="1"/>
  <c r="CG149" i="1"/>
  <c r="CA28" i="1"/>
  <c r="BW38" i="1"/>
  <c r="BY84" i="1"/>
  <c r="CA15" i="1"/>
  <c r="CH69" i="1"/>
  <c r="CH127" i="1"/>
  <c r="CH117" i="1"/>
  <c r="CB90" i="1"/>
  <c r="CC101" i="1"/>
  <c r="CG72" i="1"/>
  <c r="CH109" i="1"/>
  <c r="CD19" i="1"/>
  <c r="CH96" i="1"/>
  <c r="BX133" i="1"/>
  <c r="BY116" i="1"/>
  <c r="CF103" i="1"/>
  <c r="CD78" i="1"/>
  <c r="BX119" i="1"/>
  <c r="BY54" i="1"/>
  <c r="CF14" i="1"/>
  <c r="BY36" i="1"/>
  <c r="BY19" i="1"/>
  <c r="CG118" i="1"/>
  <c r="CF133" i="1"/>
  <c r="CC103" i="1"/>
  <c r="CG110" i="1"/>
  <c r="CH55" i="1"/>
  <c r="CB68" i="1"/>
  <c r="BX51" i="1"/>
  <c r="CA5" i="1"/>
  <c r="CH56" i="1"/>
  <c r="CH131" i="1"/>
  <c r="CB143" i="1"/>
  <c r="CC133" i="1"/>
  <c r="CH65" i="1"/>
  <c r="CG31" i="1"/>
  <c r="CD149" i="1"/>
  <c r="CF100" i="1"/>
  <c r="CD148" i="1"/>
  <c r="CH150" i="1"/>
  <c r="CA107" i="1"/>
  <c r="CH142" i="1"/>
  <c r="CF90" i="1"/>
  <c r="CD116" i="1"/>
  <c r="CB78" i="1"/>
  <c r="CC18" i="1"/>
  <c r="CF99" i="1"/>
  <c r="CA84" i="1"/>
  <c r="BY132" i="1"/>
  <c r="BX15" i="1"/>
  <c r="CB132" i="1"/>
  <c r="BY18" i="1"/>
  <c r="CC115" i="1"/>
  <c r="BO155" i="1"/>
  <c r="CG59" i="1"/>
  <c r="CG58" i="1"/>
  <c r="CG53" i="1"/>
  <c r="CG29" i="1"/>
  <c r="CG131" i="1"/>
  <c r="CG71" i="1"/>
  <c r="CG61" i="1"/>
  <c r="CG33" i="1"/>
  <c r="CG85" i="1"/>
  <c r="CG150" i="1"/>
  <c r="CG13" i="1"/>
  <c r="CG8" i="1"/>
  <c r="CG94" i="1"/>
  <c r="CG102" i="1"/>
  <c r="CG67" i="1"/>
  <c r="CG11" i="1"/>
  <c r="CG137" i="1"/>
  <c r="CG62" i="1"/>
  <c r="CG121" i="1"/>
  <c r="CG105" i="1"/>
  <c r="CG43" i="1"/>
  <c r="CG24" i="1"/>
  <c r="CG76" i="1"/>
  <c r="CG6" i="1"/>
  <c r="CG123" i="1"/>
  <c r="CG17" i="1"/>
  <c r="CG64" i="1"/>
  <c r="CG12" i="1"/>
  <c r="CG129" i="1"/>
  <c r="CG16" i="1"/>
  <c r="CG87" i="1"/>
  <c r="CG136" i="1"/>
  <c r="CG106" i="1"/>
  <c r="CG142" i="1"/>
  <c r="CG124" i="1"/>
  <c r="CG4" i="1"/>
  <c r="CG112" i="1"/>
  <c r="CG47" i="1"/>
  <c r="CG69" i="1"/>
  <c r="CG48" i="1"/>
  <c r="CG83" i="1"/>
  <c r="CG52" i="1"/>
  <c r="CG32" i="1"/>
  <c r="CG21" i="1"/>
  <c r="CG49" i="1"/>
  <c r="CG120" i="1"/>
  <c r="CG23" i="1"/>
  <c r="CG82" i="1"/>
  <c r="CG73" i="1"/>
  <c r="CG146" i="1"/>
  <c r="CG55" i="1"/>
  <c r="CG63" i="1"/>
  <c r="CG128" i="1"/>
  <c r="CG20" i="1"/>
  <c r="CG27" i="1"/>
  <c r="CG98" i="1"/>
  <c r="CG135" i="1"/>
  <c r="CG147" i="1"/>
  <c r="CG104" i="1"/>
  <c r="CG35" i="1"/>
  <c r="CG88" i="1"/>
  <c r="CG96" i="1"/>
  <c r="CG41" i="1"/>
  <c r="CG138" i="1"/>
  <c r="CG40" i="1"/>
  <c r="CG10" i="1"/>
  <c r="CG9" i="1"/>
  <c r="CG114" i="1"/>
  <c r="CG39" i="1"/>
  <c r="CG80" i="1"/>
  <c r="CG122" i="1"/>
  <c r="CG56" i="1"/>
  <c r="CG151" i="1"/>
  <c r="CG108" i="1"/>
  <c r="CG70" i="1"/>
  <c r="CG97" i="1"/>
  <c r="CG30" i="1"/>
  <c r="CG45" i="1"/>
  <c r="CG57" i="1"/>
  <c r="CG60" i="1"/>
  <c r="CG127" i="1"/>
  <c r="CG139" i="1"/>
  <c r="CG7" i="1"/>
  <c r="CG117" i="1"/>
  <c r="CG109" i="1"/>
  <c r="CG144" i="1"/>
  <c r="CG75" i="1"/>
  <c r="BN155" i="1"/>
  <c r="CF59" i="1"/>
  <c r="CF58" i="1"/>
  <c r="CF130" i="1"/>
  <c r="CF104" i="1"/>
  <c r="CF55" i="1"/>
  <c r="CF75" i="1"/>
  <c r="CF117" i="1"/>
  <c r="CF123" i="1"/>
  <c r="CF135" i="1"/>
  <c r="CF57" i="1"/>
  <c r="CF122" i="1"/>
  <c r="CF67" i="1"/>
  <c r="CF85" i="1"/>
  <c r="CF83" i="1"/>
  <c r="CF121" i="1"/>
  <c r="CF137" i="1"/>
  <c r="CF35" i="1"/>
  <c r="CF106" i="1"/>
  <c r="CF142" i="1"/>
  <c r="CF139" i="1"/>
  <c r="CF23" i="1"/>
  <c r="CF17" i="1"/>
  <c r="CF49" i="1"/>
  <c r="CF87" i="1"/>
  <c r="CF45" i="1"/>
  <c r="CF73" i="1"/>
  <c r="CF128" i="1"/>
  <c r="CF20" i="1"/>
  <c r="CF147" i="1"/>
  <c r="CF63" i="1"/>
  <c r="CF138" i="1"/>
  <c r="CF136" i="1"/>
  <c r="CF61" i="1"/>
  <c r="CF127" i="1"/>
  <c r="CF27" i="1"/>
  <c r="CF7" i="1"/>
  <c r="CF105" i="1"/>
  <c r="CF62" i="1"/>
  <c r="CF114" i="1"/>
  <c r="CF64" i="1"/>
  <c r="CF98" i="1"/>
  <c r="CF11" i="1"/>
  <c r="CF76" i="1"/>
  <c r="CF131" i="1"/>
  <c r="CF4" i="1"/>
  <c r="CF69" i="1"/>
  <c r="CF150" i="1"/>
  <c r="CF32" i="1"/>
  <c r="CF6" i="1"/>
  <c r="CF109" i="1"/>
  <c r="CF10" i="1"/>
  <c r="CF97" i="1"/>
  <c r="CF33" i="1"/>
  <c r="CF30" i="1"/>
  <c r="CF24" i="1"/>
  <c r="CF94" i="1"/>
  <c r="CF52" i="1"/>
  <c r="CF80" i="1"/>
  <c r="CF124" i="1"/>
  <c r="CF151" i="1"/>
  <c r="CF120" i="1"/>
  <c r="CF129" i="1"/>
  <c r="CF16" i="1"/>
  <c r="CF56" i="1"/>
  <c r="CF82" i="1"/>
  <c r="CF21" i="1"/>
  <c r="CF29" i="1"/>
  <c r="CF112" i="1"/>
  <c r="CF146" i="1"/>
  <c r="CF39" i="1"/>
  <c r="CF12" i="1"/>
  <c r="CF13" i="1"/>
  <c r="CF102" i="1"/>
  <c r="CF40" i="1"/>
  <c r="CF9" i="1"/>
  <c r="CF8" i="1"/>
  <c r="CF70" i="1"/>
  <c r="CF108" i="1"/>
  <c r="CF47" i="1"/>
  <c r="CF88" i="1"/>
  <c r="CF96" i="1"/>
  <c r="CF144" i="1"/>
  <c r="CF60" i="1"/>
  <c r="CF48" i="1"/>
  <c r="CF71" i="1"/>
  <c r="CF41" i="1"/>
  <c r="CF43" i="1"/>
  <c r="BQ148" i="1"/>
  <c r="CC19" i="1"/>
  <c r="CF125" i="1"/>
  <c r="CH41" i="1"/>
  <c r="CA101" i="1"/>
  <c r="CB72" i="1"/>
  <c r="CH144" i="1"/>
  <c r="CF65" i="1"/>
  <c r="CF111" i="1"/>
  <c r="CD90" i="1"/>
  <c r="CA44" i="1"/>
  <c r="CA145" i="1"/>
  <c r="CF34" i="1"/>
  <c r="BW68" i="1"/>
  <c r="BW26" i="1"/>
  <c r="CF78" i="1"/>
  <c r="CA119" i="1"/>
  <c r="CB110" i="1"/>
  <c r="CA95" i="1"/>
  <c r="CA126" i="1"/>
  <c r="CA99" i="1"/>
  <c r="BY119" i="1"/>
  <c r="BX95" i="1"/>
  <c r="CB152" i="1"/>
  <c r="BW132" i="1"/>
  <c r="BX86" i="1"/>
  <c r="BX81" i="1"/>
  <c r="CC15" i="1"/>
  <c r="CC111" i="1"/>
  <c r="CC141" i="1"/>
  <c r="CC145" i="1"/>
  <c r="CC89" i="1"/>
  <c r="CF134" i="1"/>
  <c r="BX46" i="1"/>
  <c r="CG140" i="1"/>
  <c r="CB42" i="1"/>
  <c r="BW89" i="1"/>
  <c r="CC3" i="1"/>
  <c r="CG54" i="1"/>
  <c r="BW99" i="1"/>
  <c r="CH102" i="1"/>
  <c r="CB44" i="1"/>
  <c r="CF66" i="1"/>
  <c r="CD110" i="1"/>
  <c r="CG74" i="1"/>
  <c r="CH149" i="1"/>
  <c r="CC132" i="1"/>
  <c r="CG125" i="1"/>
  <c r="CA18" i="1"/>
  <c r="CG130" i="1"/>
  <c r="BX79" i="1"/>
  <c r="CH129" i="1"/>
  <c r="BX111" i="1"/>
  <c r="CA42" i="1"/>
  <c r="CC77" i="1"/>
  <c r="BX26" i="1"/>
  <c r="CC74" i="1"/>
  <c r="CH60" i="1"/>
  <c r="CF148" i="1"/>
  <c r="BW19" i="1"/>
  <c r="BW141" i="1"/>
  <c r="CD28" i="1"/>
  <c r="CG89" i="1"/>
  <c r="BX3" i="1"/>
  <c r="CA93" i="1"/>
  <c r="CC78" i="1"/>
  <c r="CF119" i="1"/>
  <c r="CA140" i="1"/>
  <c r="CD86" i="1"/>
  <c r="BX99" i="1"/>
  <c r="CA50" i="1"/>
  <c r="CA149" i="1"/>
  <c r="CH61" i="1"/>
  <c r="BY152" i="1"/>
  <c r="CD37" i="1"/>
  <c r="CB91" i="1"/>
  <c r="CF25" i="1"/>
  <c r="CG81" i="1"/>
  <c r="BW72" i="1"/>
  <c r="CG111" i="1"/>
  <c r="CG133" i="1"/>
  <c r="CG77" i="1"/>
  <c r="CC86" i="1"/>
  <c r="CG44" i="1"/>
  <c r="BW14" i="1"/>
  <c r="CA132" i="1"/>
  <c r="CF53" i="1"/>
  <c r="BL155" i="1"/>
  <c r="CD59" i="1"/>
  <c r="CD58" i="1"/>
  <c r="CD55" i="1"/>
  <c r="CD10" i="1"/>
  <c r="CD88" i="1"/>
  <c r="CD11" i="1"/>
  <c r="CD47" i="1"/>
  <c r="CD33" i="1"/>
  <c r="CD30" i="1"/>
  <c r="CD151" i="1"/>
  <c r="CD80" i="1"/>
  <c r="CD48" i="1"/>
  <c r="CD6" i="1"/>
  <c r="CD9" i="1"/>
  <c r="CD21" i="1"/>
  <c r="CD49" i="1"/>
  <c r="CD139" i="1"/>
  <c r="CD23" i="1"/>
  <c r="CD45" i="1"/>
  <c r="CD73" i="1"/>
  <c r="CD129" i="1"/>
  <c r="CD146" i="1"/>
  <c r="CD60" i="1"/>
  <c r="CD94" i="1"/>
  <c r="CD61" i="1"/>
  <c r="CD117" i="1"/>
  <c r="CD83" i="1"/>
  <c r="CD62" i="1"/>
  <c r="CD67" i="1"/>
  <c r="CD52" i="1"/>
  <c r="CD40" i="1"/>
  <c r="CD82" i="1"/>
  <c r="CD8" i="1"/>
  <c r="CD24" i="1"/>
  <c r="CD27" i="1"/>
  <c r="CD29" i="1"/>
  <c r="CD63" i="1"/>
  <c r="CD112" i="1"/>
  <c r="CD43" i="1"/>
  <c r="CD135" i="1"/>
  <c r="CD138" i="1"/>
  <c r="CD121" i="1"/>
  <c r="CD64" i="1"/>
  <c r="CD32" i="1"/>
  <c r="CD85" i="1"/>
  <c r="CD53" i="1"/>
  <c r="CD144" i="1"/>
  <c r="CD114" i="1"/>
  <c r="CD35" i="1"/>
  <c r="CD136" i="1"/>
  <c r="CD17" i="1"/>
  <c r="CD56" i="1"/>
  <c r="CD104" i="1"/>
  <c r="CD16" i="1"/>
  <c r="CD127" i="1"/>
  <c r="CD96" i="1"/>
  <c r="CD57" i="1"/>
  <c r="CD75" i="1"/>
  <c r="CD87" i="1"/>
  <c r="CD106" i="1"/>
  <c r="CD123" i="1"/>
  <c r="CD105" i="1"/>
  <c r="CD98" i="1"/>
  <c r="CD142" i="1"/>
  <c r="CD20" i="1"/>
  <c r="CD4" i="1"/>
  <c r="CD71" i="1"/>
  <c r="CD150" i="1"/>
  <c r="CD130" i="1"/>
  <c r="CD109" i="1"/>
  <c r="CD70" i="1"/>
  <c r="CD124" i="1"/>
  <c r="CD12" i="1"/>
  <c r="CD122" i="1"/>
  <c r="CD128" i="1"/>
  <c r="CD132" i="1"/>
  <c r="CD76" i="1"/>
  <c r="CD108" i="1"/>
  <c r="CD41" i="1"/>
  <c r="CD97" i="1"/>
  <c r="CD147" i="1"/>
  <c r="CD120" i="1"/>
  <c r="CD137" i="1"/>
  <c r="CD102" i="1"/>
  <c r="CD131" i="1"/>
  <c r="CD13" i="1"/>
  <c r="CD107" i="1"/>
  <c r="CD39" i="1"/>
  <c r="CD7" i="1"/>
  <c r="CD69" i="1"/>
  <c r="CG68" i="1"/>
  <c r="CD25" i="1"/>
  <c r="BF155" i="1"/>
  <c r="BX58" i="1"/>
  <c r="BX59" i="1"/>
  <c r="BX98" i="1"/>
  <c r="BX131" i="1"/>
  <c r="BX102" i="1"/>
  <c r="BX139" i="1"/>
  <c r="BX60" i="1"/>
  <c r="BX40" i="1"/>
  <c r="BX7" i="1"/>
  <c r="BX9" i="1"/>
  <c r="BX10" i="1"/>
  <c r="BX112" i="1"/>
  <c r="BX45" i="1"/>
  <c r="BX61" i="1"/>
  <c r="BX63" i="1"/>
  <c r="BX17" i="1"/>
  <c r="BX49" i="1"/>
  <c r="BX52" i="1"/>
  <c r="BX121" i="1"/>
  <c r="BX41" i="1"/>
  <c r="BX70" i="1"/>
  <c r="BX39" i="1"/>
  <c r="BX4" i="1"/>
  <c r="BX82" i="1"/>
  <c r="BX62" i="1"/>
  <c r="BX69" i="1"/>
  <c r="BX129" i="1"/>
  <c r="BX56" i="1"/>
  <c r="BX47" i="1"/>
  <c r="BX147" i="1"/>
  <c r="BX105" i="1"/>
  <c r="BX29" i="1"/>
  <c r="BX138" i="1"/>
  <c r="BX30" i="1"/>
  <c r="BX144" i="1"/>
  <c r="BX87" i="1"/>
  <c r="BX55" i="1"/>
  <c r="BX127" i="1"/>
  <c r="BX150" i="1"/>
  <c r="BX149" i="1"/>
  <c r="BX97" i="1"/>
  <c r="BX124" i="1"/>
  <c r="BX12" i="1"/>
  <c r="BX48" i="1"/>
  <c r="BX117" i="1"/>
  <c r="BX108" i="1"/>
  <c r="BX8" i="1"/>
  <c r="BX13" i="1"/>
  <c r="BX137" i="1"/>
  <c r="BX32" i="1"/>
  <c r="BX80" i="1"/>
  <c r="BX20" i="1"/>
  <c r="BX146" i="1"/>
  <c r="BX67" i="1"/>
  <c r="BX76" i="1"/>
  <c r="BX123" i="1"/>
  <c r="BX128" i="1"/>
  <c r="BX106" i="1"/>
  <c r="BX136" i="1"/>
  <c r="BX6" i="1"/>
  <c r="BX23" i="1"/>
  <c r="BX35" i="1"/>
  <c r="BX83" i="1"/>
  <c r="BX75" i="1"/>
  <c r="BX109" i="1"/>
  <c r="BX135" i="1"/>
  <c r="BX57" i="1"/>
  <c r="BX88" i="1"/>
  <c r="BX33" i="1"/>
  <c r="BX114" i="1"/>
  <c r="BX64" i="1"/>
  <c r="BX27" i="1"/>
  <c r="BX104" i="1"/>
  <c r="BX16" i="1"/>
  <c r="BX130" i="1"/>
  <c r="BX71" i="1"/>
  <c r="BX120" i="1"/>
  <c r="BX96" i="1"/>
  <c r="BX24" i="1"/>
  <c r="BX5" i="1"/>
  <c r="BX142" i="1"/>
  <c r="BX151" i="1"/>
  <c r="BX73" i="1"/>
  <c r="BX94" i="1"/>
  <c r="BX21" i="1"/>
  <c r="BX43" i="1"/>
  <c r="BX85" i="1"/>
  <c r="BX11" i="1"/>
  <c r="BX122" i="1"/>
  <c r="CH3" i="1"/>
  <c r="CH119" i="1"/>
  <c r="CH89" i="1"/>
  <c r="CH107" i="1"/>
  <c r="BK155" i="1"/>
  <c r="CC58" i="1"/>
  <c r="CC59" i="1"/>
  <c r="CC102" i="1"/>
  <c r="CC57" i="1"/>
  <c r="CC123" i="1"/>
  <c r="CC69" i="1"/>
  <c r="CC45" i="1"/>
  <c r="CC124" i="1"/>
  <c r="CC62" i="1"/>
  <c r="CC43" i="1"/>
  <c r="CC97" i="1"/>
  <c r="CC138" i="1"/>
  <c r="CC8" i="1"/>
  <c r="CC16" i="1"/>
  <c r="CC71" i="1"/>
  <c r="CC75" i="1"/>
  <c r="CC130" i="1"/>
  <c r="CC137" i="1"/>
  <c r="CC147" i="1"/>
  <c r="CC135" i="1"/>
  <c r="CC131" i="1"/>
  <c r="CC88" i="1"/>
  <c r="CC32" i="1"/>
  <c r="CC11" i="1"/>
  <c r="CC7" i="1"/>
  <c r="CC70" i="1"/>
  <c r="CC73" i="1"/>
  <c r="CC139" i="1"/>
  <c r="CC33" i="1"/>
  <c r="CC6" i="1"/>
  <c r="CC9" i="1"/>
  <c r="CC142" i="1"/>
  <c r="CC150" i="1"/>
  <c r="CC151" i="1"/>
  <c r="CC128" i="1"/>
  <c r="CC144" i="1"/>
  <c r="CC39" i="1"/>
  <c r="CC122" i="1"/>
  <c r="CC146" i="1"/>
  <c r="CC30" i="1"/>
  <c r="CC41" i="1"/>
  <c r="CC67" i="1"/>
  <c r="CC61" i="1"/>
  <c r="CC94" i="1"/>
  <c r="CC129" i="1"/>
  <c r="CC117" i="1"/>
  <c r="CC136" i="1"/>
  <c r="CC108" i="1"/>
  <c r="CC47" i="1"/>
  <c r="CC13" i="1"/>
  <c r="CC23" i="1"/>
  <c r="CC107" i="1"/>
  <c r="CC112" i="1"/>
  <c r="CC24" i="1"/>
  <c r="CC87" i="1"/>
  <c r="CC109" i="1"/>
  <c r="CC10" i="1"/>
  <c r="CC56" i="1"/>
  <c r="CC35" i="1"/>
  <c r="CC4" i="1"/>
  <c r="CC82" i="1"/>
  <c r="CC114" i="1"/>
  <c r="CC20" i="1"/>
  <c r="CC76" i="1"/>
  <c r="CC105" i="1"/>
  <c r="CC29" i="1"/>
  <c r="CC27" i="1"/>
  <c r="CC21" i="1"/>
  <c r="CC55" i="1"/>
  <c r="CC127" i="1"/>
  <c r="CC98" i="1"/>
  <c r="CC96" i="1"/>
  <c r="CC48" i="1"/>
  <c r="CC121" i="1"/>
  <c r="CC120" i="1"/>
  <c r="CC83" i="1"/>
  <c r="CC12" i="1"/>
  <c r="CC52" i="1"/>
  <c r="CC63" i="1"/>
  <c r="CC85" i="1"/>
  <c r="CC106" i="1"/>
  <c r="CC80" i="1"/>
  <c r="CC40" i="1"/>
  <c r="CC64" i="1"/>
  <c r="CC49" i="1"/>
  <c r="CC17" i="1"/>
  <c r="CC60" i="1"/>
  <c r="CC104" i="1"/>
  <c r="AV148" i="1"/>
  <c r="BS59" i="1"/>
  <c r="CH133" i="1"/>
  <c r="CH44" i="1"/>
  <c r="CH78" i="1"/>
  <c r="CH86" i="1"/>
  <c r="CH116" i="1"/>
  <c r="CH126" i="1"/>
  <c r="CH37" i="1"/>
  <c r="BG155" i="1"/>
  <c r="BY57" i="1"/>
  <c r="BY6" i="1"/>
  <c r="BY59" i="1"/>
  <c r="BY58" i="1"/>
  <c r="BY114" i="1"/>
  <c r="BY139" i="1"/>
  <c r="BY76" i="1"/>
  <c r="BY88" i="1"/>
  <c r="BY87" i="1"/>
  <c r="BY94" i="1"/>
  <c r="BY82" i="1"/>
  <c r="BY104" i="1"/>
  <c r="BY131" i="1"/>
  <c r="BY147" i="1"/>
  <c r="BY13" i="1"/>
  <c r="BY67" i="1"/>
  <c r="BY27" i="1"/>
  <c r="BY32" i="1"/>
  <c r="BY73" i="1"/>
  <c r="BY69" i="1"/>
  <c r="BY144" i="1"/>
  <c r="BY12" i="1"/>
  <c r="BY109" i="1"/>
  <c r="BY136" i="1"/>
  <c r="BY151" i="1"/>
  <c r="BY40" i="1"/>
  <c r="BY61" i="1"/>
  <c r="BY16" i="1"/>
  <c r="BY146" i="1"/>
  <c r="BY102" i="1"/>
  <c r="BY96" i="1"/>
  <c r="BY137" i="1"/>
  <c r="BY85" i="1"/>
  <c r="BY135" i="1"/>
  <c r="BY30" i="1"/>
  <c r="BY4" i="1"/>
  <c r="BY11" i="1"/>
  <c r="BY117" i="1"/>
  <c r="BY71" i="1"/>
  <c r="BY112" i="1"/>
  <c r="BY62" i="1"/>
  <c r="BY98" i="1"/>
  <c r="BY121" i="1"/>
  <c r="BY29" i="1"/>
  <c r="BY97" i="1"/>
  <c r="BY122" i="1"/>
  <c r="BY138" i="1"/>
  <c r="BY10" i="1"/>
  <c r="BY75" i="1"/>
  <c r="BY23" i="1"/>
  <c r="BY39" i="1"/>
  <c r="BY63" i="1"/>
  <c r="BY120" i="1"/>
  <c r="BY83" i="1"/>
  <c r="BY150" i="1"/>
  <c r="BY142" i="1"/>
  <c r="BY108" i="1"/>
  <c r="BY20" i="1"/>
  <c r="BY21" i="1"/>
  <c r="BY128" i="1"/>
  <c r="BY41" i="1"/>
  <c r="BY7" i="1"/>
  <c r="BY127" i="1"/>
  <c r="BY49" i="1"/>
  <c r="BY45" i="1"/>
  <c r="BY106" i="1"/>
  <c r="BY52" i="1"/>
  <c r="BY123" i="1"/>
  <c r="BY47" i="1"/>
  <c r="BY56" i="1"/>
  <c r="BY81" i="1"/>
  <c r="BY70" i="1"/>
  <c r="BY53" i="1"/>
  <c r="BY80" i="1"/>
  <c r="BY124" i="1"/>
  <c r="BY64" i="1"/>
  <c r="BY55" i="1"/>
  <c r="BY24" i="1"/>
  <c r="BY9" i="1"/>
  <c r="BY17" i="1"/>
  <c r="BY105" i="1"/>
  <c r="BY33" i="1"/>
  <c r="BY8" i="1"/>
  <c r="BY129" i="1"/>
  <c r="BY35" i="1"/>
  <c r="BY48" i="1"/>
  <c r="BY43" i="1"/>
  <c r="BY60" i="1"/>
  <c r="CH111" i="1"/>
  <c r="CB149" i="1"/>
  <c r="CH137" i="1"/>
  <c r="CF37" i="1"/>
  <c r="CF86" i="1"/>
  <c r="CD152" i="1"/>
  <c r="CB84" i="1"/>
  <c r="BW66" i="1"/>
  <c r="CA25" i="1"/>
  <c r="CC113" i="1"/>
  <c r="CB100" i="1"/>
  <c r="CH83" i="1"/>
  <c r="CH63" i="1"/>
  <c r="CD93" i="1"/>
  <c r="BX14" i="1"/>
  <c r="CC93" i="1"/>
  <c r="CC38" i="1"/>
  <c r="CB14" i="1"/>
  <c r="BW148" i="1"/>
  <c r="CH146" i="1"/>
  <c r="BX84" i="1"/>
  <c r="CH79" i="1"/>
  <c r="CC110" i="1"/>
  <c r="CG79" i="1"/>
  <c r="CD100" i="1"/>
  <c r="CG107" i="1"/>
  <c r="CH135" i="1"/>
  <c r="CA133" i="1"/>
  <c r="CC44" i="1"/>
  <c r="BW53" i="1"/>
  <c r="BY25" i="1"/>
  <c r="BY149" i="1"/>
  <c r="CH7" i="1"/>
  <c r="BY133" i="1"/>
  <c r="CG141" i="1"/>
  <c r="BY89" i="1"/>
  <c r="CA103" i="1"/>
  <c r="BY38" i="1"/>
  <c r="CD119" i="1"/>
  <c r="CC54" i="1"/>
  <c r="CB36" i="1"/>
  <c r="BY51" i="1"/>
  <c r="CA79" i="1"/>
  <c r="BY90" i="1"/>
  <c r="BW3" i="1"/>
  <c r="CB66" i="1"/>
  <c r="CG115" i="1"/>
  <c r="BW115" i="1"/>
  <c r="CA148" i="1"/>
  <c r="CH4" i="1"/>
  <c r="BX143" i="1"/>
  <c r="CD92" i="1"/>
  <c r="CG28" i="1"/>
  <c r="BY72" i="1"/>
  <c r="CH81" i="1"/>
  <c r="CG5" i="1"/>
  <c r="CH39" i="1"/>
  <c r="CF143" i="1"/>
  <c r="CF141" i="1"/>
  <c r="CC28" i="1"/>
  <c r="BX89" i="1"/>
  <c r="CF91" i="1"/>
  <c r="BX38" i="1"/>
  <c r="CG18" i="1"/>
  <c r="CG100" i="1"/>
  <c r="BX116" i="1"/>
  <c r="BY14" i="1"/>
  <c r="BX132" i="1"/>
  <c r="CD54" i="1"/>
  <c r="CB145" i="1"/>
  <c r="CB50" i="1"/>
  <c r="CB46" i="1"/>
  <c r="BP155" i="1"/>
  <c r="CH124" i="1"/>
  <c r="CH59" i="1"/>
  <c r="CH6" i="1"/>
  <c r="CH58" i="1"/>
  <c r="CH68" i="1"/>
  <c r="BS58" i="1"/>
  <c r="CH42" i="1"/>
  <c r="CH66" i="1"/>
  <c r="CH141" i="1"/>
  <c r="BW58" i="1"/>
  <c r="BW6" i="1"/>
  <c r="BW59" i="1"/>
  <c r="BW94" i="1"/>
  <c r="BW88" i="1"/>
  <c r="BW73" i="1"/>
  <c r="BW69" i="1"/>
  <c r="BW47" i="1"/>
  <c r="BW32" i="1"/>
  <c r="BW102" i="1"/>
  <c r="BW127" i="1"/>
  <c r="BW139" i="1"/>
  <c r="BW147" i="1"/>
  <c r="BW17" i="1"/>
  <c r="BW49" i="1"/>
  <c r="BW39" i="1"/>
  <c r="BW4" i="1"/>
  <c r="BW120" i="1"/>
  <c r="BW104" i="1"/>
  <c r="BW80" i="1"/>
  <c r="BW7" i="1"/>
  <c r="BW67" i="1"/>
  <c r="BW71" i="1"/>
  <c r="BW76" i="1"/>
  <c r="BW8" i="1"/>
  <c r="BW11" i="1"/>
  <c r="BW61" i="1"/>
  <c r="BW60" i="1"/>
  <c r="BW130" i="1"/>
  <c r="BW12" i="1"/>
  <c r="BW21" i="1"/>
  <c r="BW109" i="1"/>
  <c r="BW128" i="1"/>
  <c r="BW64" i="1"/>
  <c r="BW41" i="1"/>
  <c r="BW150" i="1"/>
  <c r="BW70" i="1"/>
  <c r="BW29" i="1"/>
  <c r="BW96" i="1"/>
  <c r="BW48" i="1"/>
  <c r="BW105" i="1"/>
  <c r="BW144" i="1"/>
  <c r="BW82" i="1"/>
  <c r="BW112" i="1"/>
  <c r="BW129" i="1"/>
  <c r="BW43" i="1"/>
  <c r="BW63" i="1"/>
  <c r="BW52" i="1"/>
  <c r="BW27" i="1"/>
  <c r="BW40" i="1"/>
  <c r="BW122" i="1"/>
  <c r="BW9" i="1"/>
  <c r="BW114" i="1"/>
  <c r="BW106" i="1"/>
  <c r="BW45" i="1"/>
  <c r="BW135" i="1"/>
  <c r="BW23" i="1"/>
  <c r="BW15" i="1"/>
  <c r="BW35" i="1"/>
  <c r="BW56" i="1"/>
  <c r="BW24" i="1"/>
  <c r="BW146" i="1"/>
  <c r="BW30" i="1"/>
  <c r="BW131" i="1"/>
  <c r="BW83" i="1"/>
  <c r="BW16" i="1"/>
  <c r="BW62" i="1"/>
  <c r="BW124" i="1"/>
  <c r="BW20" i="1"/>
  <c r="BW33" i="1"/>
  <c r="BW142" i="1"/>
  <c r="BW75" i="1"/>
  <c r="BW137" i="1"/>
  <c r="BW87" i="1"/>
  <c r="BW98" i="1"/>
  <c r="BW57" i="1"/>
  <c r="BW117" i="1"/>
  <c r="BW13" i="1"/>
  <c r="BW55" i="1"/>
  <c r="BW121" i="1"/>
  <c r="BW108" i="1"/>
  <c r="BW10" i="1"/>
  <c r="BW136" i="1"/>
  <c r="BW123" i="1"/>
  <c r="BW85" i="1"/>
  <c r="BW97" i="1"/>
  <c r="BW151" i="1"/>
  <c r="BW138" i="1"/>
  <c r="BW101" i="1"/>
  <c r="CF101" i="1"/>
  <c r="CC125" i="1"/>
  <c r="CF5" i="1"/>
  <c r="CH73" i="1"/>
  <c r="CH75" i="1"/>
  <c r="BW118" i="1"/>
  <c r="BW90" i="1"/>
  <c r="CD42" i="1"/>
  <c r="BW116" i="1"/>
  <c r="CA34" i="1"/>
  <c r="BY68" i="1"/>
  <c r="CA66" i="1"/>
  <c r="CD38" i="1"/>
  <c r="CF110" i="1"/>
  <c r="CG14" i="1"/>
  <c r="CB103" i="1"/>
  <c r="BY140" i="1"/>
  <c r="BX126" i="1"/>
  <c r="CH52" i="1"/>
  <c r="BY46" i="1"/>
  <c r="CC99" i="1"/>
  <c r="BY130" i="1"/>
  <c r="CC149" i="1"/>
  <c r="CC118" i="1"/>
  <c r="CH10" i="1"/>
  <c r="BY125" i="1"/>
  <c r="BW22" i="1"/>
  <c r="BX44" i="1"/>
  <c r="BX34" i="1"/>
  <c r="CG3" i="1"/>
  <c r="CB134" i="1"/>
  <c r="CB119" i="1"/>
  <c r="CA89" i="1"/>
  <c r="CD74" i="1"/>
  <c r="CD111" i="1"/>
  <c r="CC34" i="1"/>
  <c r="BW78" i="1"/>
  <c r="CB95" i="1"/>
  <c r="CH106" i="1"/>
  <c r="BY101" i="1"/>
  <c r="CB51" i="1"/>
  <c r="CH16" i="1"/>
  <c r="CF118" i="1"/>
  <c r="BW54" i="1"/>
  <c r="CD101" i="1"/>
  <c r="CG15" i="1"/>
  <c r="BX65" i="1"/>
  <c r="CA65" i="1"/>
  <c r="CH45" i="1"/>
  <c r="BY111" i="1"/>
  <c r="BX141" i="1"/>
  <c r="BW28" i="1"/>
  <c r="BY77" i="1"/>
  <c r="CG66" i="1"/>
  <c r="BY50" i="1"/>
  <c r="CA26" i="1"/>
  <c r="CB113" i="1"/>
  <c r="BX107" i="1"/>
  <c r="CD22" i="1"/>
  <c r="CB81" i="1"/>
  <c r="CH33" i="1"/>
  <c r="CH88" i="1"/>
  <c r="CD44" i="1"/>
  <c r="BY145" i="1"/>
  <c r="CD68" i="1"/>
  <c r="CC26" i="1"/>
  <c r="CF38" i="1"/>
  <c r="CC119" i="1"/>
  <c r="BX110" i="1"/>
  <c r="CD14" i="1"/>
  <c r="CF36" i="1"/>
  <c r="CD99" i="1"/>
  <c r="CF84" i="1"/>
  <c r="CB148" i="1"/>
  <c r="CH27" i="1"/>
  <c r="CF89" i="1"/>
  <c r="CG46" i="1"/>
  <c r="BW74" i="1"/>
  <c r="CD141" i="1"/>
  <c r="CF93" i="1"/>
  <c r="BX101" i="1"/>
  <c r="CA115" i="1"/>
  <c r="CH5" i="1"/>
  <c r="BX72" i="1"/>
  <c r="CH97" i="1"/>
  <c r="CC140" i="1"/>
  <c r="BY31" i="1"/>
  <c r="BX36" i="1"/>
  <c r="CH100" i="1"/>
  <c r="BW65" i="1"/>
  <c r="CG86" i="1"/>
  <c r="CD79" i="1"/>
  <c r="CD143" i="1"/>
  <c r="CD91" i="1"/>
  <c r="CC79" i="1"/>
  <c r="AW80" i="1"/>
  <c r="BR80" i="1"/>
  <c r="AW12" i="1"/>
  <c r="BR12" i="1"/>
  <c r="AW137" i="1"/>
  <c r="BR137" i="1"/>
  <c r="AW45" i="1"/>
  <c r="BR45" i="1"/>
  <c r="AW30" i="1"/>
  <c r="BR30" i="1"/>
  <c r="AW88" i="1"/>
  <c r="BR88" i="1"/>
  <c r="AW67" i="1"/>
  <c r="BR67" i="1"/>
  <c r="AW102" i="1"/>
  <c r="BR102" i="1"/>
  <c r="AV54" i="1"/>
  <c r="BQ54" i="1"/>
  <c r="AV99" i="1"/>
  <c r="BQ99" i="1"/>
  <c r="AW64" i="1"/>
  <c r="BR64" i="1"/>
  <c r="AW27" i="1"/>
  <c r="BR27" i="1"/>
  <c r="AV103" i="1"/>
  <c r="BQ103" i="1"/>
  <c r="AV18" i="1"/>
  <c r="BQ18" i="1"/>
  <c r="AW136" i="1"/>
  <c r="BR136" i="1"/>
  <c r="AW48" i="1"/>
  <c r="BR48" i="1"/>
  <c r="AW94" i="1"/>
  <c r="BR94" i="1"/>
  <c r="AV145" i="1"/>
  <c r="BQ145" i="1"/>
  <c r="AW123" i="1"/>
  <c r="BR123" i="1"/>
  <c r="AW20" i="1"/>
  <c r="BR20" i="1"/>
  <c r="AW62" i="1"/>
  <c r="BR62" i="1"/>
  <c r="AW65" i="1"/>
  <c r="BR65" i="1"/>
  <c r="AW97" i="1"/>
  <c r="BR97" i="1"/>
  <c r="AW120" i="1"/>
  <c r="BR120" i="1"/>
  <c r="AV28" i="1"/>
  <c r="BQ28" i="1"/>
  <c r="AV46" i="1"/>
  <c r="BQ46" i="1"/>
  <c r="AV74" i="1"/>
  <c r="BQ74" i="1"/>
  <c r="AV14" i="1"/>
  <c r="BQ14" i="1"/>
  <c r="AW151" i="1"/>
  <c r="BR151" i="1"/>
  <c r="AW112" i="1"/>
  <c r="BR112" i="1"/>
  <c r="AW10" i="1"/>
  <c r="BR10" i="1"/>
  <c r="AW52" i="1"/>
  <c r="BR52" i="1"/>
  <c r="AW104" i="1"/>
  <c r="BR104" i="1"/>
  <c r="AW73" i="1"/>
  <c r="BR73" i="1"/>
  <c r="AW130" i="1"/>
  <c r="BR130" i="1"/>
  <c r="AW70" i="1"/>
  <c r="BR70" i="1"/>
  <c r="AW16" i="1"/>
  <c r="BR16" i="1"/>
  <c r="AW139" i="1"/>
  <c r="BR139" i="1"/>
  <c r="AV36" i="1"/>
  <c r="BQ36" i="1"/>
  <c r="AW55" i="1"/>
  <c r="BR55" i="1"/>
  <c r="AV91" i="1"/>
  <c r="BQ91" i="1"/>
  <c r="AV90" i="1"/>
  <c r="BQ90" i="1"/>
  <c r="AV34" i="1"/>
  <c r="BQ34" i="1"/>
  <c r="AV140" i="1"/>
  <c r="BQ140" i="1"/>
  <c r="AW115" i="1"/>
  <c r="BR115" i="1"/>
  <c r="AW21" i="1"/>
  <c r="BR21" i="1"/>
  <c r="AV26" i="1"/>
  <c r="BQ26" i="1"/>
  <c r="AW43" i="1"/>
  <c r="BR43" i="1"/>
  <c r="AW51" i="1"/>
  <c r="BR51" i="1"/>
  <c r="AW142" i="1"/>
  <c r="BR142" i="1"/>
  <c r="AW114" i="1"/>
  <c r="BR114" i="1"/>
  <c r="AW101" i="1"/>
  <c r="BR101" i="1"/>
  <c r="AW71" i="1"/>
  <c r="BR71" i="1"/>
  <c r="AW127" i="1"/>
  <c r="BR127" i="1"/>
  <c r="AV19" i="1"/>
  <c r="BQ19" i="1"/>
  <c r="AW83" i="1"/>
  <c r="BR83" i="1"/>
  <c r="AV110" i="1"/>
  <c r="BQ110" i="1"/>
  <c r="AV143" i="1"/>
  <c r="BQ143" i="1"/>
  <c r="AV93" i="1"/>
  <c r="BQ93" i="1"/>
  <c r="AW113" i="1"/>
  <c r="BR113" i="1"/>
  <c r="AW49" i="1"/>
  <c r="BR49" i="1"/>
  <c r="AW105" i="1"/>
  <c r="BR105" i="1"/>
  <c r="AW122" i="1"/>
  <c r="BR122" i="1"/>
  <c r="AW76" i="1"/>
  <c r="BR76" i="1"/>
  <c r="AV38" i="1"/>
  <c r="BQ38" i="1"/>
  <c r="AV50" i="1"/>
  <c r="BQ50" i="1"/>
  <c r="AW5" i="1"/>
  <c r="BR5" i="1"/>
  <c r="AW129" i="1"/>
  <c r="BR129" i="1"/>
  <c r="AW82" i="1"/>
  <c r="BR82" i="1"/>
  <c r="AW85" i="1"/>
  <c r="BR85" i="1"/>
  <c r="AV118" i="1"/>
  <c r="BQ118" i="1"/>
  <c r="AW40" i="1"/>
  <c r="BR40" i="1"/>
  <c r="AV22" i="1"/>
  <c r="BQ22" i="1"/>
  <c r="AW109" i="1"/>
  <c r="BR109" i="1"/>
  <c r="AV132" i="1"/>
  <c r="BQ132" i="1"/>
  <c r="AW108" i="1"/>
  <c r="BR108" i="1"/>
  <c r="AW128" i="1"/>
  <c r="BR128" i="1"/>
  <c r="AW117" i="1"/>
  <c r="BR117" i="1"/>
  <c r="AW29" i="1"/>
  <c r="BR29" i="1"/>
  <c r="AV31" i="1"/>
  <c r="BQ31" i="1"/>
  <c r="AW87" i="1"/>
  <c r="BR87" i="1"/>
  <c r="AV77" i="1"/>
  <c r="BQ77" i="1"/>
  <c r="AW17" i="1"/>
  <c r="BR17" i="1"/>
  <c r="AV92" i="1"/>
  <c r="BQ92" i="1"/>
  <c r="AV134" i="1"/>
  <c r="BQ134" i="1"/>
  <c r="AV95" i="1"/>
  <c r="BQ95" i="1"/>
  <c r="AW23" i="1"/>
  <c r="BR23" i="1"/>
  <c r="AV72" i="1"/>
  <c r="BQ72" i="1"/>
  <c r="AW75" i="1"/>
  <c r="BR75" i="1"/>
  <c r="AW13" i="1"/>
  <c r="BR13" i="1"/>
  <c r="AV84" i="1"/>
  <c r="BQ84" i="1"/>
  <c r="AV152" i="1"/>
  <c r="BQ152" i="1"/>
  <c r="AW96" i="1"/>
  <c r="BR96" i="1"/>
  <c r="AW100" i="1"/>
  <c r="BR100" i="1"/>
  <c r="AW121" i="1"/>
  <c r="BR121" i="1"/>
  <c r="AW98" i="1"/>
  <c r="BR98" i="1"/>
  <c r="AW60" i="1"/>
  <c r="BR60" i="1"/>
  <c r="AW135" i="1"/>
  <c r="BR135" i="1"/>
  <c r="AW4" i="1"/>
  <c r="BR4" i="1"/>
  <c r="AW81" i="1"/>
  <c r="BR81" i="1"/>
  <c r="AW35" i="1"/>
  <c r="BR35" i="1"/>
  <c r="AW79" i="1"/>
  <c r="BR79" i="1"/>
  <c r="AW8" i="1"/>
  <c r="BR8" i="1"/>
  <c r="AW25" i="1"/>
  <c r="BR25" i="1"/>
  <c r="AW32" i="1"/>
  <c r="BR32" i="1"/>
  <c r="AW146" i="1"/>
  <c r="BR146" i="1"/>
  <c r="AW47" i="1"/>
  <c r="BR47" i="1"/>
  <c r="AW53" i="1"/>
  <c r="BR53" i="1"/>
  <c r="AV125" i="1"/>
  <c r="BQ125" i="1"/>
  <c r="AV3" i="1"/>
  <c r="BQ154" i="1"/>
  <c r="CI80" i="1" s="1"/>
  <c r="BQ3" i="1"/>
  <c r="AW33" i="1"/>
  <c r="BR33" i="1"/>
  <c r="AW144" i="1"/>
  <c r="BR144" i="1"/>
  <c r="AW7" i="1"/>
  <c r="BR7" i="1"/>
  <c r="AW138" i="1"/>
  <c r="BR138" i="1"/>
  <c r="AV68" i="1"/>
  <c r="BQ68" i="1"/>
  <c r="AW39" i="1"/>
  <c r="BR39" i="1"/>
  <c r="AW131" i="1"/>
  <c r="BR131" i="1"/>
  <c r="AV42" i="1"/>
  <c r="BQ42" i="1"/>
  <c r="AV119" i="1"/>
  <c r="BQ119" i="1"/>
  <c r="AV66" i="1"/>
  <c r="BQ66" i="1"/>
  <c r="AW106" i="1"/>
  <c r="BR106" i="1"/>
  <c r="AW9" i="1"/>
  <c r="BR9" i="1"/>
  <c r="AV89" i="1"/>
  <c r="BQ89" i="1"/>
  <c r="AW149" i="1"/>
  <c r="BR149" i="1"/>
  <c r="AV107" i="1"/>
  <c r="BQ107" i="1"/>
  <c r="AW15" i="1"/>
  <c r="BR15" i="1"/>
  <c r="AV141" i="1"/>
  <c r="BQ141" i="1"/>
  <c r="AV133" i="1"/>
  <c r="CI133" i="1" s="1"/>
  <c r="BQ133" i="1"/>
  <c r="AW150" i="1"/>
  <c r="BR150" i="1"/>
  <c r="AW63" i="1"/>
  <c r="BR63" i="1"/>
  <c r="AV44" i="1"/>
  <c r="BQ44" i="1"/>
  <c r="AV78" i="1"/>
  <c r="CI78" i="1" s="1"/>
  <c r="BQ78" i="1"/>
  <c r="AV86" i="1"/>
  <c r="BQ86" i="1"/>
  <c r="AW11" i="1"/>
  <c r="BR11" i="1"/>
  <c r="AW56" i="1"/>
  <c r="BR56" i="1"/>
  <c r="AW69" i="1"/>
  <c r="BR69" i="1"/>
  <c r="AW61" i="1"/>
  <c r="BR61" i="1"/>
  <c r="AW24" i="1"/>
  <c r="BR24" i="1"/>
  <c r="AV116" i="1"/>
  <c r="BQ116" i="1"/>
  <c r="AV126" i="1"/>
  <c r="CI126" i="1" s="1"/>
  <c r="BQ126" i="1"/>
  <c r="AV37" i="1"/>
  <c r="BQ37" i="1"/>
  <c r="AV111" i="1"/>
  <c r="BQ111" i="1"/>
  <c r="CI37" i="1" l="1"/>
  <c r="CI86" i="1"/>
  <c r="CA154" i="1"/>
  <c r="CI125" i="1"/>
  <c r="CI134" i="1"/>
  <c r="CI22" i="1"/>
  <c r="CI38" i="1"/>
  <c r="CI110" i="1"/>
  <c r="CI91" i="1"/>
  <c r="CI28" i="1"/>
  <c r="CI103" i="1"/>
  <c r="CI54" i="1"/>
  <c r="BY154" i="1"/>
  <c r="CI39" i="1"/>
  <c r="CI127" i="1"/>
  <c r="CI112" i="1"/>
  <c r="CF154" i="1"/>
  <c r="CI108" i="1"/>
  <c r="CI105" i="1"/>
  <c r="CI12" i="1"/>
  <c r="CI42" i="1"/>
  <c r="CI148" i="1"/>
  <c r="CI3" i="1"/>
  <c r="CI95" i="1"/>
  <c r="CI77" i="1"/>
  <c r="CI50" i="1"/>
  <c r="CI143" i="1"/>
  <c r="CI90" i="1"/>
  <c r="CI46" i="1"/>
  <c r="CI145" i="1"/>
  <c r="CI18" i="1"/>
  <c r="CI99" i="1"/>
  <c r="CI113" i="1"/>
  <c r="CI53" i="1"/>
  <c r="CI101" i="1"/>
  <c r="CI45" i="1"/>
  <c r="BS135" i="1"/>
  <c r="BS85" i="1"/>
  <c r="BS21" i="1"/>
  <c r="BS69" i="1"/>
  <c r="CI107" i="1"/>
  <c r="BS106" i="1"/>
  <c r="BS131" i="1"/>
  <c r="BS7" i="1"/>
  <c r="CI138" i="1"/>
  <c r="CI43" i="1"/>
  <c r="CI23" i="1"/>
  <c r="CI82" i="1"/>
  <c r="CI49" i="1"/>
  <c r="CB154" i="1"/>
  <c r="CD154" i="1"/>
  <c r="CI60" i="1"/>
  <c r="CI83" i="1"/>
  <c r="CI13" i="1"/>
  <c r="CI151" i="1"/>
  <c r="CI15" i="1"/>
  <c r="CI123" i="1"/>
  <c r="BS13" i="1"/>
  <c r="BS109" i="1"/>
  <c r="BS142" i="1"/>
  <c r="BS96" i="1"/>
  <c r="BS71" i="1"/>
  <c r="BW154" i="1"/>
  <c r="CI144" i="1"/>
  <c r="CI109" i="1"/>
  <c r="CI129" i="1"/>
  <c r="CI55" i="1"/>
  <c r="CI139" i="1"/>
  <c r="CI120" i="1"/>
  <c r="CE154" i="1"/>
  <c r="BS128" i="1"/>
  <c r="BS82" i="1"/>
  <c r="BS49" i="1"/>
  <c r="BS104" i="1"/>
  <c r="BS151" i="1"/>
  <c r="BS62" i="1"/>
  <c r="BS80" i="1"/>
  <c r="CI116" i="1"/>
  <c r="BS56" i="1"/>
  <c r="CI44" i="1"/>
  <c r="AW148" i="1"/>
  <c r="BS149" i="1"/>
  <c r="CI66" i="1"/>
  <c r="BS39" i="1"/>
  <c r="BS144" i="1"/>
  <c r="CI51" i="1"/>
  <c r="CI24" i="1"/>
  <c r="CI63" i="1"/>
  <c r="CI149" i="1"/>
  <c r="CH154" i="1"/>
  <c r="CI87" i="1"/>
  <c r="CI5" i="1"/>
  <c r="CI100" i="1"/>
  <c r="CI146" i="1"/>
  <c r="CI25" i="1"/>
  <c r="CI97" i="1"/>
  <c r="CI73" i="1"/>
  <c r="CI67" i="1"/>
  <c r="CI152" i="1"/>
  <c r="CI72" i="1"/>
  <c r="CI92" i="1"/>
  <c r="CI31" i="1"/>
  <c r="BS108" i="1"/>
  <c r="BS40" i="1"/>
  <c r="BS129" i="1"/>
  <c r="BS76" i="1"/>
  <c r="BS113" i="1"/>
  <c r="BS83" i="1"/>
  <c r="BS101" i="1"/>
  <c r="BS43" i="1"/>
  <c r="CI140" i="1"/>
  <c r="BS55" i="1"/>
  <c r="BS70" i="1"/>
  <c r="BS52" i="1"/>
  <c r="CI14" i="1"/>
  <c r="BS120" i="1"/>
  <c r="BS20" i="1"/>
  <c r="BS48" i="1"/>
  <c r="BS27" i="1"/>
  <c r="BS102" i="1"/>
  <c r="BS45" i="1"/>
  <c r="CG154" i="1"/>
  <c r="CI130" i="1"/>
  <c r="CI7" i="1"/>
  <c r="CI61" i="1"/>
  <c r="CI150" i="1"/>
  <c r="CI79" i="1"/>
  <c r="CI40" i="1"/>
  <c r="CI98" i="1"/>
  <c r="CI71" i="1"/>
  <c r="CI114" i="1"/>
  <c r="CI70" i="1"/>
  <c r="CI65" i="1"/>
  <c r="CI104" i="1"/>
  <c r="CI136" i="1"/>
  <c r="CI137" i="1"/>
  <c r="BS146" i="1"/>
  <c r="BS100" i="1"/>
  <c r="BS117" i="1"/>
  <c r="BS105" i="1"/>
  <c r="BS73" i="1"/>
  <c r="BS65" i="1"/>
  <c r="BR148" i="1"/>
  <c r="BS35" i="1"/>
  <c r="BS75" i="1"/>
  <c r="BS115" i="1"/>
  <c r="BS94" i="1"/>
  <c r="BS30" i="1"/>
  <c r="BS53" i="1"/>
  <c r="BS25" i="1"/>
  <c r="BS81" i="1"/>
  <c r="BS98" i="1"/>
  <c r="CI111" i="1"/>
  <c r="BS24" i="1"/>
  <c r="BS11" i="1"/>
  <c r="BS63" i="1"/>
  <c r="CI141" i="1"/>
  <c r="CI89" i="1"/>
  <c r="CI119" i="1"/>
  <c r="CI68" i="1"/>
  <c r="BS33" i="1"/>
  <c r="CI33" i="1"/>
  <c r="CI69" i="1"/>
  <c r="CC154" i="1"/>
  <c r="CI106" i="1"/>
  <c r="CI81" i="1"/>
  <c r="CI29" i="1"/>
  <c r="CI75" i="1"/>
  <c r="CI62" i="1"/>
  <c r="CI27" i="1"/>
  <c r="CI64" i="1"/>
  <c r="CI48" i="1"/>
  <c r="BS60" i="1"/>
  <c r="BS87" i="1"/>
  <c r="BS51" i="1"/>
  <c r="BS16" i="1"/>
  <c r="BS47" i="1"/>
  <c r="BS8" i="1"/>
  <c r="BS4" i="1"/>
  <c r="BS121" i="1"/>
  <c r="CI84" i="1"/>
  <c r="BS23" i="1"/>
  <c r="BS17" i="1"/>
  <c r="BS29" i="1"/>
  <c r="CI132" i="1"/>
  <c r="CI118" i="1"/>
  <c r="BS5" i="1"/>
  <c r="BS122" i="1"/>
  <c r="CI93" i="1"/>
  <c r="CI19" i="1"/>
  <c r="BS114" i="1"/>
  <c r="CI26" i="1"/>
  <c r="CI34" i="1"/>
  <c r="CI36" i="1"/>
  <c r="BS130" i="1"/>
  <c r="BS10" i="1"/>
  <c r="CI74" i="1"/>
  <c r="BS97" i="1"/>
  <c r="BS123" i="1"/>
  <c r="BS136" i="1"/>
  <c r="BS64" i="1"/>
  <c r="BS67" i="1"/>
  <c r="BS137" i="1"/>
  <c r="CI9" i="1"/>
  <c r="CI8" i="1"/>
  <c r="CI135" i="1"/>
  <c r="CI56" i="1"/>
  <c r="CI4" i="1"/>
  <c r="BX154" i="1"/>
  <c r="CI117" i="1"/>
  <c r="CI76" i="1"/>
  <c r="CI96" i="1"/>
  <c r="CI16" i="1"/>
  <c r="CI52" i="1"/>
  <c r="CI20" i="1"/>
  <c r="CI102" i="1"/>
  <c r="BS79" i="1"/>
  <c r="BS127" i="1"/>
  <c r="BS139" i="1"/>
  <c r="BS112" i="1"/>
  <c r="BS88" i="1"/>
  <c r="BS12" i="1"/>
  <c r="BS32" i="1"/>
  <c r="BS61" i="1"/>
  <c r="BS150" i="1"/>
  <c r="BS15" i="1"/>
  <c r="BS9" i="1"/>
  <c r="BS138" i="1"/>
  <c r="BQ155" i="1"/>
  <c r="CI147" i="1"/>
  <c r="CI6" i="1"/>
  <c r="CI59" i="1"/>
  <c r="CI58" i="1"/>
  <c r="CI41" i="1"/>
  <c r="CI124" i="1"/>
  <c r="CI57" i="1"/>
  <c r="CI35" i="1"/>
  <c r="CI11" i="1"/>
  <c r="CI131" i="1"/>
  <c r="CI17" i="1"/>
  <c r="CI128" i="1"/>
  <c r="CI122" i="1"/>
  <c r="CI21" i="1"/>
  <c r="CI121" i="1"/>
  <c r="CI47" i="1"/>
  <c r="CI32" i="1"/>
  <c r="CI142" i="1"/>
  <c r="CI10" i="1"/>
  <c r="CI30" i="1"/>
  <c r="CI88" i="1"/>
  <c r="BZ154" i="1"/>
  <c r="CI94" i="1"/>
  <c r="AW89" i="1"/>
  <c r="BR89" i="1"/>
  <c r="AW68" i="1"/>
  <c r="BR68" i="1"/>
  <c r="AW116" i="1"/>
  <c r="BR116" i="1"/>
  <c r="AW44" i="1"/>
  <c r="BR44" i="1"/>
  <c r="AW66" i="1"/>
  <c r="BR66" i="1"/>
  <c r="AW152" i="1"/>
  <c r="BR152" i="1"/>
  <c r="AW72" i="1"/>
  <c r="BR72" i="1"/>
  <c r="AW92" i="1"/>
  <c r="BR92" i="1"/>
  <c r="AW31" i="1"/>
  <c r="BR31" i="1"/>
  <c r="AW140" i="1"/>
  <c r="BR140" i="1"/>
  <c r="AW14" i="1"/>
  <c r="BR14" i="1"/>
  <c r="AW111" i="1"/>
  <c r="BR111" i="1"/>
  <c r="AW141" i="1"/>
  <c r="BR141" i="1"/>
  <c r="AW118" i="1"/>
  <c r="BR118" i="1"/>
  <c r="AW93" i="1"/>
  <c r="BR93" i="1"/>
  <c r="AW34" i="1"/>
  <c r="BR34" i="1"/>
  <c r="AW36" i="1"/>
  <c r="BR36" i="1"/>
  <c r="AW74" i="1"/>
  <c r="BR74" i="1"/>
  <c r="AW37" i="1"/>
  <c r="BR37" i="1"/>
  <c r="AW86" i="1"/>
  <c r="BR86" i="1"/>
  <c r="AW42" i="1"/>
  <c r="BR42" i="1"/>
  <c r="AW132" i="1"/>
  <c r="BR132" i="1"/>
  <c r="AW19" i="1"/>
  <c r="BR19" i="1"/>
  <c r="AW3" i="1"/>
  <c r="BR3" i="1"/>
  <c r="BR154" i="1"/>
  <c r="AW95" i="1"/>
  <c r="BR95" i="1"/>
  <c r="AW77" i="1"/>
  <c r="BR77" i="1"/>
  <c r="AW50" i="1"/>
  <c r="BR50" i="1"/>
  <c r="AW143" i="1"/>
  <c r="BR143" i="1"/>
  <c r="AW90" i="1"/>
  <c r="BR90" i="1"/>
  <c r="AW46" i="1"/>
  <c r="BR46" i="1"/>
  <c r="AW145" i="1"/>
  <c r="BR145" i="1"/>
  <c r="AW18" i="1"/>
  <c r="BR18" i="1"/>
  <c r="AW99" i="1"/>
  <c r="BR99" i="1"/>
  <c r="AW119" i="1"/>
  <c r="BR119" i="1"/>
  <c r="AW84" i="1"/>
  <c r="BR84" i="1"/>
  <c r="AW26" i="1"/>
  <c r="BR26" i="1"/>
  <c r="AW126" i="1"/>
  <c r="BR126" i="1"/>
  <c r="AW78" i="1"/>
  <c r="BR78" i="1"/>
  <c r="AW133" i="1"/>
  <c r="BR133" i="1"/>
  <c r="AW107" i="1"/>
  <c r="BR107" i="1"/>
  <c r="AW125" i="1"/>
  <c r="BR125" i="1"/>
  <c r="AW134" i="1"/>
  <c r="BR134" i="1"/>
  <c r="AW22" i="1"/>
  <c r="BR22" i="1"/>
  <c r="AW38" i="1"/>
  <c r="BR38" i="1"/>
  <c r="AW110" i="1"/>
  <c r="BR110" i="1"/>
  <c r="AW91" i="1"/>
  <c r="BR91" i="1"/>
  <c r="AW28" i="1"/>
  <c r="BR28" i="1"/>
  <c r="AW103" i="1"/>
  <c r="BR103" i="1"/>
  <c r="AW54" i="1"/>
  <c r="BR54" i="1"/>
  <c r="CI154" i="1" l="1"/>
  <c r="BR155" i="1"/>
  <c r="CJ59" i="1"/>
  <c r="CJ57" i="1"/>
  <c r="CJ41" i="1"/>
  <c r="CJ6" i="1"/>
  <c r="CJ124" i="1"/>
  <c r="CJ147" i="1"/>
  <c r="CJ58" i="1"/>
  <c r="CJ87" i="1"/>
  <c r="CJ115" i="1"/>
  <c r="CJ48" i="1"/>
  <c r="BS141" i="1"/>
  <c r="CJ141" i="1"/>
  <c r="CJ67" i="1"/>
  <c r="CJ97" i="1"/>
  <c r="CJ5" i="1"/>
  <c r="CJ23" i="1"/>
  <c r="CJ24" i="1"/>
  <c r="CJ73" i="1"/>
  <c r="CJ146" i="1"/>
  <c r="CJ70" i="1"/>
  <c r="CJ39" i="1"/>
  <c r="CJ104" i="1"/>
  <c r="CJ71" i="1"/>
  <c r="CJ13" i="1"/>
  <c r="CJ7" i="1"/>
  <c r="CJ88" i="1"/>
  <c r="CJ69" i="1"/>
  <c r="BS103" i="1"/>
  <c r="CJ103" i="1"/>
  <c r="BS26" i="1"/>
  <c r="CJ26" i="1"/>
  <c r="BS31" i="1"/>
  <c r="CJ31" i="1"/>
  <c r="BS89" i="1"/>
  <c r="CJ89" i="1"/>
  <c r="CJ3" i="1"/>
  <c r="CJ138" i="1"/>
  <c r="CJ112" i="1"/>
  <c r="CJ60" i="1"/>
  <c r="CJ53" i="1"/>
  <c r="CJ45" i="1"/>
  <c r="CJ20" i="1"/>
  <c r="CJ83" i="1"/>
  <c r="CJ40" i="1"/>
  <c r="BS28" i="1"/>
  <c r="CJ28" i="1"/>
  <c r="BS145" i="1"/>
  <c r="CJ145" i="1"/>
  <c r="CJ114" i="1"/>
  <c r="CJ105" i="1"/>
  <c r="CJ131" i="1"/>
  <c r="BS19" i="1"/>
  <c r="CJ19" i="1"/>
  <c r="CJ9" i="1"/>
  <c r="CJ32" i="1"/>
  <c r="CJ139" i="1"/>
  <c r="CJ10" i="1"/>
  <c r="CJ121" i="1"/>
  <c r="CJ16" i="1"/>
  <c r="CJ98" i="1"/>
  <c r="CJ30" i="1"/>
  <c r="CJ35" i="1"/>
  <c r="CJ102" i="1"/>
  <c r="CJ120" i="1"/>
  <c r="CJ113" i="1"/>
  <c r="CJ108" i="1"/>
  <c r="CJ149" i="1"/>
  <c r="CJ85" i="1"/>
  <c r="CJ79" i="1"/>
  <c r="CJ101" i="1"/>
  <c r="CJ56" i="1"/>
  <c r="BS38" i="1"/>
  <c r="CJ38" i="1"/>
  <c r="BS143" i="1"/>
  <c r="CJ143" i="1"/>
  <c r="BS42" i="1"/>
  <c r="CJ42" i="1"/>
  <c r="BS66" i="1"/>
  <c r="CJ66" i="1"/>
  <c r="CJ61" i="1"/>
  <c r="CJ47" i="1"/>
  <c r="CJ75" i="1"/>
  <c r="CJ21" i="1"/>
  <c r="BS22" i="1"/>
  <c r="CJ22" i="1"/>
  <c r="BS133" i="1"/>
  <c r="CJ133" i="1"/>
  <c r="BS84" i="1"/>
  <c r="CJ84" i="1"/>
  <c r="BS50" i="1"/>
  <c r="CJ50" i="1"/>
  <c r="BS86" i="1"/>
  <c r="CJ86" i="1"/>
  <c r="BS34" i="1"/>
  <c r="CJ34" i="1"/>
  <c r="BS111" i="1"/>
  <c r="CJ111" i="1"/>
  <c r="BS92" i="1"/>
  <c r="CJ92" i="1"/>
  <c r="BS44" i="1"/>
  <c r="CJ44" i="1"/>
  <c r="CJ64" i="1"/>
  <c r="CJ55" i="1"/>
  <c r="CJ80" i="1"/>
  <c r="CJ49" i="1"/>
  <c r="CJ96" i="1"/>
  <c r="BS91" i="1"/>
  <c r="CJ91" i="1"/>
  <c r="BS134" i="1"/>
  <c r="CJ134" i="1"/>
  <c r="BS78" i="1"/>
  <c r="CJ78" i="1"/>
  <c r="BS119" i="1"/>
  <c r="CJ119" i="1"/>
  <c r="BS46" i="1"/>
  <c r="CJ46" i="1"/>
  <c r="BS77" i="1"/>
  <c r="CJ77" i="1"/>
  <c r="BS37" i="1"/>
  <c r="CJ37" i="1"/>
  <c r="BS93" i="1"/>
  <c r="CJ93" i="1"/>
  <c r="BS14" i="1"/>
  <c r="CJ14" i="1"/>
  <c r="BS72" i="1"/>
  <c r="CJ72" i="1"/>
  <c r="BS116" i="1"/>
  <c r="CJ116" i="1"/>
  <c r="CJ136" i="1"/>
  <c r="CJ29" i="1"/>
  <c r="CJ63" i="1"/>
  <c r="CJ117" i="1"/>
  <c r="CJ62" i="1"/>
  <c r="CJ82" i="1"/>
  <c r="CJ142" i="1"/>
  <c r="CJ106" i="1"/>
  <c r="CJ150" i="1"/>
  <c r="CJ8" i="1"/>
  <c r="CJ25" i="1"/>
  <c r="CJ129" i="1"/>
  <c r="BS107" i="1"/>
  <c r="CJ107" i="1"/>
  <c r="BS18" i="1"/>
  <c r="CJ18" i="1"/>
  <c r="BS36" i="1"/>
  <c r="CJ36" i="1"/>
  <c r="BS132" i="1"/>
  <c r="CJ132" i="1"/>
  <c r="CJ15" i="1"/>
  <c r="CJ12" i="1"/>
  <c r="CJ127" i="1"/>
  <c r="CJ130" i="1"/>
  <c r="CJ4" i="1"/>
  <c r="CJ51" i="1"/>
  <c r="CJ81" i="1"/>
  <c r="CJ94" i="1"/>
  <c r="CJ27" i="1"/>
  <c r="CJ43" i="1"/>
  <c r="CJ76" i="1"/>
  <c r="BS148" i="1"/>
  <c r="CJ148" i="1"/>
  <c r="CJ135" i="1"/>
  <c r="BS54" i="1"/>
  <c r="CJ54" i="1"/>
  <c r="BS110" i="1"/>
  <c r="CJ110" i="1"/>
  <c r="BS125" i="1"/>
  <c r="CJ125" i="1"/>
  <c r="BS126" i="1"/>
  <c r="CJ126" i="1"/>
  <c r="BS99" i="1"/>
  <c r="CJ99" i="1"/>
  <c r="BS90" i="1"/>
  <c r="CJ90" i="1"/>
  <c r="BS95" i="1"/>
  <c r="CJ95" i="1"/>
  <c r="BS74" i="1"/>
  <c r="CJ74" i="1"/>
  <c r="BS118" i="1"/>
  <c r="CJ118" i="1"/>
  <c r="BS140" i="1"/>
  <c r="CJ140" i="1"/>
  <c r="BS152" i="1"/>
  <c r="CJ152" i="1"/>
  <c r="BS68" i="1"/>
  <c r="CJ68" i="1"/>
  <c r="CJ137" i="1"/>
  <c r="CJ123" i="1"/>
  <c r="CJ122" i="1"/>
  <c r="CJ17" i="1"/>
  <c r="CJ33" i="1"/>
  <c r="CJ11" i="1"/>
  <c r="CJ65" i="1"/>
  <c r="CJ100" i="1"/>
  <c r="CJ52" i="1"/>
  <c r="CJ144" i="1"/>
  <c r="CJ151" i="1"/>
  <c r="CJ128" i="1"/>
  <c r="CJ109" i="1"/>
  <c r="BS154" i="1"/>
  <c r="BS3" i="1"/>
  <c r="CJ154" i="1" l="1"/>
  <c r="BS155" i="1"/>
</calcChain>
</file>

<file path=xl/sharedStrings.xml><?xml version="1.0" encoding="utf-8"?>
<sst xmlns="http://schemas.openxmlformats.org/spreadsheetml/2006/main" count="1291" uniqueCount="618">
  <si>
    <t>Cod_producto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</si>
  <si>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</si>
  <si>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</si>
  <si>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</si>
  <si>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</si>
  <si>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</si>
  <si>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</si>
  <si>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</si>
  <si>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</si>
  <si>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</si>
  <si>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</si>
  <si>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</si>
  <si>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</si>
  <si>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C1010.21111</t>
  </si>
  <si>
    <t>C1010.21113</t>
  </si>
  <si>
    <t>C1010.21119</t>
  </si>
  <si>
    <t>C1010.21121</t>
  </si>
  <si>
    <t>C1010.21160</t>
  </si>
  <si>
    <t>C1010.21174</t>
  </si>
  <si>
    <t>C1030.21311</t>
  </si>
  <si>
    <t>C1030.21395</t>
  </si>
  <si>
    <t>C1030.21399</t>
  </si>
  <si>
    <t>C1030.21431</t>
  </si>
  <si>
    <t>C1030.21435</t>
  </si>
  <si>
    <t>C1030.21439</t>
  </si>
  <si>
    <t>C1030.21491</t>
  </si>
  <si>
    <t>C1030.21492</t>
  </si>
  <si>
    <t>C1030.21493</t>
  </si>
  <si>
    <t>C1030.21494</t>
  </si>
  <si>
    <t>C1030.21495</t>
  </si>
  <si>
    <t>C1030.21499</t>
  </si>
  <si>
    <t>C1040.21535</t>
  </si>
  <si>
    <t>C1040.21539</t>
  </si>
  <si>
    <t>C1040.21545</t>
  </si>
  <si>
    <t>C1040.21549</t>
  </si>
  <si>
    <t>C1050.22110</t>
  </si>
  <si>
    <t>C1050.22120</t>
  </si>
  <si>
    <t>C1050.22251</t>
  </si>
  <si>
    <t>C1050.22260</t>
  </si>
  <si>
    <t>C1050.22270</t>
  </si>
  <si>
    <t>C1050.22290</t>
  </si>
  <si>
    <t>C1061.23110</t>
  </si>
  <si>
    <t>C1061.23130</t>
  </si>
  <si>
    <t>C1061.23140A</t>
  </si>
  <si>
    <t>C1061.23140B</t>
  </si>
  <si>
    <t>C1061.23161</t>
  </si>
  <si>
    <t>C1071.23420</t>
  </si>
  <si>
    <t>C1071.23430</t>
  </si>
  <si>
    <t>C1071.23490A</t>
  </si>
  <si>
    <t>C1071.23490B</t>
  </si>
  <si>
    <t>C1072.23511</t>
  </si>
  <si>
    <t>C1072.23520</t>
  </si>
  <si>
    <t>C1073.23650</t>
  </si>
  <si>
    <t>C1073.23660</t>
  </si>
  <si>
    <t>C1073.23670</t>
  </si>
  <si>
    <t>C1074.23710</t>
  </si>
  <si>
    <t>C1079.23911</t>
  </si>
  <si>
    <t>C1079.23912</t>
  </si>
  <si>
    <t>C1079.23921</t>
  </si>
  <si>
    <t>C1079.23992</t>
  </si>
  <si>
    <t>C1079.23995</t>
  </si>
  <si>
    <t>C1079.23996</t>
  </si>
  <si>
    <t>C1079.23999</t>
  </si>
  <si>
    <t>C1080.23311</t>
  </si>
  <si>
    <t>C1080.23319</t>
  </si>
  <si>
    <t>C1103.24310</t>
  </si>
  <si>
    <t>C1104.24410</t>
  </si>
  <si>
    <t>C1311.26360</t>
  </si>
  <si>
    <t>C1311.26420</t>
  </si>
  <si>
    <t>C1312.26610</t>
  </si>
  <si>
    <t>C1312.26690</t>
  </si>
  <si>
    <t>C1312.26720</t>
  </si>
  <si>
    <t>C1312.26730</t>
  </si>
  <si>
    <t>C1392.27120</t>
  </si>
  <si>
    <t>C1392.27180</t>
  </si>
  <si>
    <t>C1392.27190</t>
  </si>
  <si>
    <t>C1399.27911</t>
  </si>
  <si>
    <t>C1410.28221</t>
  </si>
  <si>
    <t>C1410.28222</t>
  </si>
  <si>
    <t>C1410.28224</t>
  </si>
  <si>
    <t>C1410.28225</t>
  </si>
  <si>
    <t>C1410.28231</t>
  </si>
  <si>
    <t>C1410.28232</t>
  </si>
  <si>
    <t>C1410.28233</t>
  </si>
  <si>
    <t>C1410.28234</t>
  </si>
  <si>
    <t>C1410.88221</t>
  </si>
  <si>
    <t>C1410.88223</t>
  </si>
  <si>
    <t>C1520.29320</t>
  </si>
  <si>
    <t>C1520.29330</t>
  </si>
  <si>
    <t>C1520.29490</t>
  </si>
  <si>
    <t>C1610.31100</t>
  </si>
  <si>
    <t>C1610.31210</t>
  </si>
  <si>
    <t>C1610.31310</t>
  </si>
  <si>
    <t>C1621.31420</t>
  </si>
  <si>
    <t>C1621.31430</t>
  </si>
  <si>
    <t>C1621.31440</t>
  </si>
  <si>
    <t>C1622.31600</t>
  </si>
  <si>
    <t>C1702.32153</t>
  </si>
  <si>
    <t>C1709.32193</t>
  </si>
  <si>
    <t>C1709.32199</t>
  </si>
  <si>
    <t>C1709.32700</t>
  </si>
  <si>
    <t>C1811.32690</t>
  </si>
  <si>
    <t>C2011.24110</t>
  </si>
  <si>
    <t>C2011.34210</t>
  </si>
  <si>
    <t>C2011.34240</t>
  </si>
  <si>
    <t>C2011.34310</t>
  </si>
  <si>
    <t>C2011.34340</t>
  </si>
  <si>
    <t>C2012.34641</t>
  </si>
  <si>
    <t>C2012.34644</t>
  </si>
  <si>
    <t>C2012.34649</t>
  </si>
  <si>
    <t>C2012.34659</t>
  </si>
  <si>
    <t>C2021.34661</t>
  </si>
  <si>
    <t>C2021.34663</t>
  </si>
  <si>
    <t>C2022.35110</t>
  </si>
  <si>
    <t>C2023.35321</t>
  </si>
  <si>
    <t>C2023.35322</t>
  </si>
  <si>
    <t>C2023.35323</t>
  </si>
  <si>
    <t>C2029.35420</t>
  </si>
  <si>
    <t>C2029.35450</t>
  </si>
  <si>
    <t>C2029.35460</t>
  </si>
  <si>
    <t>C2029.35490</t>
  </si>
  <si>
    <t>C2029.38998</t>
  </si>
  <si>
    <t>C2100.35260</t>
  </si>
  <si>
    <t>C2100.35270</t>
  </si>
  <si>
    <t>C2220.36320</t>
  </si>
  <si>
    <t>C2220.36410</t>
  </si>
  <si>
    <t>C2220.36490</t>
  </si>
  <si>
    <t>C2220.36920</t>
  </si>
  <si>
    <t>C2220.36950</t>
  </si>
  <si>
    <t>C2220.36990</t>
  </si>
  <si>
    <t>C2310.37191</t>
  </si>
  <si>
    <t>C2392.37210</t>
  </si>
  <si>
    <t>C2392.37350</t>
  </si>
  <si>
    <t>C2392.37370</t>
  </si>
  <si>
    <t>C2394.37440</t>
  </si>
  <si>
    <t>C2395.37510</t>
  </si>
  <si>
    <t>C2395.37540</t>
  </si>
  <si>
    <t>C2410.41211</t>
  </si>
  <si>
    <t>C2410.41231</t>
  </si>
  <si>
    <t>C2410.41241</t>
  </si>
  <si>
    <t>C2410.41242</t>
  </si>
  <si>
    <t>C2410.41251</t>
  </si>
  <si>
    <t>C2410.41262</t>
  </si>
  <si>
    <t>C2410.41283</t>
  </si>
  <si>
    <t>C2511.42190</t>
  </si>
  <si>
    <t>C2512.42210</t>
  </si>
  <si>
    <t>C2599.42912</t>
  </si>
  <si>
    <t>C2599.42931</t>
  </si>
  <si>
    <t>C2599.42945</t>
  </si>
  <si>
    <t>C2599.42993</t>
  </si>
  <si>
    <t>C2819.43913</t>
  </si>
  <si>
    <t>C2819.87310</t>
  </si>
  <si>
    <t>C2821.44160</t>
  </si>
  <si>
    <t>C2920.49229</t>
  </si>
  <si>
    <t>C2930.49129</t>
  </si>
  <si>
    <t>C3100.38122</t>
  </si>
  <si>
    <t>C3100.38140</t>
  </si>
  <si>
    <t>C3100.38150</t>
  </si>
  <si>
    <t>C3211.38240</t>
  </si>
  <si>
    <t>C3212.38997</t>
  </si>
  <si>
    <t>Enero.2024</t>
  </si>
  <si>
    <t>Promedio</t>
  </si>
  <si>
    <t>Factor</t>
  </si>
  <si>
    <t>Enero.2025</t>
  </si>
  <si>
    <t>21111</t>
  </si>
  <si>
    <t>Carne de ganado bovino, fresca o refrigerada</t>
  </si>
  <si>
    <t>21113</t>
  </si>
  <si>
    <t>Carne de cerdo, fresca o refrigerada</t>
  </si>
  <si>
    <t>21119</t>
  </si>
  <si>
    <t>Otras carnes de mamíferos, fresca o refrigerada</t>
  </si>
  <si>
    <t>21121</t>
  </si>
  <si>
    <t>Carne de pollo, fresca o refrigerada</t>
  </si>
  <si>
    <t>Despojos comestibles de aves de corral, frescos, refrigerados o congelados</t>
  </si>
  <si>
    <t>21174</t>
  </si>
  <si>
    <t>Embutidos y productos similares de carne, despojos o sangre</t>
  </si>
  <si>
    <t>21431</t>
  </si>
  <si>
    <t>Jugo de naranja</t>
  </si>
  <si>
    <t>21435</t>
  </si>
  <si>
    <t>Jugo de manzana</t>
  </si>
  <si>
    <t>21439</t>
  </si>
  <si>
    <t>Otros jugos de frutas, n.c.p.</t>
  </si>
  <si>
    <t>Frijoles estén o no desenvainados, cocidos en agua o vapor, Congelados.</t>
  </si>
  <si>
    <t>Frijoles, preparados o conservados, sin congelar. (excepto en vinagre o ácido acético).</t>
  </si>
  <si>
    <t>Otros vegetales y legumbres, conservados por algo que no sea vinagre, ácido acético o azúcar, n.c.p.</t>
  </si>
  <si>
    <t>21491</t>
  </si>
  <si>
    <t>Piñas, preparadas o conservados</t>
  </si>
  <si>
    <t>21492</t>
  </si>
  <si>
    <t>Melocotones, preparados o conservados</t>
  </si>
  <si>
    <t>21493</t>
  </si>
  <si>
    <t>Otras frutas, sin cocer o cocidos, congelados</t>
  </si>
  <si>
    <t>21494</t>
  </si>
  <si>
    <t>Compotas, jaleas y mermeladas, purés y pastas de frutas u otros frutos</t>
  </si>
  <si>
    <t>21495</t>
  </si>
  <si>
    <t>Mantequilla de maní, pastas de almendra y otras mezclas de nueces y semillas tosdados, salados o preparados de otro modo n.c.p</t>
  </si>
  <si>
    <t>21499</t>
  </si>
  <si>
    <t>Otras preparaciones y conservas de frutas y nueces, n.c.p.</t>
  </si>
  <si>
    <t>21535</t>
  </si>
  <si>
    <t>Aceite de palma, crudo</t>
  </si>
  <si>
    <t>21539</t>
  </si>
  <si>
    <t>Los demás aceites vegetales, crudo, n.c.p.</t>
  </si>
  <si>
    <t>21545</t>
  </si>
  <si>
    <t>Aceite de palma, refinado</t>
  </si>
  <si>
    <t>21549</t>
  </si>
  <si>
    <t>Otros aceites vegetales, refinados, n.c.p.</t>
  </si>
  <si>
    <t>22251</t>
  </si>
  <si>
    <t>Quesos de leche de bovino, frescos o procesados</t>
  </si>
  <si>
    <t>22260</t>
  </si>
  <si>
    <t>Caseina</t>
  </si>
  <si>
    <t>22270</t>
  </si>
  <si>
    <t>Helados y productos similares</t>
  </si>
  <si>
    <t>22290</t>
  </si>
  <si>
    <t>Productos lácteos n.c.p.</t>
  </si>
  <si>
    <t>22110</t>
  </si>
  <si>
    <t>Leche liquida procesada</t>
  </si>
  <si>
    <t>22120</t>
  </si>
  <si>
    <t>Crema fresca</t>
  </si>
  <si>
    <t>23110</t>
  </si>
  <si>
    <t xml:space="preserve">Harina de trigo o de morcajo (tranquillón)                                                                                                    </t>
  </si>
  <si>
    <t>23130</t>
  </si>
  <si>
    <t>Grañones (Avena), sémola y pellets de cereales excepto trigo y arroz</t>
  </si>
  <si>
    <t>23140A</t>
  </si>
  <si>
    <t>Otros productos de cereales incluyendo hojuelas de maíz</t>
  </si>
  <si>
    <t>23140B</t>
  </si>
  <si>
    <t>Otros productos de cereales de arroz</t>
  </si>
  <si>
    <t>23161</t>
  </si>
  <si>
    <t>Arroz, semi- o totalmente molido</t>
  </si>
  <si>
    <t>23490A</t>
  </si>
  <si>
    <t>Pan y productos de panadería</t>
  </si>
  <si>
    <t>23420</t>
  </si>
  <si>
    <t>Pan de especias, galletas dulces, obleas y barquillos</t>
  </si>
  <si>
    <t>23430</t>
  </si>
  <si>
    <t>Los demás productos de panadería y repostería n.c.p. incluso tortillas de harina de trigo (Pasteles)</t>
  </si>
  <si>
    <t>23490B</t>
  </si>
  <si>
    <t>23511</t>
  </si>
  <si>
    <t>Azúcar de caña en bruto (sin refinar) sin adición de aromatizantes ni colorantes</t>
  </si>
  <si>
    <t>23520</t>
  </si>
  <si>
    <t>Azúcar refinada</t>
  </si>
  <si>
    <t>23650</t>
  </si>
  <si>
    <t>Chocolate y demás preparaciones alimenticias que contengan cacao (excepto cacao en polvo edulcorado) a granel</t>
  </si>
  <si>
    <t>23660</t>
  </si>
  <si>
    <t>Chocolate y demás preparaciones alimenticias que contengan cacao (excepto cacao en polvo edulcorado), en bloques, tabletas, o barras excepto a granel</t>
  </si>
  <si>
    <t>23670</t>
  </si>
  <si>
    <t>Artículos de confitería preparados con azúcar (incluyendo chocolate blanco) que no contengan cacao; vegetales, frutas, frutos secos, cascara de frutas y otras partes de plantas, conservadas por azúcar (Dulces).</t>
  </si>
  <si>
    <t>23710</t>
  </si>
  <si>
    <t>Pastas alimenticias sin cocer, rellenar ni preparar de otra forma</t>
  </si>
  <si>
    <t>23911</t>
  </si>
  <si>
    <t>Café, descafeinado o tostado</t>
  </si>
  <si>
    <t>23912</t>
  </si>
  <si>
    <t>Sustitutos de café que contienen café; extractos, esencias y concentrados del café, y preparaciones con a base de ellos o con base a café; achicoria tostada y otros substitutos de café tostados, y extractos, esencias y sus concentrados</t>
  </si>
  <si>
    <t>23921</t>
  </si>
  <si>
    <t>Pimienta procesada</t>
  </si>
  <si>
    <t>23992</t>
  </si>
  <si>
    <t>Sopas y caldos y preparaciones de los mismos</t>
  </si>
  <si>
    <t>23995</t>
  </si>
  <si>
    <t>Salsas; condimentos mixtos; harinas de mostaza y sustancias en polvo; mostaza preparada</t>
  </si>
  <si>
    <t>23996</t>
  </si>
  <si>
    <t>Levaduras (activas o inactivas); otros microorganismos unicelulares, muertos; polvos de hornear preparados</t>
  </si>
  <si>
    <t>23999</t>
  </si>
  <si>
    <t>Otros productos alimenticios n.c.p.</t>
  </si>
  <si>
    <t>23311</t>
  </si>
  <si>
    <t>Alimentos para perros o gatos, acondicionados para la venta al por menor (Concentrados).</t>
  </si>
  <si>
    <t>23319</t>
  </si>
  <si>
    <t xml:space="preserve">Alimentos preparados para otros animales y premezclas para la fabricación de alimentos para animales (Concentrados). </t>
  </si>
  <si>
    <t>24310</t>
  </si>
  <si>
    <t>Cerveza de malta (con o sin alcohol)</t>
  </si>
  <si>
    <t>24410</t>
  </si>
  <si>
    <t>Aguas embotelladas, no endulzadas ni saborizadas (Agua pura, agua con gas o mineral sin sabor, hielo)</t>
  </si>
  <si>
    <t>C1104.24490A</t>
  </si>
  <si>
    <t>24490A</t>
  </si>
  <si>
    <t>Otras bebidas calóricas no alcohólicas (Bebidas gaseosas, jugos y refrescos artificiales, bebidas deportivas, agua mineral con sabor)</t>
  </si>
  <si>
    <t>C1104.24490B</t>
  </si>
  <si>
    <t>24490B</t>
  </si>
  <si>
    <t>Otras bebidas calóricas no alcohólicas (Bebidas hidratantes y bebidas energizantes)</t>
  </si>
  <si>
    <t>C1104.24490C</t>
  </si>
  <si>
    <t>24490C</t>
  </si>
  <si>
    <t>Refrescos artificiales</t>
  </si>
  <si>
    <t>26360</t>
  </si>
  <si>
    <t>Hilados de algodón (excepto hilo de coser), que contiene 85% o más en peso de algodón</t>
  </si>
  <si>
    <t>26420</t>
  </si>
  <si>
    <t>Hilados de filamentos artificiales o sintéticos, múltiples o cableados (que no sea hilo de coser, hilados de gran resistencia de poliamidas, poliéster o rayón viscosa), no apto para la venta al por menor; hilados artificiales o sintéticos (que no sea hilo de coser), apto para la venta al por menor</t>
  </si>
  <si>
    <t>26610</t>
  </si>
  <si>
    <t>Tejidos de algodón con un contenido 85% o más en peso de algodón, de peso no superior 200 g/m2</t>
  </si>
  <si>
    <t>26690</t>
  </si>
  <si>
    <t>Otros tejidos de algodón</t>
  </si>
  <si>
    <t>26720</t>
  </si>
  <si>
    <t>Otros tejidos de hilados de filamentos sintéticos o artificiales, que contienen 85% o más en peso de tales filamentos</t>
  </si>
  <si>
    <t>26730</t>
  </si>
  <si>
    <t>Otros tejidos de hilados de filamentos artificiales o sintéticos</t>
  </si>
  <si>
    <t>Ropa de cama, mantelería, toallas de baño y paños de cocina</t>
  </si>
  <si>
    <t>Colchas, edredones, cojines, pufs, almohadas, sacos de dormir y artículos similares, con resortes o rellenos o guarnecidos interiormente con cualquier material o de caucho celular o plástico</t>
  </si>
  <si>
    <t>Otros artículos confeccionados con materias textiles (incluyendo paños para pisos -trapeadores-, paños para platos, limpia polvo y artículos similares para limpieza, chalecos salvavidas y cinturones salvavidas)</t>
  </si>
  <si>
    <t>Cintas (Tejidos estrechos);  Cintas (tejidos estrechos) de urdimbre sin trama sujeta por pegamento adhesivo (balduques); etiquetas, insignias y artículos similares de materias textiles, sin bordar, trencillas en piezas; artículos de pasamanería en piezas, sin bordados, que no sea tejido de punto o ganchillo; borlas, pompones y artículos similares</t>
  </si>
  <si>
    <t>28221</t>
  </si>
  <si>
    <t>Trajes, abrigos, chaquetas, pantalones largos, pantalones cortos y artículos análogos para hombres o niños, de punto o ganchillo</t>
  </si>
  <si>
    <t>28222</t>
  </si>
  <si>
    <t>Camisas, calzoncillos (ropa interior), pijamas, batas y artículos similares para hombres o niños, de punto o ganchillo</t>
  </si>
  <si>
    <t>28224</t>
  </si>
  <si>
    <t>Blusas, camisas (Incluso los Güipiles típicos), enaguas, bragas, camisones, batas y artículos similares para mujeres o niñas, de punto o ganchillo</t>
  </si>
  <si>
    <t>28225</t>
  </si>
  <si>
    <t>Camisetas y T-shirts (playeras) de todo tipo, de punto o ganchillo</t>
  </si>
  <si>
    <t>28231</t>
  </si>
  <si>
    <t>Trajes, abrigos, chaquetas, pantalones largos, pantalones cortos y artículos similares para hombres o niños, de tejidos que no sean de punto o ganchillo</t>
  </si>
  <si>
    <t>28232</t>
  </si>
  <si>
    <t>Camisas, camisetas, calzoncillos, pijamas, batas y artículos análogos para hombres o niños, de tejidos que no sean de punto o ganchillo</t>
  </si>
  <si>
    <t>28233</t>
  </si>
  <si>
    <t>Trajes sastre, abrigos, chaquetas, vestidos, faldas, pantalones largos, pantalones cortos y artículos análogos para mujeres o niñas, de tejidos que no sean de punto o ganchillo</t>
  </si>
  <si>
    <t>28234</t>
  </si>
  <si>
    <t>Blusas, camisas, camisetas, enaguas, bragas, camisones, batas y artículos análogos para mujeres o niñas, de tejidos que no sean de punto o ganchillo</t>
  </si>
  <si>
    <t>88221</t>
  </si>
  <si>
    <t>Servicios de fabricación de prendas de vestir, excepto prendas de piel</t>
  </si>
  <si>
    <t>88223</t>
  </si>
  <si>
    <t>Servicios de fabricación de prendas de vestir de punto y ganchillo</t>
  </si>
  <si>
    <t>29320</t>
  </si>
  <si>
    <t>Calzado con suela y parte superior de caucho o de plástico, excepto el impermeable y el calzado deportivo</t>
  </si>
  <si>
    <t>29330</t>
  </si>
  <si>
    <t>Calzado con la parte superior de cuero, excepto el calzado deportivo, calzado con puntera metálica de protección y calzado especial diverso</t>
  </si>
  <si>
    <t>29490</t>
  </si>
  <si>
    <t>Otro calzado de deporte, excepto las botas de patinaje</t>
  </si>
  <si>
    <t>31100</t>
  </si>
  <si>
    <t>Madera aserrada o desbastada longitudinalmente, cortadas o desenrolladas, de un espesor superior a 6 mm, traviesas de ferrocarril o tranvía (durmientes) de madera sin impregnar</t>
  </si>
  <si>
    <t>31210</t>
  </si>
  <si>
    <t>Madera con librado continuo a lo largo de cualquiera de sus bordes o caras (incluidas las tablillas y frisos para parqués, sin ensamblar, listones y molduras)</t>
  </si>
  <si>
    <t>31310</t>
  </si>
  <si>
    <t>Madera sin elaborar, tratada con pintura colorantes, creosota u otros preservativos</t>
  </si>
  <si>
    <t>Las demás madera contrachapada, madera chapada y madera estratificada similar, con excepción de bambú</t>
  </si>
  <si>
    <t>31430</t>
  </si>
  <si>
    <t>Tableros de partículas (aglomerados) y Tableros similares de madera u otras materias leñosas</t>
  </si>
  <si>
    <t>31440</t>
  </si>
  <si>
    <t>Tableros de fibra de madera u otros materiales leñosos</t>
  </si>
  <si>
    <t>31600</t>
  </si>
  <si>
    <t>Obras y piezas de carpintería para edificios y construcción (incluso tableros de madera celular, tableros armados para pisos de parqué, tablillas y ripias)</t>
  </si>
  <si>
    <t>32153</t>
  </si>
  <si>
    <t>Cajas de cartón, estuches, fundas de discos y otros envases (excepto bolsas) de papel, cartón, guata de celulosa o napa de fibras de celulosa; archivadores, clasificadores de cartas, y artículos similares, de papel o cartón del tipo utilizado en oficinas, tiendas o similares</t>
  </si>
  <si>
    <t>32193</t>
  </si>
  <si>
    <t>Papel higiénico, pañuelos, toallas, servilletas, pañales para lactantes, tampones higiénicos y artículos similares higiénicos para el hogar u hospitales; y prendas de vestir, pulpa de papel, papel, guata de celulosa o redes de fibras de celulosa</t>
  </si>
  <si>
    <t>32199</t>
  </si>
  <si>
    <t>Los demás artículos de papel n.c.p.</t>
  </si>
  <si>
    <t>Libros de registro, libros de contabilidad, cuadernillos de notas, bloques para cartas, agendas y artículos similares, secantes, encuadernadores, clasificadores para archivos, formularios y otros artículos de escritorio de papel o cartón</t>
  </si>
  <si>
    <t>24110</t>
  </si>
  <si>
    <t>Alcohol etílico sin desnaturalizar con grado alcohólico volumétrico de 80% o más</t>
  </si>
  <si>
    <t>34210</t>
  </si>
  <si>
    <t>Hidrógeno, nitrógeno, oxígeno, dióxido de carbono y gases nobles, compuestos oxigenados inorgánicos de elementos no metálicos n.c.p.</t>
  </si>
  <si>
    <t>34240</t>
  </si>
  <si>
    <t>Fosfatos de triamonio, sus sales y peroxisales de ácidos inorgánicos y metales n.c.p.</t>
  </si>
  <si>
    <t>34310</t>
  </si>
  <si>
    <t>Preparaciones y materias colorantes orgánicas sintéticas y preparaciones en base a ellas, productos orgánicos sintéticos de los utilizados para el avivado fluorescente o como luminóforos; lacas colorantes y preparaciones a base a ellas</t>
  </si>
  <si>
    <t>34340</t>
  </si>
  <si>
    <t>Materias colorantes n.c.p.; productos inorgánicos de los tipos utilizados como luminóforos</t>
  </si>
  <si>
    <t>34641</t>
  </si>
  <si>
    <t>Fertilizantes minerales que contienen tres nutrientes: nitrógeno, fosfatos y potasio</t>
  </si>
  <si>
    <t>Otros fertilizantes fosfatados, n.c.p.</t>
  </si>
  <si>
    <t>34649</t>
  </si>
  <si>
    <t>Otros fertilizantes minerales o químicos que contienen al menos dos nutrientes (nitrógeno, fosfato, potasio), n.c.p.</t>
  </si>
  <si>
    <t>34659</t>
  </si>
  <si>
    <t>Fertilizantes n.c.p.</t>
  </si>
  <si>
    <t>34661</t>
  </si>
  <si>
    <t>Insecticidas</t>
  </si>
  <si>
    <t>34663</t>
  </si>
  <si>
    <t>Herbicidas, inhibidores de germinación y reguladores del crecimiento de las plantas</t>
  </si>
  <si>
    <t>35110</t>
  </si>
  <si>
    <t>Pinturas y barnices y productos relacionados</t>
  </si>
  <si>
    <t>35321</t>
  </si>
  <si>
    <t>Jabón, productos orgánicos tensoactivos y preparados para usar como jabón, papel, guata, fieltro y telas sin tejer, impregnados, recubiertos o revestidos de jabón o detergente</t>
  </si>
  <si>
    <t>35322</t>
  </si>
  <si>
    <t>Detergentes y preparaciones para lavar</t>
  </si>
  <si>
    <t>35323</t>
  </si>
  <si>
    <t>Perfumes y preparaciones de tocador</t>
  </si>
  <si>
    <t>35420</t>
  </si>
  <si>
    <t>Pegamentos y gelatina, peptonas y sus derivados y productos semejantes; caseinatos y otros derivados de la caseína; albuminatos y otros derivados de las albúminas</t>
  </si>
  <si>
    <t>35450</t>
  </si>
  <si>
    <t>Explosivos preparados, mechas de seguridad, cordones detonantes, fulminantes o detonadores, equipos de encendido, detonadores eléctricos (pólvora)</t>
  </si>
  <si>
    <t>35460</t>
  </si>
  <si>
    <t>Artículos pirotécnicos</t>
  </si>
  <si>
    <t>35490</t>
  </si>
  <si>
    <t>Otros productos químicos n.c.p.</t>
  </si>
  <si>
    <t>38998</t>
  </si>
  <si>
    <t xml:space="preserve">Fósforos o cerillas </t>
  </si>
  <si>
    <t>35260</t>
  </si>
  <si>
    <t>Medicamentos, para usos terapéuticos o profilácticos</t>
  </si>
  <si>
    <t>35270</t>
  </si>
  <si>
    <t>Otros productos farmacéuticos</t>
  </si>
  <si>
    <t>36320</t>
  </si>
  <si>
    <t>Tubos, caños y mangueras y accesorios, de plástico</t>
  </si>
  <si>
    <t>36410</t>
  </si>
  <si>
    <t>Sacos y bolsas de plástico</t>
  </si>
  <si>
    <t>36490</t>
  </si>
  <si>
    <t>Otros artículos para el transporte o envasado, de plástico; tapones, tapas, cápsulas y demás dispositivos de cierre, de plástico</t>
  </si>
  <si>
    <t>36920</t>
  </si>
  <si>
    <t>Planchas, hojas, películas, cintas, tiras y otras formas planas autoadhesivas, de plásticos</t>
  </si>
  <si>
    <t>36950</t>
  </si>
  <si>
    <t>Artículos para la construcción, de plástico, n.c.p.</t>
  </si>
  <si>
    <t>36990</t>
  </si>
  <si>
    <t>Artículos plásticos n.c.p.</t>
  </si>
  <si>
    <t>37191</t>
  </si>
  <si>
    <t>Botellas, tarros, frascos y otros recipientes de vidrio, del tipo de los utilizados para el transporte o envasado de mercancías, excepto ampollas; tapones, tapas y demás dispositivos de cierre, de vidrio</t>
  </si>
  <si>
    <t>37210</t>
  </si>
  <si>
    <t>Lavaderos, bañeras, inodoros, cisternas de descarga de agua y artefactos sanitarios similares de cerámicos</t>
  </si>
  <si>
    <t>37350</t>
  </si>
  <si>
    <t>Ladrillos de construcción, bloques para pisos, losas de apoyo o de relleno, tejas, cañones de chimeneas, sombreretes y revestimientos de chimeneas, ornamentos arquitectónicos y otros artículos de construcción, de cerámicos no refractarios</t>
  </si>
  <si>
    <t>37370</t>
  </si>
  <si>
    <t>Baldosas y losas para pavimentos, chimeneas o muros; cubos de mosaicos de cerámicos y artículos similares</t>
  </si>
  <si>
    <t>37440</t>
  </si>
  <si>
    <t>Cemento Portland, cemento alumináceo, cemento de escorias y cementos hidráulicos similares, excepto en forma de clinkers (CEMENTO GRIS)</t>
  </si>
  <si>
    <t>37510</t>
  </si>
  <si>
    <t>Hormigones (Concreto) y morteros, no refractarios</t>
  </si>
  <si>
    <t>37540</t>
  </si>
  <si>
    <t>Azulejos, baldosas, ladrillos y artículos similares, de cemento, hormigón o piedra artificial (Block)</t>
  </si>
  <si>
    <t>41211</t>
  </si>
  <si>
    <t>Productos laminados planos de hierro o acero no aleado, sin otra elaboración que el laminado en caliente, de un ancho de 600 mm o más</t>
  </si>
  <si>
    <t>41231</t>
  </si>
  <si>
    <t>Productos laminados planos de hierro o acero no aleado, revestidos, enchapados, recubiertos o con mayor elaboración</t>
  </si>
  <si>
    <t>41241</t>
  </si>
  <si>
    <t>Barras y varillas, laminadas en caliente, enrolladas irregularmente, de hierro o acero no aleado</t>
  </si>
  <si>
    <t>41242</t>
  </si>
  <si>
    <t>Otras barras y varillas de hierro o acero no aleado, sin otra elaboración que el forjado, laminado, estirado o la extrusión en caliente, incluso las sometidas a torsión después del laminado</t>
  </si>
  <si>
    <t>41251</t>
  </si>
  <si>
    <t>Ángulos, perfiles y secciones, sin otra elaboración que el laminado o extrusión en caliente o extrudidos, de hierro o acero no aleado</t>
  </si>
  <si>
    <t>41262</t>
  </si>
  <si>
    <t>Ángulos, perfiles y secciones, de hierro o acero no aleados, moldeado o acabado en frío, con mayor elaboración</t>
  </si>
  <si>
    <t>41283</t>
  </si>
  <si>
    <t>Otros tubos y cañerías, de sección transversal circular, sin soldadura</t>
  </si>
  <si>
    <t>42190</t>
  </si>
  <si>
    <t>Otras estructuras (excepto edificios prefabricados) y partes de estructuras de hierro, acero o aluminio; placas, varillas, ángulos, perfiles, secciones, tubos y similares, preparados para su utilización en estructuras de hierro, acero o aluminio; accesorios y equipos similares para andamios, encofrados o apuntalamiento</t>
  </si>
  <si>
    <t>42210</t>
  </si>
  <si>
    <t>Depósitos, cisternas, cubas y recipientes similares (excepto para gas comprimido o licuado), de hierro, acero o aluminio, de una capacidad superior a 300 litros, sin dispositivos mecánicos o térmicos</t>
  </si>
  <si>
    <t>42912</t>
  </si>
  <si>
    <t>Artículos de mesa, cocina u otros artículos de uso doméstico y sus partes y piezas, de hierro, acero, cobre o aluminio; aparatos para cocinar o calentar de uso doméstico, no eléctricos, de cobre; esponjas, estropajos y almohadillas para fregar o pulir ollas, guantes y artículos similares, de hierro, acero, cobre o aluminio; lana (virutilla) de hierro o acero; aparatos mecánicos accionados de forma manual, de un peso máximo de 10 kg, utilizados para preparar, acondicionar o servir comidas o bebid</t>
  </si>
  <si>
    <t>42931</t>
  </si>
  <si>
    <t>Cisternas, barriles, tambores, bidones, cajas y recipientes similares (excepto para gas comprimido o licuado) de hierro, acero o aluminio, de una capacidad no superior a 300 litros, sin dispositivos mecánicos o térmicos</t>
  </si>
  <si>
    <t>42945</t>
  </si>
  <si>
    <t>Resortes y hojas para resortes, de hierro o acero</t>
  </si>
  <si>
    <t>42993</t>
  </si>
  <si>
    <t>Cajas fuertes blindadas o reforzadas, cofres de seguridad, puertas y casilleros de seguridad para habitaciones o cámaras blindadas, cajas de dinero o documentos y artículos similares, de metales comunes</t>
  </si>
  <si>
    <t>87310</t>
  </si>
  <si>
    <t>Servicios de instalación de productos metálicos elaborados, excepto maquinaria y equipo</t>
  </si>
  <si>
    <t>43913</t>
  </si>
  <si>
    <t>Equipo de refrigeración o congelación y bombas de calor, excepto equipo para uso doméstico</t>
  </si>
  <si>
    <t>44160</t>
  </si>
  <si>
    <t>Remolques y semirremolques, autocargadores o autodescargadores, para uso agrícola</t>
  </si>
  <si>
    <t>49229</t>
  </si>
  <si>
    <t>Otros tipos de remolques y semi-remolques (incluidos los de uso  para transporte de mercancías), con excepción de los de uso  para fines agrícolas con sistema de carga o descarga automática</t>
  </si>
  <si>
    <t>49129</t>
  </si>
  <si>
    <t>Otras partes y accesorios de vehículos automotores (incluso frenos, cajas de engranajes, ejes, ruedas, amortiguadores de suspensión, radiadores, silenciadores, tubos de escape, embragues, volantes, columnas de dirección, cárteres de dirección y sus partes) n.c.p.</t>
  </si>
  <si>
    <t>38122</t>
  </si>
  <si>
    <t>Otros muebles de madera, del tipo utilizado en oficinas</t>
  </si>
  <si>
    <t>38140</t>
  </si>
  <si>
    <t>Otros muebles n.c.p.</t>
  </si>
  <si>
    <t>38150</t>
  </si>
  <si>
    <t>Somieres; colchones, con resortes o rellenos con cualquier material, incluidos los de caucho o plástico celular, estén o no recubiertos</t>
  </si>
  <si>
    <t>38240</t>
  </si>
  <si>
    <t>Joyas y otros artículos de metales preciosos o de metales revestidos con metales preciosos; artículos de perlas naturales o cultivadas, de piedras preciosas o semipreciosas (naturales, sintéticas o reconstituidas)</t>
  </si>
  <si>
    <t>38997</t>
  </si>
  <si>
    <t>Bisutería (joyas de fantasía)</t>
  </si>
  <si>
    <t>wp</t>
  </si>
  <si>
    <t>Nombre</t>
  </si>
  <si>
    <t>CCP5</t>
  </si>
  <si>
    <t>CIIU4</t>
  </si>
  <si>
    <t>CIIU2</t>
  </si>
  <si>
    <t>Row Labels</t>
  </si>
  <si>
    <t>C10</t>
  </si>
  <si>
    <t>C11</t>
  </si>
  <si>
    <t>C13</t>
  </si>
  <si>
    <t>C14</t>
  </si>
  <si>
    <t>C15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</si>
  <si>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</si>
  <si>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</si>
  <si>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</si>
  <si>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</si>
  <si>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</si>
  <si>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</si>
  <si>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</si>
  <si>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</si>
  <si>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</si>
  <si>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C28</t>
  </si>
  <si>
    <t>C29</t>
  </si>
  <si>
    <t>C31</t>
  </si>
  <si>
    <t>C32</t>
  </si>
  <si>
    <t>Grand Total</t>
  </si>
  <si>
    <t>Sum of wp</t>
  </si>
  <si>
    <t>Sum of Enero.2025</t>
  </si>
  <si>
    <t>Sum of Febrero2</t>
  </si>
  <si>
    <t>Sum of Marzo2</t>
  </si>
  <si>
    <t>Sum of Diciembre</t>
  </si>
  <si>
    <t>Dic.2024</t>
  </si>
  <si>
    <t>Feb</t>
  </si>
  <si>
    <t>ELABORACIÓN DE PRODUCTOS ALIMENTICIOS</t>
  </si>
  <si>
    <t>ELABORACIÓN DE BEBIDAS</t>
  </si>
  <si>
    <t>FABRICACIÓN DE PRODUCTOS TEXTILES</t>
  </si>
  <si>
    <t>FABRICACIÓN DE PRENDAS DE VESTIR</t>
  </si>
  <si>
    <t>FABRICACIÓN DE CUEROS Y PRODUCTOS CONEXOS</t>
  </si>
  <si>
    <t>PRODUCCIÓN DE MADERA Y FABRICACIÓN DE PRODUCTOS DE MADERA Y CORCHO, EXCEPTO MUEBLES; FABRICACIÓN DE ARTÍCULOS DE PAJA Y
DE MATERIALES TRENZABLES</t>
  </si>
  <si>
    <t>FABRICACIÓN DE PAPEL Y DE PRODUCTOS DE PAPEL</t>
  </si>
  <si>
    <t>IMPRESIÓN Y REPRODUCCIÓN DE GRABACIONES</t>
  </si>
  <si>
    <t>FABRICACIÓN DE SUBSTANCIAS Y PRODUCTOS QUÍMICOS</t>
  </si>
  <si>
    <t>FABRICACIÓN DE PRODUCTOS FARMACÉUTICOS, SUSTANCIAS QUÍMICAS MEDICINALES Y PRODUCTOS BOTÁNICOS DE USO FARMACÉUTICO</t>
  </si>
  <si>
    <t>FABRICACIÓN DE PRODUCTOS DE CAUCHO Y PLÁSTICO</t>
  </si>
  <si>
    <t>FABRICACIÓN DE OTROS PRODUCTOS MINERALES NO METÁLICOS</t>
  </si>
  <si>
    <t>FABRICACIÓN DE METALES COMUNES</t>
  </si>
  <si>
    <t>FABRICACIÓN DE PRODUCTOS ELABORADOS DE METAL, EXCEPTO MAQUINARIA Y EQUIPO</t>
  </si>
  <si>
    <t>FABRICACIÓN DE MAQUINARIA Y EQUIPO N.C.P.</t>
  </si>
  <si>
    <t>Fabricación de vehículos de motor, remolques y semirremolques</t>
  </si>
  <si>
    <t>FABRICACIÓN DE MUEBLES</t>
  </si>
  <si>
    <t>OTRAS INDUSTRIAS MANUFACTURERAS</t>
  </si>
  <si>
    <t>Total</t>
  </si>
  <si>
    <t>Industria Manufacturera</t>
  </si>
  <si>
    <t>C1010</t>
  </si>
  <si>
    <t>C1030</t>
  </si>
  <si>
    <t>C1040</t>
  </si>
  <si>
    <t>C1050</t>
  </si>
  <si>
    <t>C1061</t>
  </si>
  <si>
    <t>C1071</t>
  </si>
  <si>
    <t>C1072</t>
  </si>
  <si>
    <t>C1073</t>
  </si>
  <si>
    <t>C1074</t>
  </si>
  <si>
    <t>C1079</t>
  </si>
  <si>
    <t>C1080</t>
  </si>
  <si>
    <t>C1103</t>
  </si>
  <si>
    <t>C1104</t>
  </si>
  <si>
    <t>C1311</t>
  </si>
  <si>
    <t>C1312</t>
  </si>
  <si>
    <t>C1392</t>
  </si>
  <si>
    <t>C1399</t>
  </si>
  <si>
    <t>C1410</t>
  </si>
  <si>
    <t>C1520</t>
  </si>
  <si>
    <t>C1610</t>
  </si>
  <si>
    <t>C1621</t>
  </si>
  <si>
    <t>C1622</t>
  </si>
  <si>
    <t>C1702</t>
  </si>
  <si>
    <t>C1709</t>
  </si>
  <si>
    <t>C1811</t>
  </si>
  <si>
    <t>C2011</t>
  </si>
  <si>
    <t>C2012</t>
  </si>
  <si>
    <t>C2021</t>
  </si>
  <si>
    <t>C2022</t>
  </si>
  <si>
    <t>C2023</t>
  </si>
  <si>
    <t>C2029</t>
  </si>
  <si>
    <t>C2100</t>
  </si>
  <si>
    <t>C2220</t>
  </si>
  <si>
    <t>C2310</t>
  </si>
  <si>
    <t>C2392</t>
  </si>
  <si>
    <t>C2394</t>
  </si>
  <si>
    <t>C2395</t>
  </si>
  <si>
    <t>C2410</t>
  </si>
  <si>
    <t>C2511</t>
  </si>
  <si>
    <t>C2512</t>
  </si>
  <si>
    <t>C2599</t>
  </si>
  <si>
    <t>C2819</t>
  </si>
  <si>
    <t>C2821</t>
  </si>
  <si>
    <t>C2920</t>
  </si>
  <si>
    <t>C2930</t>
  </si>
  <si>
    <t>C3100</t>
  </si>
  <si>
    <t>C3211</t>
  </si>
  <si>
    <t>C3212</t>
  </si>
  <si>
    <t>Elaboración y conservación de carne de ganado bovino</t>
  </si>
  <si>
    <t>Elaboración y conservación de carne de ganado porcino</t>
  </si>
  <si>
    <t>Elaboración y conservación de carne de aves de corral</t>
  </si>
  <si>
    <t>Elaboración de productos cárnicos y elaboración de otros productos de origen animal n.c.p.</t>
  </si>
  <si>
    <t>Elaboración y conservación de frutas, legumbres y hortalizas</t>
  </si>
  <si>
    <t>Elaboración de aceites y grasas de origen vegetal y animal</t>
  </si>
  <si>
    <t>Elaboración de productos lácteos</t>
  </si>
  <si>
    <t>Elaboración de harina de trigo</t>
  </si>
  <si>
    <t>Elaboración de productos de molinería</t>
  </si>
  <si>
    <t>Elaboración de productos de panadería</t>
  </si>
  <si>
    <t>Elaboración de tortillas de maíz</t>
  </si>
  <si>
    <t>Elaboración de azúcar</t>
  </si>
  <si>
    <t>Elaboración de cacao y chocolate y de productos de confitería</t>
  </si>
  <si>
    <t>Elaboración de macarrones, fideos, alcuzcuz y productos farináceos similares</t>
  </si>
  <si>
    <t xml:space="preserve">Elaboración de otros productos alimenticios n.c.p  incluyendo comidas y platos preparados </t>
  </si>
  <si>
    <t>Elaboración de alimentos preparados para animales</t>
  </si>
  <si>
    <t>Elaboración de bebidas malteadas y de malta</t>
  </si>
  <si>
    <t>Elaboración de bebidas no alcohólicas; producción de aguas minerales y otras aguas embotelladas</t>
  </si>
  <si>
    <t>Hilatura, tejedura y acabado de productos textiles</t>
  </si>
  <si>
    <t>Tejedura de productos textiles</t>
  </si>
  <si>
    <t>Fabricación de otros productos textiles</t>
  </si>
  <si>
    <t>Fabricación de otros productos textiles ncp</t>
  </si>
  <si>
    <t>Fabricación de prendas de vestir</t>
  </si>
  <si>
    <t>Fabricación de calzado de cualquier material y de cualquier uso; partes de calzado de cuero</t>
  </si>
  <si>
    <t>Aserrado y acepilladura de madera</t>
  </si>
  <si>
    <t>Fabricación de productos de madera, productos de corcho, paja y materiales trenzables</t>
  </si>
  <si>
    <t>Fabricación de piezas y piezas de carpintería para edificios y construcciones</t>
  </si>
  <si>
    <t>Fabricación de papel y productos de papel</t>
  </si>
  <si>
    <t>Fabricación de otros artículos de papel y cartón</t>
  </si>
  <si>
    <t>Impresión y actividades de servicios relacionados con la impresión y reproducción de grabaciones.</t>
  </si>
  <si>
    <t>Fabricación de sustancias químicas básicas</t>
  </si>
  <si>
    <t>Fabricación de abonos y compuestos de nitrógeno</t>
  </si>
  <si>
    <t>Fabricación de plaguicidas y otros productos agroquímicos</t>
  </si>
  <si>
    <t>Fabricación de pinturas, barnices y revestimientos similares, tintas de imprenta y masillas</t>
  </si>
  <si>
    <t>Fabricación de jabones y detergentes, preparaciones para limpiar y pulir, perfumes y productos de tocador</t>
  </si>
  <si>
    <t>Fabricación de otros productos químicos ncp</t>
  </si>
  <si>
    <t>Fabricación de productos farmacéuticos, sustancias químicas medicinales y productos botánicos de uso farmacéutico</t>
  </si>
  <si>
    <t>Fabricación de productos de plástico</t>
  </si>
  <si>
    <t>Fabricación de vidrio y productos de vidrio</t>
  </si>
  <si>
    <t>Fabricación de productos refractarios y no refractarios de arcilla, cerámica, porcelana y otros minerales no metálicos</t>
  </si>
  <si>
    <t>Fabricación de cemento, cal y yeso</t>
  </si>
  <si>
    <t>Fabricación de artículos de hormigón, cemento y yeso</t>
  </si>
  <si>
    <t>Fabricación de metales comunes</t>
  </si>
  <si>
    <t xml:space="preserve"> Fabricación de productos metálicos estructurales</t>
  </si>
  <si>
    <t>Fabricación de cisternas, depósitos y contenedores de metal</t>
  </si>
  <si>
    <t>Fabricación de otros productos metálicos elaborados ncp</t>
  </si>
  <si>
    <t xml:space="preserve"> Fabricación de otra maquinaria de uso general</t>
  </si>
  <si>
    <t>Fabricación de maquinaria agrícola y forestal</t>
  </si>
  <si>
    <t>Fabricación de carrocerías para vehículos automotores; fabricacion de remolques y semirremolques</t>
  </si>
  <si>
    <t>Fabricación de piezas y accesorios para vehículos de motor</t>
  </si>
  <si>
    <t>Fabricación de muebles</t>
  </si>
  <si>
    <t>Fabricación de artículos de joyería y artículos similares</t>
  </si>
  <si>
    <t>Fabricación de bisutería y artículos similares</t>
  </si>
  <si>
    <t>c1</t>
  </si>
  <si>
    <t>c2</t>
  </si>
  <si>
    <t>c3</t>
  </si>
  <si>
    <t>Febrero.2025</t>
  </si>
  <si>
    <t>INCIDENCIAS</t>
  </si>
  <si>
    <r>
      <t>C1104.24490</t>
    </r>
    <r>
      <rPr>
        <sz val="11"/>
        <color rgb="FFFF0000"/>
        <rFont val="Calibri"/>
        <family val="2"/>
      </rPr>
      <t>A</t>
    </r>
  </si>
  <si>
    <r>
      <t>C1104.24490</t>
    </r>
    <r>
      <rPr>
        <sz val="11"/>
        <color rgb="FFFF0000"/>
        <rFont val="Calibri"/>
        <family val="2"/>
      </rPr>
      <t>B</t>
    </r>
  </si>
  <si>
    <r>
      <t>C1104.24490</t>
    </r>
    <r>
      <rPr>
        <sz val="11"/>
        <color rgb="FFFF0000"/>
        <rFont val="Calibri"/>
        <family val="2"/>
      </rPr>
      <t>C</t>
    </r>
  </si>
  <si>
    <r>
      <t>C1071.23490</t>
    </r>
    <r>
      <rPr>
        <sz val="11"/>
        <color rgb="FFFF0000"/>
        <rFont val="Calibri"/>
        <family val="2"/>
      </rPr>
      <t>A</t>
    </r>
  </si>
  <si>
    <r>
      <t>C1071.23490</t>
    </r>
    <r>
      <rPr>
        <sz val="11"/>
        <color rgb="FFFF0000"/>
        <rFont val="Calibri"/>
        <family val="2"/>
      </rPr>
      <t>B</t>
    </r>
  </si>
  <si>
    <r>
      <t>C1061.23140</t>
    </r>
    <r>
      <rPr>
        <sz val="11"/>
        <color rgb="FFFF0000"/>
        <rFont val="Calibri"/>
        <family val="2"/>
      </rPr>
      <t>A</t>
    </r>
  </si>
  <si>
    <r>
      <t>C1061.23140</t>
    </r>
    <r>
      <rPr>
        <sz val="11"/>
        <color rgb="FFFF0000"/>
        <rFont val="Calibri"/>
        <family val="2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</si>
</sst>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00"/>
    <numFmt numFmtId="166" formatCode="0.00000%"/>
    <numFmt numFmtId="167" formatCode="0.00000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10" fontId="1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1" applyNumberFormat="1" applyFont="1"/>
    <xf numFmtId="167" fontId="1" fillId="0" borderId="0" xfId="1" applyNumberFormat="1" applyFont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nestina Pérez" refreshedDate="45805.155230787037" createdVersion="8" refreshedVersion="8" minRefreshableVersion="3" recordCount="150" xr:uid="{3CD3106F-291D-43A5-9739-46D36D80F985}">
  <cacheSource type="worksheet">
    <worksheetSource ref="AZ2:BS152" sheet="Calculo_seccion"/>
  </cacheSource>
  <cacheFields count="20">
    <cacheField name="CIIU2" numFmtId="0">
      <sharedItems count="18">
        <s v="C10"/>
        <s v="C11"/>
        <s v="C13"/>
        <s v="C14"/>
        <s v="C15"/>
        <s v="C16"/>
        <s v="C17"/>
        <s v="C18"/>
        <s v="C20"/>
        <s v="C21"/>
        <s v="C22"/>
        <s v="C23"/>
        <s v="C24"/>
        <s v="C25"/>
        <s v="C28"/>
        <s v="C29"/>
        <s v="C31"/>
        <s v="C32"/>
      </sharedItems>
    </cacheField>
    <cacheField name="CIIU4" numFmtId="0">
      <sharedItems count="48">
        <s v="C1010"/>
        <s v="C1030"/>
        <s v="C1040"/>
        <s v="C1050"/>
        <s v="C1061"/>
        <s v="C1071"/>
        <s v="C1072"/>
        <s v="C1073"/>
        <s v="C1074"/>
        <s v="C1079"/>
        <s v="C1080"/>
        <s v="C1103"/>
        <s v="C1104"/>
        <s v="C1311"/>
        <s v="C1312"/>
        <s v="C1392"/>
        <s v="C1399"/>
        <s v="C1410"/>
        <s v="C1520"/>
        <s v="C1610"/>
        <s v="C1621"/>
        <s v="C1622"/>
        <s v="C1702"/>
        <s v="C1709"/>
        <s v="C1811"/>
        <s v="C2011"/>
        <s v="C2012"/>
        <s v="C2021"/>
        <s v="C2022"/>
        <s v="C2023"/>
        <s v="C2029"/>
        <s v="C2100"/>
        <s v="C2220"/>
        <s v="C2310"/>
        <s v="C2392"/>
        <s v="C2394"/>
        <s v="C2395"/>
        <s v="C2410"/>
        <s v="C2511"/>
        <s v="C2512"/>
        <s v="C2599"/>
        <s v="C2819"/>
        <s v="C2821"/>
        <s v="C2920"/>
        <s v="C2930"/>
        <s v="C3100"/>
        <s v="C3211"/>
        <s v="C3212"/>
      </sharedItems>
    </cacheField>
    <cacheField name="CCP5" numFmtId="0">
      <sharedItems containsMixedTypes="1" containsNumber="1" containsInteger="1" minValue="21160" maxValue="34644"/>
    </cacheField>
    <cacheField name="Nombre" numFmtId="0">
      <sharedItems longText="1"/>
    </cacheField>
    <cacheField name="wp" numFmtId="0">
      <sharedItems containsSemiMixedTypes="0" containsString="0" containsNumber="1" minValue="5.8597004907606038E-4" maxValue="5.5199028623794631E-2"/>
    </cacheField>
    <cacheField name="Enero.2024" numFmtId="0">
      <sharedItems containsSemiMixedTypes="0" containsString="0" containsNumber="1" minValue="5.847658120026774E-2" maxValue="5.4216028504700065"/>
    </cacheField>
    <cacheField name="Febrero" numFmtId="0">
      <sharedItems containsSemiMixedTypes="0" containsString="0" containsNumber="1" minValue="5.847658120026774E-2" maxValue="5.4216028504700065"/>
    </cacheField>
    <cacheField name="Marzo" numFmtId="0">
      <sharedItems containsSemiMixedTypes="0" containsString="0" containsNumber="1" minValue="5.847658120026774E-2" maxValue="5.4216028504700065"/>
    </cacheField>
    <cacheField name="Abril" numFmtId="0">
      <sharedItems containsSemiMixedTypes="0" containsString="0" containsNumber="1" minValue="5.847658120026774E-2" maxValue="5.4857598386601207"/>
    </cacheField>
    <cacheField name="Mayo" numFmtId="0">
      <sharedItems containsSemiMixedTypes="0" containsString="0" containsNumber="1" minValue="5.847658120026774E-2" maxValue="5.4857598386601207"/>
    </cacheField>
    <cacheField name="Junio" numFmtId="0">
      <sharedItems containsSemiMixedTypes="0" containsString="0" containsNumber="1" minValue="5.847658120026774E-2" maxValue="5.566707920368156"/>
    </cacheField>
    <cacheField name="Julio" numFmtId="0">
      <sharedItems containsSemiMixedTypes="0" containsString="0" containsNumber="1" minValue="5.847658120026774E-2" maxValue="5.566707920368156"/>
    </cacheField>
    <cacheField name="Agosto" numFmtId="0">
      <sharedItems containsSemiMixedTypes="0" containsString="0" containsNumber="1" minValue="5.847658120026774E-2" maxValue="5.566707920368156"/>
    </cacheField>
    <cacheField name="Septiembre" numFmtId="0">
      <sharedItems containsSemiMixedTypes="0" containsString="0" containsNumber="1" minValue="5.847658120026774E-2" maxValue="5.566707920368156"/>
    </cacheField>
    <cacheField name="Octubre" numFmtId="0">
      <sharedItems containsSemiMixedTypes="0" containsString="0" containsNumber="1" minValue="5.8472164117550886E-2" maxValue="5.566707920368156"/>
    </cacheField>
    <cacheField name="Noviembre" numFmtId="0">
      <sharedItems containsSemiMixedTypes="0" containsString="0" containsNumber="1" minValue="5.5857834487674118E-2" maxValue="5.5844832589912592"/>
    </cacheField>
    <cacheField name="Diciembre" numFmtId="0">
      <sharedItems containsSemiMixedTypes="0" containsString="0" containsNumber="1" minValue="5.5857834487674118E-2" maxValue="5.5844832589912592"/>
    </cacheField>
    <cacheField name="Enero.2025" numFmtId="0">
      <sharedItems containsSemiMixedTypes="0" containsString="0" containsNumber="1" minValue="5.6530825206373335E-2" maxValue="5.5844832589912592"/>
    </cacheField>
    <cacheField name="Febrero2" numFmtId="0">
      <sharedItems containsSemiMixedTypes="0" containsString="0" containsNumber="1" minValue="5.6699323446403167E-2" maxValue="5.6906255767446359"/>
    </cacheField>
    <cacheField name="Marzo2" numFmtId="0">
      <sharedItems containsSemiMixedTypes="0" containsString="0" containsNumber="1" minValue="5.6699323446403167E-2" maxValue="5.8456263568195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s v="21111"/>
    <s v="Carne de ganado bovino, fresca o refrigerada"/>
    <n v="2.249018117813514E-2"/>
    <n v="2.1699478026736765"/>
    <n v="2.1631631449897428"/>
    <n v="2.1253011986833492"/>
    <n v="2.1998555352202418"/>
    <n v="2.2102375595297432"/>
    <n v="2.2161077034907666"/>
    <n v="2.2171685053214252"/>
    <n v="2.2521402542097353"/>
    <n v="2.2852421360072386"/>
    <n v="2.3358218546682119"/>
    <n v="2.3992209385367356"/>
    <n v="2.4140107804313029"/>
    <n v="2.3950608413210794"/>
    <n v="2.3982296311247961"/>
    <n v="2.3318495651021238"/>
  </r>
  <r>
    <x v="0"/>
    <x v="0"/>
    <s v="21113"/>
    <s v="Carne de cerdo, fresca o refrigerada"/>
    <n v="5.733945855595367E-3"/>
    <n v="0.57870150628919526"/>
    <n v="0.55839304753959185"/>
    <n v="0.56916378205188567"/>
    <n v="0.56185191819434177"/>
    <n v="0.5628127089843733"/>
    <n v="0.56585503398006964"/>
    <n v="0.56440101896664929"/>
    <n v="0.5810382111157254"/>
    <n v="0.59854444744255109"/>
    <n v="0.57756519441031073"/>
    <n v="0.58184746937821785"/>
    <n v="0.58056068836152774"/>
    <n v="0.57609066471290671"/>
    <n v="0.57980844956910338"/>
    <n v="0.58682714457945362"/>
  </r>
  <r>
    <x v="0"/>
    <x v="0"/>
    <s v="21119"/>
    <s v="Otras carnes de mamíferos, fresca o refrigerada"/>
    <n v="7.7339282396500378E-4"/>
    <n v="7.719207800901623E-2"/>
    <n v="7.719207800901623E-2"/>
    <n v="7.719207800901623E-2"/>
    <n v="7.719207800901623E-2"/>
    <n v="7.719207800901623E-2"/>
    <n v="7.719207800901623E-2"/>
    <n v="7.719207800901623E-2"/>
    <n v="7.719207800901623E-2"/>
    <n v="7.719207800901623E-2"/>
    <n v="7.7394772299887185E-2"/>
    <n v="7.7712484644226976E-2"/>
    <n v="7.8235429732744499E-2"/>
    <n v="7.8235429732744499E-2"/>
    <n v="7.8235429732744499E-2"/>
    <n v="7.8235429732744499E-2"/>
  </r>
  <r>
    <x v="0"/>
    <x v="0"/>
    <s v="21121"/>
    <s v="Carne de pollo, fresca o refrigerada"/>
    <n v="2.148354517261012E-2"/>
    <n v="2.1656825769959394"/>
    <n v="2.1147731423615075"/>
    <n v="2.1048782938343646"/>
    <n v="2.0855154368428206"/>
    <n v="2.0673906366207726"/>
    <n v="2.1404324388646172"/>
    <n v="2.1963788160034583"/>
    <n v="2.1939446993036289"/>
    <n v="2.2018449817437924"/>
    <n v="2.146172250588974"/>
    <n v="2.1775002415388727"/>
    <n v="2.1857406924333951"/>
    <n v="2.1338352796629825"/>
    <n v="2.1145891785498927"/>
    <n v="2.0789872387633652"/>
  </r>
  <r>
    <x v="0"/>
    <x v="0"/>
    <n v="21160"/>
    <s v="Despojos comestibles de aves de corral, frescos, refrigerados o congelados"/>
    <n v="1.4322363448406747E-2"/>
    <n v="1.4436942355994"/>
    <n v="1.4436942355994"/>
    <n v="1.4436942355994"/>
    <n v="1.4436942355994"/>
    <n v="1.4436942355994"/>
    <n v="1.4436942355994"/>
    <n v="1.4436942355994"/>
    <n v="1.4436942355994"/>
    <n v="1.4436942355994"/>
    <n v="1.4436942355994"/>
    <n v="1.3749468910470475"/>
    <n v="1.3749468910470475"/>
    <n v="1.3749468910470475"/>
    <n v="1.3749468910470475"/>
    <n v="1.3749468910470475"/>
  </r>
  <r>
    <x v="0"/>
    <x v="0"/>
    <s v="21174"/>
    <s v="Embutidos y productos similares de carne, despojos o sangre"/>
    <n v="1.1751897427462148E-2"/>
    <n v="1.1834663701729551"/>
    <n v="1.1732440557107386"/>
    <n v="1.1737381126009365"/>
    <n v="1.1745665092087134"/>
    <n v="1.173673440657709"/>
    <n v="1.1679911075724492"/>
    <n v="1.1665140491921446"/>
    <n v="1.1753146537013053"/>
    <n v="1.1776753388609387"/>
    <n v="1.1788797573444172"/>
    <n v="1.1788797573444172"/>
    <n v="1.1783337605878543"/>
    <n v="1.1924938125722582"/>
    <n v="1.1924938125722582"/>
    <n v="1.1907936272655302"/>
  </r>
  <r>
    <x v="0"/>
    <x v="1"/>
    <n v="21311"/>
    <s v="Frijoles estén o no desenvainados, cocidos en agua o vapor, Congelados."/>
    <n v="1.5066209623349203E-3"/>
    <n v="0.15093097564378383"/>
    <n v="0.15093097564378383"/>
    <n v="0.15093097564378383"/>
    <n v="0.15057246976339478"/>
    <n v="0.15057246976339478"/>
    <n v="0.15057246976339478"/>
    <n v="0.15057246976339478"/>
    <n v="0.15057246976339478"/>
    <n v="0.15057246976339478"/>
    <n v="0.15057246976339478"/>
    <n v="0.15057246976339478"/>
    <n v="0.15057246976339478"/>
    <n v="0.15057246976339478"/>
    <n v="0.15057246976339478"/>
    <n v="0.15057246976339478"/>
  </r>
  <r>
    <x v="0"/>
    <x v="1"/>
    <n v="21395"/>
    <s v="Frijoles, preparados o conservados, sin congelar. (excepto en vinagre o ácido acético)."/>
    <n v="1.5066209623349203E-3"/>
    <n v="0.15036926636185985"/>
    <n v="0.15036926636185985"/>
    <n v="0.15036926636185985"/>
    <n v="0.15036926636185985"/>
    <n v="0.15036926636185985"/>
    <n v="0.15036926636185985"/>
    <n v="0.15036926636185985"/>
    <n v="0.15107205805377702"/>
    <n v="0.15107205805377702"/>
    <n v="0.15107205805377702"/>
    <n v="0.15107205805377702"/>
    <n v="0.15107205805377702"/>
    <n v="0.15107205805377702"/>
    <n v="0.15107205805377702"/>
    <n v="0.15107205805377702"/>
  </r>
  <r>
    <x v="0"/>
    <x v="1"/>
    <n v="21399"/>
    <s v="Otros vegetales y legumbres, conservados por algo que no sea vinagre, ácido acético o azúcar, n.c.p."/>
    <n v="1.5066209623349203E-3"/>
    <n v="0.15025316853044637"/>
    <n v="0.15025316853044637"/>
    <n v="0.15025316853044637"/>
    <n v="0.15025316853044637"/>
    <n v="0.15025316853044637"/>
    <n v="0.15025316853044637"/>
    <n v="0.15025316853044637"/>
    <n v="0.15025316853044637"/>
    <n v="0.15147995163958325"/>
    <n v="0.15147995163958325"/>
    <n v="0.15147995163958325"/>
    <n v="0.15147995163958325"/>
    <n v="0.15147657842657031"/>
    <n v="0.15147657842657031"/>
    <n v="0.15147657842657031"/>
  </r>
  <r>
    <x v="0"/>
    <x v="1"/>
    <s v="21431"/>
    <s v="Jugo de naranja"/>
    <n v="2.0992405491876117E-3"/>
    <n v="0.21048770824279717"/>
    <n v="0.21251736664120111"/>
    <n v="0.21018045782297301"/>
    <n v="0.20903614545111726"/>
    <n v="0.21355908092563161"/>
    <n v="0.20597452127951502"/>
    <n v="0.21497648532791633"/>
    <n v="0.21750958677635082"/>
    <n v="0.2102463838987666"/>
    <n v="0.21733424319790839"/>
    <n v="0.2011000709001575"/>
    <n v="0.19616660856079879"/>
    <n v="0.19616660856079879"/>
    <n v="0.1964821071801546"/>
    <n v="0.19454525709599432"/>
  </r>
  <r>
    <x v="0"/>
    <x v="1"/>
    <s v="21435"/>
    <s v="Jugo de manzana"/>
    <n v="2.0992405491876117E-3"/>
    <n v="0.20573383085467475"/>
    <n v="0.20940616694939407"/>
    <n v="0.21038768705436506"/>
    <n v="0.21038768705436506"/>
    <n v="0.21038768705436506"/>
    <n v="0.21038768705436506"/>
    <n v="0.21039965216726744"/>
    <n v="0.21039965216726744"/>
    <n v="0.21039965216726744"/>
    <n v="0.21039965216726744"/>
    <n v="0.21039965216726744"/>
    <n v="0.21039965216726744"/>
    <n v="0.21039965216726744"/>
    <n v="0.21039965216726744"/>
    <n v="0.21142540234388785"/>
  </r>
  <r>
    <x v="0"/>
    <x v="1"/>
    <s v="21439"/>
    <s v="Otros jugos de frutas, n.c.p."/>
    <n v="2.0992405491876117E-3"/>
    <n v="0.21011842071383216"/>
    <n v="0.21042760299974445"/>
    <n v="0.21113432571035132"/>
    <n v="0.21064831112758431"/>
    <n v="0.21040631872555982"/>
    <n v="0.20865299118934982"/>
    <n v="0.20965751523694848"/>
    <n v="0.21146644242364504"/>
    <n v="0.21076952365737953"/>
    <n v="0.21143474718360972"/>
    <n v="0.20496783039025782"/>
    <n v="0.20940462966687171"/>
    <n v="0.21213353913656258"/>
    <n v="0.21209877462051474"/>
    <n v="0.21154060537938499"/>
  </r>
  <r>
    <x v="0"/>
    <x v="1"/>
    <s v="21491"/>
    <s v="Piñas, preparadas o conservados"/>
    <n v="5.8597004907606038E-4"/>
    <n v="5.8597703704629876E-2"/>
    <n v="5.8597703704629876E-2"/>
    <n v="5.8597703704629876E-2"/>
    <n v="5.9502508177711702E-2"/>
    <n v="5.9522458725859123E-2"/>
    <n v="5.9542402589285559E-2"/>
    <n v="5.9542402589285559E-2"/>
    <n v="5.9542402589285559E-2"/>
    <n v="5.9001552065303546E-2"/>
    <n v="5.9001552065303546E-2"/>
    <n v="5.5857834487674118E-2"/>
    <n v="5.5857834487674118E-2"/>
    <n v="5.69347725010921E-2"/>
    <n v="5.69347725010921E-2"/>
    <n v="5.69347725010921E-2"/>
  </r>
  <r>
    <x v="0"/>
    <x v="1"/>
    <s v="21492"/>
    <s v="Melocotones, preparados o conservados"/>
    <n v="5.8597004907606038E-4"/>
    <n v="5.847658120026774E-2"/>
    <n v="5.847658120026774E-2"/>
    <n v="5.847658120026774E-2"/>
    <n v="5.847658120026774E-2"/>
    <n v="5.847658120026774E-2"/>
    <n v="5.847658120026774E-2"/>
    <n v="5.847658120026774E-2"/>
    <n v="5.847658120026774E-2"/>
    <n v="5.847658120026774E-2"/>
    <n v="5.847658120026774E-2"/>
    <n v="5.9199123444297529E-2"/>
    <n v="5.9199123444297529E-2"/>
    <n v="5.9199123444297529E-2"/>
    <n v="5.9199123444297529E-2"/>
    <n v="5.9199123444297529E-2"/>
  </r>
  <r>
    <x v="0"/>
    <x v="1"/>
    <s v="21493"/>
    <s v="Otras frutas, sin cocer o cocidos, congelados"/>
    <n v="5.8597004907606038E-4"/>
    <n v="5.8815630426040967E-2"/>
    <n v="5.8786994697180156E-2"/>
    <n v="5.8758021237958077E-2"/>
    <n v="5.8668949117880898E-2"/>
    <n v="5.8624896389493794E-2"/>
    <n v="5.8614425493834145E-2"/>
    <n v="5.8577080511460808E-2"/>
    <n v="5.8511043477698893E-2"/>
    <n v="5.8479564213676116E-2"/>
    <n v="5.8472164117550886E-2"/>
    <n v="5.8440279455223725E-2"/>
    <n v="5.8415009753273912E-2"/>
    <n v="5.8434675321676517E-2"/>
    <n v="5.8417682155240624E-2"/>
    <n v="5.8417682155240624E-2"/>
  </r>
  <r>
    <x v="0"/>
    <x v="1"/>
    <s v="21494"/>
    <s v="Compotas, jaleas y mermeladas, purés y pastas de frutas u otros frutos"/>
    <n v="5.8597004907606038E-4"/>
    <n v="5.9150165026231778E-2"/>
    <n v="5.9150165026231778E-2"/>
    <n v="5.9150165026231778E-2"/>
    <n v="5.9150165026231778E-2"/>
    <n v="5.9150165026231778E-2"/>
    <n v="5.8480401425623406E-2"/>
    <n v="5.8480401425623406E-2"/>
    <n v="5.8480401425623406E-2"/>
    <n v="5.8480401425623406E-2"/>
    <n v="5.8480401425623406E-2"/>
    <n v="5.8480401425623406E-2"/>
    <n v="5.6530825206373335E-2"/>
    <n v="5.6530825206373335E-2"/>
    <n v="5.6699323446403167E-2"/>
    <n v="5.6699323446403167E-2"/>
  </r>
  <r>
    <x v="0"/>
    <x v="1"/>
    <s v="21495"/>
    <s v="Mantequilla de maní, pastas de almendra y otras mezclas de nueces y semillas tosdados, salados o preparados de otro modo n.c.p"/>
    <n v="5.8597004907606038E-4"/>
    <n v="5.8684945589335839E-2"/>
    <n v="5.8684945589335839E-2"/>
    <n v="5.8684945589335839E-2"/>
    <n v="5.8684945589335839E-2"/>
    <n v="5.8684945589335839E-2"/>
    <n v="5.8684945589335839E-2"/>
    <n v="5.8684945589335839E-2"/>
    <n v="5.8684945589335839E-2"/>
    <n v="5.8684945589335839E-2"/>
    <n v="5.8684945589335839E-2"/>
    <n v="5.8684945589335839E-2"/>
    <n v="5.7629657408578172E-2"/>
    <n v="5.7629657408578172E-2"/>
    <n v="5.888907432994369E-2"/>
    <n v="6.0289158120257293E-2"/>
  </r>
  <r>
    <x v="0"/>
    <x v="1"/>
    <s v="21499"/>
    <s v="Otras preparaciones y conservas de frutas y nueces, n.c.p."/>
    <n v="5.8597004907606038E-4"/>
    <n v="5.859700490760604E-2"/>
    <n v="5.859700490760604E-2"/>
    <n v="5.859700490760604E-2"/>
    <n v="5.859700490760604E-2"/>
    <n v="5.859700490760604E-2"/>
    <n v="5.859700490760604E-2"/>
    <n v="5.859700490760604E-2"/>
    <n v="5.859700490760604E-2"/>
    <n v="5.859700490760604E-2"/>
    <n v="5.859700490760604E-2"/>
    <n v="5.859700490760604E-2"/>
    <n v="5.859700490760604E-2"/>
    <n v="5.859700490760604E-2"/>
    <n v="5.859700490760604E-2"/>
    <n v="5.859700490760604E-2"/>
  </r>
  <r>
    <x v="0"/>
    <x v="2"/>
    <s v="21535"/>
    <s v="Aceite de palma, crudo"/>
    <n v="1.4418600783660212E-2"/>
    <n v="1.2466792415598196"/>
    <n v="1.3404692207015561"/>
    <n v="1.352433858852415"/>
    <n v="1.427569243434134"/>
    <n v="1.3944245390118077"/>
    <n v="1.3777326105271985"/>
    <n v="1.4068819186372896"/>
    <n v="1.4303926542221725"/>
    <n v="1.4843507441715245"/>
    <n v="1.5907860159459892"/>
    <n v="1.5907860159459892"/>
    <n v="1.6598148773823587"/>
    <n v="1.6682967383346992"/>
    <n v="1.5465440496137746"/>
    <n v="1.5707981441777803"/>
  </r>
  <r>
    <x v="0"/>
    <x v="2"/>
    <s v="21539"/>
    <s v="Los demás aceites vegetales, crudo, n.c.p."/>
    <n v="1.4418600783660212E-2"/>
    <n v="1.4340586855827466"/>
    <n v="1.4375293645823495"/>
    <n v="1.4606553034145011"/>
    <n v="1.4880503348630107"/>
    <n v="1.4880503348630107"/>
    <n v="1.434495908729214"/>
    <n v="1.3452805564349746"/>
    <n v="1.3452805564349746"/>
    <n v="1.3996417614108201"/>
    <n v="1.4304562093959381"/>
    <n v="1.4617958031551095"/>
    <n v="1.5770261215256036"/>
    <n v="1.6938189414757718"/>
    <n v="1.6938189414757718"/>
    <n v="1.8279131236273403"/>
  </r>
  <r>
    <x v="0"/>
    <x v="2"/>
    <s v="21545"/>
    <s v="Aceite de palma, refinado"/>
    <n v="1.4418600783660212E-2"/>
    <n v="1.4146582803776278"/>
    <n v="1.4560078328559043"/>
    <n v="1.4857063540051654"/>
    <n v="1.4857063540051654"/>
    <n v="1.4696888284590952"/>
    <n v="1.4503376535080335"/>
    <n v="1.3845536862994559"/>
    <n v="1.4135311464641784"/>
    <n v="1.4571513190910743"/>
    <n v="1.4250390526271455"/>
    <n v="1.4299702163497059"/>
    <n v="1.4299702163497059"/>
    <n v="1.4299702163497059"/>
    <n v="1.4299702163497059"/>
    <n v="1.5269235938209795"/>
  </r>
  <r>
    <x v="0"/>
    <x v="2"/>
    <s v="21549"/>
    <s v="Otros aceites vegetales, refinados, n.c.p."/>
    <n v="1.4418600783660212E-2"/>
    <n v="1.4449159697600862"/>
    <n v="1.4444008578525498"/>
    <n v="1.444050832949151"/>
    <n v="1.4428492994177435"/>
    <n v="1.4429794026067255"/>
    <n v="1.4425390269454741"/>
    <n v="1.4424283855813935"/>
    <n v="1.4418512815027849"/>
    <n v="1.4436025753541044"/>
    <n v="1.4400921577141992"/>
    <n v="1.4305985179324054"/>
    <n v="1.4420126327756349"/>
    <n v="1.4792299139143972"/>
    <n v="1.4834748731316898"/>
    <n v="1.5219598338459668"/>
  </r>
  <r>
    <x v="0"/>
    <x v="3"/>
    <s v="22110"/>
    <s v="Leche liquida procesada"/>
    <n v="3.2766524750225986E-3"/>
    <n v="0.32661690324468895"/>
    <n v="0.32661690324468895"/>
    <n v="0.32348378493600721"/>
    <n v="0.32820929503315588"/>
    <n v="0.32820929503315588"/>
    <n v="0.32589287306292686"/>
    <n v="0.32742725698876951"/>
    <n v="0.33022284417274339"/>
    <n v="0.3279871978590444"/>
    <n v="0.32946063681593474"/>
    <n v="0.32874476347369513"/>
    <n v="0.32911121616230687"/>
    <n v="0.32799869079865962"/>
    <n v="0.32898756117588307"/>
    <n v="0.32978325666841385"/>
  </r>
  <r>
    <x v="0"/>
    <x v="3"/>
    <s v="22120"/>
    <s v="Crema fresca"/>
    <n v="3.2766524750225986E-3"/>
    <n v="0.32792551854045482"/>
    <n v="0.32792551854045482"/>
    <n v="0.32882346199426693"/>
    <n v="0.32758746120875049"/>
    <n v="0.32758753505789806"/>
    <n v="0.3275805634287694"/>
    <n v="0.32748560533948667"/>
    <n v="0.32726638966911964"/>
    <n v="0.32747274870828796"/>
    <n v="0.32743373424101141"/>
    <n v="0.32744721664930926"/>
    <n v="0.32744721664930926"/>
    <n v="0.32743373424101146"/>
    <n v="0.32743373424101146"/>
    <n v="0.32990612280063347"/>
  </r>
  <r>
    <x v="0"/>
    <x v="3"/>
    <s v="22251"/>
    <s v="Quesos de leche de bovino, frescos o procesados"/>
    <n v="3.2766524750225986E-3"/>
    <n v="0.32731826958888716"/>
    <n v="0.32713040065191468"/>
    <n v="0.32908846639211309"/>
    <n v="0.32733237726471259"/>
    <n v="0.32714920174941986"/>
    <n v="0.3273090171767335"/>
    <n v="0.32732025590724462"/>
    <n v="0.32737190723951509"/>
    <n v="0.32748909599991177"/>
    <n v="0.32838246240337304"/>
    <n v="0.32807408278475975"/>
    <n v="0.32801743286853297"/>
    <n v="0.32803101289490899"/>
    <n v="0.3280218013378231"/>
    <n v="0.33468045114439932"/>
  </r>
  <r>
    <x v="0"/>
    <x v="3"/>
    <s v="22260"/>
    <s v="Caseina"/>
    <n v="3.2766524750225986E-3"/>
    <n v="0.32562173391235283"/>
    <n v="0.32228719740895956"/>
    <n v="0.32228719740895956"/>
    <n v="0.3290874268107607"/>
    <n v="0.3290874268107607"/>
    <n v="0.3290874268107607"/>
    <n v="0.3290874268107607"/>
    <n v="0.3290874268107607"/>
    <n v="0.3290874268107607"/>
    <n v="0.3290874268107607"/>
    <n v="0.3290874268107607"/>
    <n v="0.3290874268107607"/>
    <n v="0.3290874268107607"/>
    <n v="0.3290874268107607"/>
    <n v="0.3290874268107607"/>
  </r>
  <r>
    <x v="0"/>
    <x v="3"/>
    <s v="22270"/>
    <s v="Helados y productos similares"/>
    <n v="3.2766524750225986E-3"/>
    <n v="0.32630884962398932"/>
    <n v="0.32612978292945394"/>
    <n v="0.32107180834105553"/>
    <n v="0.32546957322957759"/>
    <n v="0.32546957322957759"/>
    <n v="0.32546957322957759"/>
    <n v="0.32546957322957759"/>
    <n v="0.33133716076848657"/>
    <n v="0.33133716076848657"/>
    <n v="0.33124559314036267"/>
    <n v="0.33133716076848657"/>
    <n v="0.33133716076848657"/>
    <n v="0.33133716076848657"/>
    <n v="0.33133716076848657"/>
    <n v="0.33133716076848657"/>
  </r>
  <r>
    <x v="0"/>
    <x v="3"/>
    <s v="22290"/>
    <s v="Productos lácteos n.c.p."/>
    <n v="3.2766524750225986E-3"/>
    <n v="0.32918927190924724"/>
    <n v="0.32918927190924724"/>
    <n v="0.32918927190924724"/>
    <n v="0.32918927190924724"/>
    <n v="0.32918927190924724"/>
    <n v="0.32657665864012592"/>
    <n v="0.32657665864012592"/>
    <n v="0.32657665864012592"/>
    <n v="0.32657665864012592"/>
    <n v="0.32657665864012592"/>
    <n v="0.32657665864012592"/>
    <n v="0.32657665864012592"/>
    <n v="0.32657665864012592"/>
    <n v="0.3359074203155582"/>
    <n v="0.3359074203155582"/>
  </r>
  <r>
    <x v="0"/>
    <x v="4"/>
    <s v="23110"/>
    <s v="Harina de trigo o de morcajo (tranquillón)                                                                                                    "/>
    <n v="9.5533525192419855E-3"/>
    <n v="0.99794444254712289"/>
    <n v="0.9802587138087433"/>
    <n v="0.98030703921550189"/>
    <n v="0.96879717164406742"/>
    <n v="0.96879717164406742"/>
    <n v="0.93647392778566818"/>
    <n v="0.93396046168638469"/>
    <n v="0.935202160907743"/>
    <n v="0.94479245740591911"/>
    <n v="0.94323367590728091"/>
    <n v="0.93647231450437707"/>
    <n v="0.93778348603350936"/>
    <n v="0.9373733223942744"/>
    <n v="0.9373733223942744"/>
    <n v="0.9373733223942744"/>
  </r>
  <r>
    <x v="0"/>
    <x v="4"/>
    <s v="23130"/>
    <s v="Grañones (Avena), sémola y pellets de cereales excepto trigo y arroz"/>
    <n v="4.4107683930440563E-3"/>
    <n v="0.44993823303705532"/>
    <n v="0.44993823303705532"/>
    <n v="0.44993823303705532"/>
    <n v="0.44993823303705532"/>
    <n v="0.44993823303705532"/>
    <n v="0.44993823303705532"/>
    <n v="0.4372589646938842"/>
    <n v="0.4372589646938842"/>
    <n v="0.4372589646938842"/>
    <n v="0.42717192644962793"/>
    <n v="0.42717192644962793"/>
    <n v="0.42717192644962793"/>
    <n v="0.42717192644962793"/>
    <n v="0.42717192644962793"/>
    <n v="0.43682626364733168"/>
  </r>
  <r>
    <x v="0"/>
    <x v="4"/>
    <s v="23140A"/>
    <s v="Otros productos de cereales incluyendo hojuelas de maíz"/>
    <n v="4.4107683930440563E-3"/>
    <n v="0.43669197465260651"/>
    <n v="0.43754898524245311"/>
    <n v="0.43754898524245311"/>
    <n v="0.44630705468285736"/>
    <n v="0.43740994737638167"/>
    <n v="0.43740994737638167"/>
    <n v="0.43740994737638167"/>
    <n v="0.43740994737638167"/>
    <n v="0.44626411827839718"/>
    <n v="0.44630705468285742"/>
    <n v="0.44630705468285742"/>
    <n v="0.44630705468285742"/>
    <n v="0.44630705468285742"/>
    <n v="0.46436976164726029"/>
    <n v="0.44630705468285753"/>
  </r>
  <r>
    <x v="0"/>
    <x v="4"/>
    <s v="23140B"/>
    <s v="Otros productos de cereales de arroz"/>
    <n v="1.5020950094052901E-3"/>
    <n v="0.15020950094052901"/>
    <n v="0.15020950094052901"/>
    <n v="0.15020950094052901"/>
    <n v="0.15020950094052901"/>
    <n v="0.15020950094052901"/>
    <n v="0.15020950094052901"/>
    <n v="0.15020950094052901"/>
    <n v="0.15020950094052901"/>
    <n v="0.15020950094052901"/>
    <n v="0.15020950094052901"/>
    <n v="0.15020950094052901"/>
    <n v="0.15020950094052901"/>
    <n v="0.15020950094052901"/>
    <n v="0.15020950094052901"/>
    <n v="0.15020950094052901"/>
  </r>
  <r>
    <x v="0"/>
    <x v="4"/>
    <s v="23161"/>
    <s v="Arroz, semi- o totalmente molido"/>
    <n v="6.0083800376211603E-3"/>
    <n v="0.58174073785976443"/>
    <n v="0.5836074028658832"/>
    <n v="0.58184073297256822"/>
    <n v="0.59285161987094459"/>
    <n v="0.59997908085180129"/>
    <n v="0.60005520203576368"/>
    <n v="0.60595911143557724"/>
    <n v="0.61018456526920895"/>
    <n v="0.61227469532350454"/>
    <n v="0.61372029098165437"/>
    <n v="0.61470559107598932"/>
    <n v="0.61313701460273151"/>
    <n v="0.61029933547162096"/>
    <n v="0.60853368525696216"/>
    <n v="0.60788996385505489"/>
  </r>
  <r>
    <x v="0"/>
    <x v="5"/>
    <s v="23420"/>
    <s v="Pan de especias, galletas dulces, obleas y barquillos"/>
    <n v="5.8037199813530133E-3"/>
    <n v="0.58037199813530138"/>
    <n v="0.58037199813530138"/>
    <n v="0.58037199813530138"/>
    <n v="0.58037199813530138"/>
    <n v="0.58037199813530138"/>
    <n v="0.58037199813530138"/>
    <n v="0.58037199813530138"/>
    <n v="0.58037199813530138"/>
    <n v="0.58037199813530138"/>
    <n v="0.58037199813530138"/>
    <n v="0.58037199813530138"/>
    <n v="0.58037199813530138"/>
    <n v="0.59979849567554167"/>
    <n v="0.60515809574669999"/>
    <n v="0.60515809574669999"/>
  </r>
  <r>
    <x v="0"/>
    <x v="5"/>
    <s v="23430"/>
    <s v="Los demás productos de panadería y repostería n.c.p. incluso tortillas de harina de trigo (Pasteles)"/>
    <n v="5.8037199813530133E-3"/>
    <n v="0.57654935764555792"/>
    <n v="0.57853704922632498"/>
    <n v="0.57915881451062934"/>
    <n v="0.57915881451062934"/>
    <n v="0.57936057751572145"/>
    <n v="0.58057229445493597"/>
    <n v="0.5805421794323441"/>
    <n v="0.5805421794323441"/>
    <n v="0.5805421794323441"/>
    <n v="0.5818470349013477"/>
    <n v="0.58423211366466932"/>
    <n v="0.58342138289676648"/>
    <n v="0.58591266115476748"/>
    <n v="0.58910660992843578"/>
    <n v="0.59222924178314951"/>
  </r>
  <r>
    <x v="0"/>
    <x v="5"/>
    <s v="23490A"/>
    <s v="Pan y productos de panadería"/>
    <n v="4.7088206281350853E-2"/>
    <n v="4.6696702475832605"/>
    <n v="4.6696702475832605"/>
    <n v="4.6694501591492825"/>
    <n v="4.7124337457890304"/>
    <n v="4.7119902849628961"/>
    <n v="4.7185267612330737"/>
    <n v="4.7260609163642027"/>
    <n v="4.7285018958729079"/>
    <n v="4.728905437937593"/>
    <n v="4.7280974217996414"/>
    <n v="4.7280974217996414"/>
    <n v="4.7144429975462234"/>
    <n v="4.7474821921766468"/>
    <n v="4.7731397779337978"/>
    <n v="4.7793512682478934"/>
  </r>
  <r>
    <x v="0"/>
    <x v="5"/>
    <s v="23490B"/>
    <s v="Pan y productos de panadería"/>
    <n v="5.5199028623794631E-2"/>
    <n v="5.4216028504700065"/>
    <n v="5.4216028504700065"/>
    <n v="5.4216028504700065"/>
    <n v="5.4857598386601207"/>
    <n v="5.4857598386601207"/>
    <n v="5.566707920368156"/>
    <n v="5.566707920368156"/>
    <n v="5.566707920368156"/>
    <n v="5.566707920368156"/>
    <n v="5.566707920368156"/>
    <n v="5.5844832589912592"/>
    <n v="5.5844832589912592"/>
    <n v="5.5844832589912592"/>
    <n v="5.6906255767446359"/>
    <n v="5.845626356819535"/>
  </r>
  <r>
    <x v="0"/>
    <x v="6"/>
    <s v="23511"/>
    <s v="Azúcar de caña en bruto (sin refinar) sin adición de aromatizantes ni colorantes"/>
    <n v="1.9753154992302752E-2"/>
    <n v="1.951602451708258"/>
    <n v="1.9162638107811942"/>
    <n v="1.875197302689122"/>
    <n v="1.8355896883560612"/>
    <n v="1.9383985223855262"/>
    <n v="1.9776810556971312"/>
    <n v="2.0011235001252539"/>
    <n v="2.0011235001252539"/>
    <n v="2.0011235001252539"/>
    <n v="2.0508751168003974"/>
    <n v="2.1521514777649493"/>
    <n v="2.0026560642049032"/>
    <n v="2.0026560642049032"/>
    <n v="2.0026560642049032"/>
    <n v="2.0026560642049032"/>
  </r>
  <r>
    <x v="0"/>
    <x v="6"/>
    <s v="23520"/>
    <s v="Azúcar refinada"/>
    <n v="1.9753154992302752E-2"/>
    <n v="1.9808013170872585"/>
    <n v="1.9821272587332077"/>
    <n v="1.9783081593730902"/>
    <n v="1.9784399129549102"/>
    <n v="1.9806031304065776"/>
    <n v="1.976504122964194"/>
    <n v="1.973918063413673"/>
    <n v="1.9698131319718641"/>
    <n v="1.9673349411050924"/>
    <n v="1.9732027379974026"/>
    <n v="1.973176907186335"/>
    <n v="1.9695563075696987"/>
    <n v="1.9718545779460155"/>
    <n v="1.968558446827543"/>
    <n v="1.9702666132833506"/>
  </r>
  <r>
    <x v="0"/>
    <x v="7"/>
    <s v="23650"/>
    <s v="Chocolate y demás preparaciones alimenticias que contengan cacao (excepto cacao en polvo edulcorado) a granel"/>
    <n v="2.1737283216333335E-3"/>
    <n v="0.20990934468085867"/>
    <n v="0.20990934468085867"/>
    <n v="0.20990934468085867"/>
    <n v="0.20990934468085867"/>
    <n v="0.21668071738764988"/>
    <n v="0.21668071738764988"/>
    <n v="0.21668071738764988"/>
    <n v="0.21668071738764988"/>
    <n v="0.22363270632972107"/>
    <n v="0.22363270632972107"/>
    <n v="0.22363270632972107"/>
    <n v="0.23121561869680263"/>
    <n v="0.23214606760177744"/>
    <n v="0.23214606760177744"/>
    <n v="0.23214606760177744"/>
  </r>
  <r>
    <x v="0"/>
    <x v="7"/>
    <s v="23660"/>
    <s v="Chocolate y demás preparaciones alimenticias que contengan cacao (excepto cacao en polvo edulcorado), en bloques, tabletas, o barras excepto a granel"/>
    <n v="2.1737283216333335E-3"/>
    <n v="0.21371310019827219"/>
    <n v="0.21371310019827219"/>
    <n v="0.21371310019827219"/>
    <n v="0.21436823486212636"/>
    <n v="0.21539369332525418"/>
    <n v="0.21798488536673261"/>
    <n v="0.21798488536673261"/>
    <n v="0.21798488536673261"/>
    <n v="0.22023262764411664"/>
    <n v="0.22196950320904688"/>
    <n v="0.22196950320904688"/>
    <n v="0.2194464670153948"/>
    <n v="0.2198828772575854"/>
    <n v="0.21987566987323809"/>
    <n v="0.21659776579280171"/>
  </r>
  <r>
    <x v="0"/>
    <x v="7"/>
    <s v="23670"/>
    <s v="Artículos de confitería preparados con azúcar (incluyendo chocolate blanco) que no contengan cacao; vegetales, frutas, frutos secos, cascara de frutas y otras partes de plantas, conservadas por azúcar (Dulces)."/>
    <n v="2.1737283216333335E-3"/>
    <n v="0.21380874610159184"/>
    <n v="0.21380874610159184"/>
    <n v="0.21531334483889322"/>
    <n v="0.21531334483889322"/>
    <n v="0.21531334483889322"/>
    <n v="0.21926025082097386"/>
    <n v="0.21926025082097386"/>
    <n v="0.21926025082097386"/>
    <n v="0.21926025082097386"/>
    <n v="0.21926025082097386"/>
    <n v="0.21930760256763396"/>
    <n v="0.21930760256763396"/>
    <n v="0.22108586172518291"/>
    <n v="0.22108586172518291"/>
    <n v="0.22108586172518291"/>
  </r>
  <r>
    <x v="0"/>
    <x v="8"/>
    <s v="23710"/>
    <s v="Pastas alimenticias sin cocer, rellenar ni preparar de otra forma"/>
    <n v="4.6279761451362483E-3"/>
    <n v="0.46279761451362483"/>
    <n v="0.46279761451362483"/>
    <n v="0.46279761451362483"/>
    <n v="0.46279761451362483"/>
    <n v="0.46279761451362483"/>
    <n v="0.46279761451362483"/>
    <n v="0.46279761451362483"/>
    <n v="0.46279761451362483"/>
    <n v="0.46279761451362483"/>
    <n v="0.46279761451362483"/>
    <n v="0.46279761451362483"/>
    <n v="0.46279761451362483"/>
    <n v="0.46279761451362483"/>
    <n v="0.46279761451362483"/>
    <n v="0.46279761451362483"/>
  </r>
  <r>
    <x v="0"/>
    <x v="9"/>
    <s v="23911"/>
    <s v="Café, descafeinado o tostado"/>
    <n v="7.4112532157244284E-3"/>
    <n v="0.73828755783854405"/>
    <n v="0.73828755783854405"/>
    <n v="0.73828755783854405"/>
    <n v="0.73828755783854405"/>
    <n v="0.73828755783854405"/>
    <n v="0.73828755783854405"/>
    <n v="0.73828755783854405"/>
    <n v="0.73828755783854405"/>
    <n v="0.73828755783854405"/>
    <n v="0.73828755783854405"/>
    <n v="0.75421141430430549"/>
    <n v="0.75641686617956705"/>
    <n v="0.78258608212921765"/>
    <n v="0.79246846747682176"/>
    <n v="0.79246846747682176"/>
  </r>
  <r>
    <x v="0"/>
    <x v="9"/>
    <s v="23912"/>
    <s v="Sustitutos de café que contienen café; extractos, esencias y concentrados del café, y preparaciones con a base de ellos o con base a café; achicoria tostada y otros substitutos de café tostados, y extractos, esencias y sus concentrados"/>
    <n v="2.9645012862897714E-3"/>
    <n v="0.28213874310895765"/>
    <n v="0.28213874310895765"/>
    <n v="0.28213874310895765"/>
    <n v="0.28213874310895765"/>
    <n v="0.29998150947157931"/>
    <n v="0.29998150947157931"/>
    <n v="0.29998150947157931"/>
    <n v="0.29998150947157931"/>
    <n v="0.29998150947157931"/>
    <n v="0.29998150947157931"/>
    <n v="0.31447875714120943"/>
    <n v="0.31447875714120943"/>
    <n v="0.31447875714120943"/>
    <n v="0.31447875714120943"/>
    <n v="0.31447875714120943"/>
  </r>
  <r>
    <x v="0"/>
    <x v="9"/>
    <s v="23921"/>
    <s v="Pimienta procesada"/>
    <n v="2.9645012862897714E-3"/>
    <n v="0.29247322004254017"/>
    <n v="0.29247322004254017"/>
    <n v="0.29247322004254017"/>
    <n v="0.29724551034626456"/>
    <n v="0.2969046324674271"/>
    <n v="0.29775682716452073"/>
    <n v="0.29775682716452073"/>
    <n v="0.29792726610393933"/>
    <n v="0.29809770504335814"/>
    <n v="0.29809770504335814"/>
    <n v="0.29809770504335814"/>
    <n v="0.29809770504335814"/>
    <n v="0.29809770504335814"/>
    <n v="0.29826814398277707"/>
    <n v="0.29826814398277707"/>
  </r>
  <r>
    <x v="0"/>
    <x v="9"/>
    <s v="23992"/>
    <s v="Sopas y caldos y preparaciones de los mismos"/>
    <n v="4.4467519294346574E-3"/>
    <n v="0.44077543619772569"/>
    <n v="0.4425297026165339"/>
    <n v="0.4425297026165339"/>
    <n v="0.44356825205702399"/>
    <n v="0.44351425384284221"/>
    <n v="0.44372981423264968"/>
    <n v="0.44535443231124233"/>
    <n v="0.44535443231124233"/>
    <n v="0.44535443231124233"/>
    <n v="0.44540826134488459"/>
    <n v="0.44540826134488459"/>
    <n v="0.45257533413478451"/>
    <n v="0.44662733008737976"/>
    <n v="0.44662733008737976"/>
    <n v="0.44662733008737976"/>
  </r>
  <r>
    <x v="0"/>
    <x v="9"/>
    <s v="23995"/>
    <s v="Salsas; condimentos mixtos; harinas de mostaza y sustancias en polvo; mostaza preparada"/>
    <n v="5.9290025725795429E-3"/>
    <n v="0.59272307472286945"/>
    <n v="0.59266553911254571"/>
    <n v="0.59262939160366279"/>
    <n v="0.59336951736630095"/>
    <n v="0.59239009753051786"/>
    <n v="0.59271723173078827"/>
    <n v="0.59379452449351178"/>
    <n v="0.59441084957752544"/>
    <n v="0.59372953079549773"/>
    <n v="0.59360726708212208"/>
    <n v="0.5935349550337834"/>
    <n v="0.58923110804632617"/>
    <n v="0.59212620160324536"/>
    <n v="0.60322359306967444"/>
    <n v="0.60545477740157194"/>
  </r>
  <r>
    <x v="0"/>
    <x v="9"/>
    <s v="23996"/>
    <s v="Levaduras (activas o inactivas); otros microorganismos unicelulares, muertos; polvos de hornear preparados"/>
    <n v="2.9645012862897714E-3"/>
    <n v="0.29191328880933864"/>
    <n v="0.29191328880933864"/>
    <n v="0.29191328880933864"/>
    <n v="0.29191328880933864"/>
    <n v="0.29191328880933864"/>
    <n v="0.29378930269502118"/>
    <n v="0.29378930269502118"/>
    <n v="0.29409140485250196"/>
    <n v="0.30383513990071348"/>
    <n v="0.3041099831192583"/>
    <n v="0.3041099831192583"/>
    <n v="0.3041099831192583"/>
    <n v="0.3041099831192583"/>
    <n v="0.3041099831192583"/>
    <n v="0.3041099831192583"/>
  </r>
  <r>
    <x v="0"/>
    <x v="9"/>
    <s v="23999"/>
    <s v="Otros productos alimenticios n.c.p."/>
    <n v="2.9645012862897714E-3"/>
    <n v="0.29787450103098506"/>
    <n v="0.29775697060047274"/>
    <n v="0.297805860133603"/>
    <n v="0.29773583267665554"/>
    <n v="0.29768867826362072"/>
    <n v="0.29756256183190821"/>
    <n v="0.29762325944315454"/>
    <n v="0.29754366373773411"/>
    <n v="0.29757421052170152"/>
    <n v="0.29750403738007919"/>
    <n v="0.29137172878720663"/>
    <n v="0.28936023914060471"/>
    <n v="0.28917474492191653"/>
    <n v="0.2938589609326801"/>
    <n v="0.29563100181537028"/>
  </r>
  <r>
    <x v="0"/>
    <x v="10"/>
    <s v="23311"/>
    <s v="Alimentos para perros o gatos, acondicionados para la venta al por menor (Concentrados)."/>
    <n v="1.4696192985026576E-2"/>
    <n v="1.4951520592512366"/>
    <n v="1.4951520592512366"/>
    <n v="1.4951520592512366"/>
    <n v="1.4951520592512366"/>
    <n v="1.4796238090563585"/>
    <n v="1.4652438344586518"/>
    <n v="1.4536560647595385"/>
    <n v="1.4200368366476654"/>
    <n v="1.4794126558683751"/>
    <n v="1.4645117861760186"/>
    <n v="1.4418706608720369"/>
    <n v="1.450467697188301"/>
    <n v="1.4502476240266169"/>
    <n v="1.4502476240266169"/>
    <n v="1.4502476240266169"/>
  </r>
  <r>
    <x v="0"/>
    <x v="10"/>
    <s v="23319"/>
    <s v="Alimentos preparados para otros animales y premezclas para la fabricación de alimentos para animales (Concentrados). "/>
    <n v="1.2024157896839926E-2"/>
    <n v="1.2260663214948857"/>
    <n v="1.2212793574504412"/>
    <n v="1.2158435234681706"/>
    <n v="1.2053338865969006"/>
    <n v="1.2051796930421834"/>
    <n v="1.1940969760857751"/>
    <n v="1.199697896070588"/>
    <n v="1.1959091629898566"/>
    <n v="1.1945038701291237"/>
    <n v="1.1917582044022397"/>
    <n v="1.188199550280902"/>
    <n v="1.1911210341968443"/>
    <n v="1.1894072485664293"/>
    <n v="1.189975979018949"/>
    <n v="1.1897423522951984"/>
  </r>
  <r>
    <x v="1"/>
    <x v="11"/>
    <s v="24310"/>
    <s v="Cerveza de malta (con o sin alcohol)"/>
    <n v="6.7777780540725233E-3"/>
    <n v="0.67755276935544018"/>
    <n v="0.67755276935544018"/>
    <n v="0.67756361063340453"/>
    <n v="0.67756364677012748"/>
    <n v="0.67756364677012748"/>
    <n v="0.67756364677012748"/>
    <n v="0.67756364677012748"/>
    <n v="0.6775667502387327"/>
    <n v="0.6775667502387327"/>
    <n v="0.6775667502387327"/>
    <n v="0.6775667502387327"/>
    <n v="0.68014292750730365"/>
    <n v="0.68014922550605539"/>
    <n v="0.68014922550605539"/>
    <n v="0.68014922550605539"/>
  </r>
  <r>
    <x v="1"/>
    <x v="12"/>
    <s v="24410"/>
    <s v="Aguas embotelladas, no endulzadas ni saborizadas (Agua pura, agua con gas o mineral sin sabor, hielo)"/>
    <n v="1.0883230693514065E-3"/>
    <n v="0.10883281081034177"/>
    <n v="0.10883281081034177"/>
    <n v="0.10883281081034177"/>
    <n v="0.10883281081034177"/>
    <n v="0.10883281081034177"/>
    <n v="0.10883281081034177"/>
    <n v="0.10883281081034177"/>
    <n v="0.10883160150985917"/>
    <n v="0.10883160150985917"/>
    <n v="0.10883160150985917"/>
    <n v="0.10883160150985917"/>
    <n v="0.10883160150985917"/>
    <n v="0.10670829198609019"/>
    <n v="0.10670829198609019"/>
    <n v="0.10670829198609019"/>
  </r>
  <r>
    <x v="1"/>
    <x v="12"/>
    <s v="24490A"/>
    <s v="Otras bebidas calóricas no alcohólicas (Bebidas gaseosas, jugos y refrescos artificiales, bebidas deportivas, agua mineral con sabor)"/>
    <n v="1.0883230693514065E-3"/>
    <n v="0.10951720150821002"/>
    <n v="0.10951720150821002"/>
    <n v="0.10951720150821002"/>
    <n v="0.10951720150821002"/>
    <n v="0.10951720150821002"/>
    <n v="0.10951720150821002"/>
    <n v="0.10951720150821002"/>
    <n v="0.10951546885771624"/>
    <n v="0.10951546885771624"/>
    <n v="0.10677877831626177"/>
    <n v="0.10677877831626177"/>
    <n v="0.10677877831626177"/>
    <n v="0.10677877831626177"/>
    <n v="0.10951627507759663"/>
    <n v="0.10951627507759663"/>
  </r>
  <r>
    <x v="1"/>
    <x v="12"/>
    <s v="24490B"/>
    <s v="Otras bebidas calóricas no alcohólicas (Bebidas hidratantes y bebidas energizantes)"/>
    <n v="1.6322226321342975E-2"/>
    <n v="1.6322226321342974"/>
    <n v="1.6322226321342974"/>
    <n v="1.6322226321342974"/>
    <n v="1.6322226321342974"/>
    <n v="1.6322226321342974"/>
    <n v="1.6322226321342974"/>
    <n v="1.6322226321342974"/>
    <n v="1.6322226321342974"/>
    <n v="1.6322226321342974"/>
    <n v="1.6322226321342974"/>
    <n v="1.6322226321342974"/>
    <n v="1.6322226321342974"/>
    <n v="1.6322226321342974"/>
    <n v="1.6322226321342974"/>
    <n v="1.6322226321342974"/>
  </r>
  <r>
    <x v="1"/>
    <x v="12"/>
    <s v="24490C"/>
    <s v="Refrescos artificiales"/>
    <n v="1.9949387726085861E-2"/>
    <n v="1.9949469823074912"/>
    <n v="1.9949469823074912"/>
    <n v="1.9949469823074912"/>
    <n v="1.9949469823074912"/>
    <n v="1.9949469823074912"/>
    <n v="1.9949469823074912"/>
    <n v="1.9949469823074912"/>
    <n v="1.9949272790301187"/>
    <n v="1.9949272790301187"/>
    <n v="1.9949272790301187"/>
    <n v="1.9949272790301187"/>
    <n v="1.9949272790301187"/>
    <n v="1.9949272790301187"/>
    <n v="1.9949272790301187"/>
    <n v="1.9949272790301187"/>
  </r>
  <r>
    <x v="2"/>
    <x v="13"/>
    <s v="26360"/>
    <s v="Hilados de algodón (excepto hilo de coser), que contiene 85% o más en peso de algodón"/>
    <n v="1.6374465035719577E-3"/>
    <n v="0.16403535036868475"/>
    <n v="0.16364769009290017"/>
    <n v="0.16365940552133448"/>
    <n v="0.16444494258937975"/>
    <n v="0.16410005040689971"/>
    <n v="0.16384801852567976"/>
    <n v="0.16368527614256803"/>
    <n v="0.16392335452715084"/>
    <n v="0.16429850450669334"/>
    <n v="0.16375341714226865"/>
    <n v="0.16357195045565864"/>
    <n v="0.16196784400713088"/>
    <n v="0.16120461590895591"/>
    <n v="0.15970870801069689"/>
    <n v="0.16000729764147337"/>
  </r>
  <r>
    <x v="2"/>
    <x v="13"/>
    <s v="26420"/>
    <s v="Hilados de filamentos artificiales o sintéticos, múltiples o cableados (que no sea hilo de coser, hilados de gran resistencia de poliamidas, poliéster o rayón viscosa), no apto para la venta al por menor; hilados artificiales o sintéticos (que no sea hilo de coser), apto para la venta al por menor"/>
    <n v="1.6374465035719577E-3"/>
    <n v="0.16517840368031869"/>
    <n v="0.16517840368031869"/>
    <n v="0.16517840368031869"/>
    <n v="0.16517840368031869"/>
    <n v="0.16517840368031869"/>
    <n v="0.16517840368031869"/>
    <n v="0.16517840368031869"/>
    <n v="0.16517840368031869"/>
    <n v="0.16517840368031869"/>
    <n v="0.15944339038782701"/>
    <n v="0.15944339038782701"/>
    <n v="0.15944339038782701"/>
    <n v="0.15944339038782701"/>
    <n v="0.15944339038782701"/>
    <n v="0.15944339038782701"/>
  </r>
  <r>
    <x v="2"/>
    <x v="14"/>
    <s v="26610"/>
    <s v="Tejidos de algodón con un contenido 85% o más en peso de algodón, de peso no superior 200 g/m2"/>
    <n v="1.6374465035719577E-3"/>
    <n v="0.16351429507359694"/>
    <n v="0.16351429507359694"/>
    <n v="0.16351429507359694"/>
    <n v="0.16350625424360327"/>
    <n v="0.16350625424360327"/>
    <n v="0.16350625424360327"/>
    <n v="0.16350625424360327"/>
    <n v="0.16350625424360327"/>
    <n v="0.16355658713018206"/>
    <n v="0.16353647070345018"/>
    <n v="0.16426210834392294"/>
    <n v="0.16550648166998669"/>
    <n v="0.16563335578554883"/>
    <n v="0.16563335578554883"/>
    <n v="0.16605296461550462"/>
  </r>
  <r>
    <x v="2"/>
    <x v="14"/>
    <s v="26690"/>
    <s v="Otros tejidos de algodón"/>
    <n v="1.6374465035719577E-3"/>
    <n v="0.16246354182064282"/>
    <n v="0.16246354182064282"/>
    <n v="0.16246354182064282"/>
    <n v="0.1630329233924441"/>
    <n v="0.1630329233924441"/>
    <n v="0.1630329233924441"/>
    <n v="0.1630329233924441"/>
    <n v="0.1630329233924441"/>
    <n v="0.16559514046555013"/>
    <n v="0.16559514046555013"/>
    <n v="0.16559514046555013"/>
    <n v="0.16559514046555013"/>
    <n v="0.16559514046555013"/>
    <n v="0.16559514046555013"/>
    <n v="0.15978753838287202"/>
  </r>
  <r>
    <x v="2"/>
    <x v="14"/>
    <s v="26720"/>
    <s v="Otros tejidos de hilados de filamentos sintéticos o artificiales, que contienen 85% o más en peso de tales filamentos"/>
    <n v="1.6374465035719577E-3"/>
    <n v="0.16048980650207575"/>
    <n v="0.16037819226737995"/>
    <n v="0.16026528537089157"/>
    <n v="0.16310967411409188"/>
    <n v="0.16293473928574123"/>
    <n v="0.16289316729776959"/>
    <n v="0.16274492461538079"/>
    <n v="0.16259429577309462"/>
    <n v="0.16508099876773974"/>
    <n v="0.16496978853185049"/>
    <n v="0.16985942084195682"/>
    <n v="0.1696155109183769"/>
    <n v="0.17001199273124745"/>
    <n v="0.16982475753474141"/>
    <n v="0.17010252389948957"/>
  </r>
  <r>
    <x v="2"/>
    <x v="14"/>
    <s v="26730"/>
    <s v="Otros tejidos de hilados de filamentos artificiales o sintéticos"/>
    <n v="1.6374465035719577E-3"/>
    <n v="0.16377299462362138"/>
    <n v="0.16377299462362138"/>
    <n v="0.16377299462362138"/>
    <n v="0.16377299462362138"/>
    <n v="0.16377299462362138"/>
    <n v="0.16377299462362138"/>
    <n v="0.16377299462362138"/>
    <n v="0.16377299462362138"/>
    <n v="0.16377299462362138"/>
    <n v="0.16377299462362138"/>
    <n v="0.16377299462362138"/>
    <n v="0.16343286342651406"/>
    <n v="0.1684627396511657"/>
    <n v="0.1684627396511657"/>
    <n v="0.1684627396511657"/>
  </r>
  <r>
    <x v="2"/>
    <x v="15"/>
    <n v="27120"/>
    <s v="Ropa de cama, mantelería, toallas de baño y paños de cocina"/>
    <n v="5.3208621750274361E-3"/>
    <n v="0.5326994746450453"/>
    <n v="0.53307769056151366"/>
    <n v="0.53533730736434626"/>
    <n v="0.53227156701641232"/>
    <n v="0.5338854914635065"/>
    <n v="0.53322249738919347"/>
    <n v="0.53059009622196651"/>
    <n v="0.53221644975453974"/>
    <n v="0.53307049743224844"/>
    <n v="0.53437038898307254"/>
    <n v="0.53099890426470431"/>
    <n v="0.52329424493637577"/>
    <n v="0.52972357506194179"/>
    <n v="0.52945869255366673"/>
    <n v="0.5322798918865721"/>
  </r>
  <r>
    <x v="2"/>
    <x v="15"/>
    <n v="27180"/>
    <s v="Colchas, edredones, cojines, pufs, almohadas, sacos de dormir y artículos similares, con resortes o rellenos o guarnecidos interiormente con cualquier material o de caucho celular o plástico"/>
    <n v="4.4340518125228637E-3"/>
    <n v="0.444574030694174"/>
    <n v="0.444574030694174"/>
    <n v="0.444574030694174"/>
    <n v="0.444574030694174"/>
    <n v="0.444574030694174"/>
    <n v="0.444574030694174"/>
    <n v="0.444574030694174"/>
    <n v="0.444574030694174"/>
    <n v="0.444574030694174"/>
    <n v="0.444574030694174"/>
    <n v="0.444574030694174"/>
    <n v="0.43054783739152153"/>
    <n v="0.4445741008900494"/>
    <n v="0.4445741008900494"/>
    <n v="0.4445741008900494"/>
  </r>
  <r>
    <x v="2"/>
    <x v="15"/>
    <n v="27190"/>
    <s v="Otros artículos confeccionados con materias textiles (incluyendo paños para pisos -trapeadores-, paños para platos, limpia polvo y artículos similares para limpieza, chalecos salvavidas y cinturones salvavidas)"/>
    <n v="4.4340518125228637E-3"/>
    <n v="0.44545920690794116"/>
    <n v="0.44319067258614203"/>
    <n v="0.44733119302487923"/>
    <n v="0.44211824925730925"/>
    <n v="0.44779859448051235"/>
    <n v="0.44688933905498635"/>
    <n v="0.43910739700751333"/>
    <n v="0.44081885538393001"/>
    <n v="0.44582907807768024"/>
    <n v="0.44143647362879679"/>
    <n v="0.44207955718721287"/>
    <n v="0.43880355843053398"/>
    <n v="0.44036871185932186"/>
    <n v="0.44188111170671146"/>
    <n v="0.44257195602786942"/>
  </r>
  <r>
    <x v="2"/>
    <x v="16"/>
    <n v="27911"/>
    <s v="Cintas (Tejidos estrechos);  Cintas (tejidos estrechos) de urdimbre sin trama sujeta por pegamento adhesivo (balduques); etiquetas, insignias y artículos similares de materias textiles, sin bordar, trencillas en piezas; artículos de pasamanería en piezas, sin bordados, que no sea tejido de punto o ganchillo; borlas, pompones y artículos similares"/>
    <n v="3.5472414500182913E-3"/>
    <n v="0.35532511438538317"/>
    <n v="0.35524008068502227"/>
    <n v="0.35524190022691354"/>
    <n v="0.35488089200690648"/>
    <n v="0.35473094308879999"/>
    <n v="0.3547667690694708"/>
    <n v="0.35472825570263189"/>
    <n v="0.35454088393289407"/>
    <n v="0.35454088393289407"/>
    <n v="0.35434917061097115"/>
    <n v="0.35424757567329485"/>
    <n v="0.35409727070676705"/>
    <n v="0.354083760889226"/>
    <n v="0.3541800971138615"/>
    <n v="0.35405763752295411"/>
  </r>
  <r>
    <x v="3"/>
    <x v="17"/>
    <s v="28221"/>
    <s v="Trajes, abrigos, chaquetas, pantalones largos, pantalones cortos y artículos análogos para hombres o niños, de punto o ganchillo"/>
    <n v="6.2446449293731198E-3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</r>
  <r>
    <x v="3"/>
    <x v="17"/>
    <s v="28222"/>
    <s v="Camisas, calzoncillos (ropa interior), pijamas, batas y artículos similares para hombres o niños, de punto o ganchillo"/>
    <n v="6.2446449293731198E-3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3252599043409707"/>
    <n v="0.63252596794428684"/>
    <n v="0.63252596794428684"/>
  </r>
  <r>
    <x v="3"/>
    <x v="17"/>
    <s v="28224"/>
    <s v="Blusas, camisas (Incluso los Güipiles típicos), enaguas, bragas, camisones, batas y artículos similares para mujeres o niñas, de punto o ganchillo"/>
    <n v="6.2446449293731198E-3"/>
    <n v="0.6347033213526625"/>
    <n v="0.62217423284697604"/>
    <n v="0.63346056205914081"/>
    <n v="0.63528952752045287"/>
    <n v="0.63059341951894965"/>
    <n v="0.61487765214552192"/>
    <n v="0.6177388973831035"/>
    <n v="0.62814650066760747"/>
    <n v="0.6311946848431137"/>
    <n v="0.61552631175411876"/>
    <n v="0.62661934821800069"/>
    <n v="0.60324945693809562"/>
    <n v="0.5932204694859311"/>
    <n v="0.60663589540429952"/>
    <n v="0.60653992705254967"/>
  </r>
  <r>
    <x v="3"/>
    <x v="17"/>
    <s v="28225"/>
    <s v="Camisetas y T-shirts (playeras) de todo tipo, de punto o ganchillo"/>
    <n v="6.2446449293731198E-3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3656482638160616"/>
    <n v="0.63656482638160616"/>
    <n v="0.63656482638160616"/>
  </r>
  <r>
    <x v="3"/>
    <x v="17"/>
    <s v="28231"/>
    <s v="Trajes, abrigos, chaquetas, pantalones largos, pantalones cortos y artículos similares para hombres o niños, de tejidos que no sean de punto o ganchillo"/>
    <n v="6.2446449293731198E-3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004498328407565"/>
    <n v="0.62004498328407565"/>
  </r>
  <r>
    <x v="3"/>
    <x v="17"/>
    <s v="28232"/>
    <s v="Camisas, camisetas, calzoncillos, pijamas, batas y artículos análogos para hombres o niños, de tejidos que no sean de punto o ganchillo"/>
    <n v="6.2446449293731198E-3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790431835091864"/>
    <n v="0.62903976574710319"/>
    <n v="0.643494418986849"/>
  </r>
  <r>
    <x v="3"/>
    <x v="17"/>
    <s v="28233"/>
    <s v="Trajes sastre, abrigos, chaquetas, vestidos, faldas, pantalones largos, pantalones cortos y artículos análogos para mujeres o niñas, de tejidos que no sean de punto o ganchillo"/>
    <n v="6.2446449293731198E-3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1669951377265975"/>
    <n v="0.61669951377265975"/>
  </r>
  <r>
    <x v="3"/>
    <x v="17"/>
    <s v="28234"/>
    <s v="Blusas, camisas, camisetas, enaguas, bragas, camisones, batas y artículos análogos para mujeres o niñas, de tejidos que no sean de punto o ganchillo"/>
    <n v="6.2446449293731198E-3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446449293731199"/>
    <n v="0.6284257296541953"/>
    <n v="0.6284257296541953"/>
  </r>
  <r>
    <x v="3"/>
    <x v="17"/>
    <s v="88221"/>
    <s v="Servicios de fabricación de prendas de vestir, excepto prendas de piel"/>
    <n v="1.2537708851376882E-2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</r>
  <r>
    <x v="3"/>
    <x v="17"/>
    <s v="88223"/>
    <s v="Servicios de fabricación de prendas de vestir de punto y ganchillo"/>
    <n v="1.2537708851376882E-2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  <n v="1.2537708851376883"/>
  </r>
  <r>
    <x v="4"/>
    <x v="18"/>
    <s v="29320"/>
    <s v="Calzado con suela y parte superior de caucho o de plástico, excepto el impermeable y el calzado deportivo"/>
    <n v="3.5270241000204925E-3"/>
    <n v="0.34597132472985503"/>
    <n v="0.34088277195813127"/>
    <n v="0.35388292823005446"/>
    <n v="0.35388292823005446"/>
    <n v="0.35388292823005446"/>
    <n v="0.34867801144477795"/>
    <n v="0.35832589063202808"/>
    <n v="0.35832589063202808"/>
    <n v="0.35464906148440184"/>
    <n v="0.35464906148440184"/>
    <n v="0.35464906148440184"/>
    <n v="0.35464906148440184"/>
    <n v="0.35464906148440184"/>
    <n v="0.35971616124077738"/>
    <n v="0.35770653181621337"/>
  </r>
  <r>
    <x v="4"/>
    <x v="18"/>
    <s v="29330"/>
    <s v="Calzado con la parte superior de cuero, excepto el calzado deportivo, calzado con puntera metálica de protección y calzado especial diverso"/>
    <n v="3.5270241000204925E-3"/>
    <n v="0.35019589195947565"/>
    <n v="0.35115160868128292"/>
    <n v="0.35083668683329766"/>
    <n v="0.3512479946946534"/>
    <n v="0.35276667758889091"/>
    <n v="0.35252577744576963"/>
    <n v="0.35338500002304374"/>
    <n v="0.35364293243670847"/>
    <n v="0.35334392990271196"/>
    <n v="0.35377508494093013"/>
    <n v="0.35386116799515599"/>
    <n v="0.35569616752267058"/>
    <n v="0.35965681113521891"/>
    <n v="0.35953090065447629"/>
    <n v="0.35965681113521891"/>
  </r>
  <r>
    <x v="4"/>
    <x v="18"/>
    <s v="29490"/>
    <s v="Otro calzado de deporte, excepto las botas de patinaje"/>
    <n v="3.0231635143032794E-3"/>
    <n v="0.29701255579119945"/>
    <n v="0.29701255579119945"/>
    <n v="0.29701255579119945"/>
    <n v="0.31822773834771356"/>
    <n v="0.31822773834771356"/>
    <n v="0.29701255579119928"/>
    <n v="0.29701255579119928"/>
    <n v="0.29701255579119928"/>
    <n v="0.31822773834771345"/>
    <n v="0.29701255579119917"/>
    <n v="0.29701255579119917"/>
    <n v="0.29701255579119917"/>
    <n v="0.31822773834771323"/>
    <n v="0.31822773834771323"/>
    <n v="0.31822773834771323"/>
  </r>
  <r>
    <x v="5"/>
    <x v="19"/>
    <s v="31100"/>
    <s v="Madera aserrada o desbastada longitudinalmente, cortadas o desenrolladas, de un espesor superior a 6 mm, traviesas de ferrocarril o tranvía (durmientes) de madera sin impregnar"/>
    <n v="3.9570048382340057E-3"/>
    <n v="0.38762906242155348"/>
    <n v="0.39513276852715967"/>
    <n v="0.39866988087207517"/>
    <n v="0.39863921968218979"/>
    <n v="0.39919258371999961"/>
    <n v="0.39493435714866265"/>
    <n v="0.39569177252652521"/>
    <n v="0.39569261891293084"/>
    <n v="0.39566950031867842"/>
    <n v="0.39571222821176733"/>
    <n v="0.39601918612063597"/>
    <n v="0.39542262741862833"/>
    <n v="0.3960156315817227"/>
    <n v="0.4001388199078707"/>
    <n v="0.40176844957128338"/>
  </r>
  <r>
    <x v="5"/>
    <x v="19"/>
    <s v="31210"/>
    <s v="Madera con librado continuo a lo largo de cualquiera de sus bordes o caras (incluidas las tablillas y frisos para parqués, sin ensamblar, listones y molduras)"/>
    <n v="3.9570048382340057E-3"/>
    <n v="0.39526357018803476"/>
    <n v="0.39536472560123631"/>
    <n v="0.39534846183108391"/>
    <n v="0.39534846179271577"/>
    <n v="0.39536194374472272"/>
    <n v="0.39518649433770636"/>
    <n v="0.3951833207155826"/>
    <n v="0.39538729628656927"/>
    <n v="0.3953503109176037"/>
    <n v="0.39681116066321842"/>
    <n v="0.39687608494961157"/>
    <n v="0.39692397485272196"/>
    <n v="0.39682577741309411"/>
    <n v="0.39682577741309411"/>
    <n v="0.39682577741309411"/>
  </r>
  <r>
    <x v="5"/>
    <x v="19"/>
    <s v="31310"/>
    <s v="Madera sin elaborar, tratada con pintura colorantes, creosota u otros preservativos"/>
    <n v="3.9570048382340057E-3"/>
    <n v="0.39570116505163039"/>
    <n v="0.39570116505163039"/>
    <n v="0.39569856162603095"/>
    <n v="0.39569856162603095"/>
    <n v="0.39569856162603095"/>
    <n v="0.39570111298563621"/>
    <n v="0.39570111298563621"/>
    <n v="0.39570111298563621"/>
    <n v="0.39570111298563621"/>
    <n v="0.39570111298563621"/>
    <n v="0.39570111298563621"/>
    <n v="0.39570111298563621"/>
    <n v="0.39833561078039531"/>
    <n v="0.40446472040337272"/>
    <n v="0.40932353237729813"/>
  </r>
  <r>
    <x v="5"/>
    <x v="20"/>
    <n v="31420"/>
    <s v="Las demás madera contrachapada, madera chapada y madera estratificada similar, con excepción de bambú"/>
    <n v="1.9604044717117068E-3"/>
    <n v="0.19992087047869106"/>
    <n v="0.19406532690418143"/>
    <n v="0.19562173338146827"/>
    <n v="0.19493574629282309"/>
    <n v="0.19199968616426499"/>
    <n v="0.19524737739165454"/>
    <n v="0.19601621155284568"/>
    <n v="0.19605010545606186"/>
    <n v="0.19597631476841912"/>
    <n v="0.19759820502911193"/>
    <n v="0.19738298104696381"/>
    <n v="0.19767080758756295"/>
    <n v="0.20370288571010883"/>
    <n v="0.20378957664082406"/>
    <n v="0.20372932532896781"/>
  </r>
  <r>
    <x v="5"/>
    <x v="20"/>
    <s v="31430"/>
    <s v="Tableros de partículas (aglomerados) y Tableros similares de madera u otras materias leñosas"/>
    <n v="1.9604044717117068E-3"/>
    <n v="0.20677479780449234"/>
    <n v="0.19611925592247312"/>
    <n v="0.19611925592247312"/>
    <n v="0.19611925592247312"/>
    <n v="0.19468527228629157"/>
    <n v="0.1950560362316679"/>
    <n v="0.1950560362316679"/>
    <n v="0.19470691488117442"/>
    <n v="0.19458208793784804"/>
    <n v="0.19460899330178794"/>
    <n v="0.19460548470412348"/>
    <n v="0.19405197490757548"/>
    <n v="0.19405197490757548"/>
    <n v="0.19429904921687419"/>
    <n v="0.19412666583201491"/>
  </r>
  <r>
    <x v="5"/>
    <x v="20"/>
    <s v="31440"/>
    <s v="Tableros de fibra de madera u otros materiales leñosos"/>
    <n v="1.9604044717117068E-3"/>
    <n v="0.1968095000507302"/>
    <n v="0.19655450644753947"/>
    <n v="0.19603600989051295"/>
    <n v="0.19643472722923086"/>
    <n v="0.19525573847863539"/>
    <n v="0.19525573847863539"/>
    <n v="0.19525573847863539"/>
    <n v="0.19474013024700287"/>
    <n v="0.19164142691340899"/>
    <n v="0.19184966713425269"/>
    <n v="0.20078670732530204"/>
    <n v="0.20186547538016186"/>
    <n v="0.20219457866735829"/>
    <n v="0.20219457866735829"/>
    <n v="0.20219457866735829"/>
  </r>
  <r>
    <x v="5"/>
    <x v="21"/>
    <s v="31600"/>
    <s v="Obras y piezas de carpintería para edificios y construcción (incluso tableros de madera celular, tableros armados para pisos de parqué, tablillas y ripias)"/>
    <n v="1.9604044717117068E-3"/>
    <n v="0.19688817000647507"/>
    <n v="0.19679683254755345"/>
    <n v="0.19669661560928089"/>
    <n v="0.19615223163739684"/>
    <n v="0.19547984935866231"/>
    <n v="0.19619469780445847"/>
    <n v="0.19631963921108872"/>
    <n v="0.19591490700984296"/>
    <n v="0.19491180351539508"/>
    <n v="0.19546416513281695"/>
    <n v="0.19574221262608954"/>
    <n v="0.19592424159498803"/>
    <n v="0.19625766713767268"/>
    <n v="0.19626358540691732"/>
    <n v="0.19626358540691732"/>
  </r>
  <r>
    <x v="6"/>
    <x v="22"/>
    <s v="32153"/>
    <s v="Cajas de cartón, estuches, fundas de discos y otros envases (excepto bolsas) de papel, cartón, guata de celulosa o napa de fibras de celulosa; archivadores, clasificadores de cartas, y artículos similares, de papel o cartón del tipo utilizado en oficinas, tiendas o similares"/>
    <n v="1.4241801640192791E-2"/>
    <n v="1.4291559360857502"/>
    <n v="1.4371153427848056"/>
    <n v="1.4399476937651543"/>
    <n v="1.4290613699457597"/>
    <n v="1.4389060252993062"/>
    <n v="1.4302931017362117"/>
    <n v="1.4005945207744732"/>
    <n v="1.4001300162606534"/>
    <n v="1.4207273337381772"/>
    <n v="1.4207249706279033"/>
    <n v="1.4217891568628924"/>
    <n v="1.4217165003502645"/>
    <n v="1.4198697260859137"/>
    <n v="1.4564576817190125"/>
    <n v="1.4664298295336129"/>
  </r>
  <r>
    <x v="6"/>
    <x v="23"/>
    <s v="32193"/>
    <s v="Papel higiénico, pañuelos, toallas, servilletas, pañales para lactantes, tampones higiénicos y artículos similares higiénicos para el hogar u hospitales; y prendas de vestir, pulpa de papel, papel, guata de celulosa o redes de fibras de celulosa"/>
    <n v="5.523264297943949E-3"/>
    <n v="0.55305900680923392"/>
    <n v="0.55473494464744766"/>
    <n v="0.55508103993991653"/>
    <n v="0.5509192729513791"/>
    <n v="0.55165335199017018"/>
    <n v="0.55267351298937939"/>
    <n v="0.55831274361062777"/>
    <n v="0.54944350628617455"/>
    <n v="0.55250915443248005"/>
    <n v="0.55112805278346599"/>
    <n v="0.54993219870806298"/>
    <n v="0.54847037238440066"/>
    <n v="0.55123238060865398"/>
    <n v="0.55123357515385918"/>
    <n v="0.55123357515385918"/>
  </r>
  <r>
    <x v="6"/>
    <x v="23"/>
    <s v="32199"/>
    <s v="Los demás artículos de papel n.c.p."/>
    <n v="2.2093057191775799E-3"/>
    <n v="0.22382357083517221"/>
    <n v="0.22354762626958258"/>
    <n v="0.22176657608923345"/>
    <n v="0.22159842278518987"/>
    <n v="0.22108123783583097"/>
    <n v="0.22014178882073124"/>
    <n v="0.22007164822767628"/>
    <n v="0.2199475603893522"/>
    <n v="0.21988818069991739"/>
    <n v="0.2198742677614744"/>
    <n v="0.21979432939323451"/>
    <n v="0.21963165390570094"/>
    <n v="0.21978869919665642"/>
    <n v="0.22172826425614131"/>
    <n v="0.22172826425614131"/>
  </r>
  <r>
    <x v="6"/>
    <x v="23"/>
    <n v="32700"/>
    <s v="Libros de registro, libros de contabilidad, cuadernillos de notas, bloques para cartas, agendas y artículos similares, secantes, encuadernadores, clasificadores para archivos, formularios y otros artículos de escritorio de papel o cartón"/>
    <n v="3.3139585787663691E-3"/>
    <n v="0.33213101978801807"/>
    <n v="0.33213101978801807"/>
    <n v="0.33212525657605518"/>
    <n v="0.33213101978801807"/>
    <n v="0.33213101978801807"/>
    <n v="0.33213050158496399"/>
    <n v="0.33185602067918918"/>
    <n v="0.33185602067918918"/>
    <n v="0.33185602067918918"/>
    <n v="0.32946746505632774"/>
    <n v="0.32946746505632774"/>
    <n v="0.32946746505632774"/>
    <n v="0.32946746505632774"/>
    <n v="0.32946746505632774"/>
    <n v="0.32849509727624721"/>
  </r>
  <r>
    <x v="7"/>
    <x v="24"/>
    <n v="32690"/>
    <s v="Libros de registro, libros de contabilidad, cuadernillos de notas, bloques para cartas, agendas y artículos similares, secantes, encuadernadores, clasificadores para archivos, formularios y otros artículos de escritorio de papel o cartón"/>
    <n v="9.4820987499744849E-3"/>
    <n v="0.95476216436070871"/>
    <n v="0.95476216436070871"/>
    <n v="0.95476216436070871"/>
    <n v="0.95476216436070871"/>
    <n v="0.95476216436070871"/>
    <n v="0.9435296683094061"/>
    <n v="0.9435296683094061"/>
    <n v="0.9435296683094061"/>
    <n v="0.9435296683094061"/>
    <n v="0.9435296683094061"/>
    <n v="0.9435296683094061"/>
    <n v="0.9435296683094061"/>
    <n v="0.9435296683094061"/>
    <n v="0.99594798321548472"/>
    <n v="0.99594798321548472"/>
  </r>
  <r>
    <x v="8"/>
    <x v="25"/>
    <s v="24110"/>
    <s v="Alcohol etílico sin desnaturalizar con grado alcohólico volumétrico de 80% o más"/>
    <n v="6.6352856660274783E-3"/>
    <n v="0.66352856660274784"/>
    <n v="0.66352856660274784"/>
    <n v="0.66352856660274784"/>
    <n v="0.66352856660274784"/>
    <n v="0.66352856660274784"/>
    <n v="0.66352856660274784"/>
    <n v="0.66352856660274784"/>
    <n v="0.66352856660274784"/>
    <n v="0.66352856660274784"/>
    <n v="0.66352856660274784"/>
    <n v="0.66352856660274784"/>
    <n v="0.66352856660274784"/>
    <n v="0.66352856660274784"/>
    <n v="0.66352856660274784"/>
    <n v="0.66352856660274784"/>
  </r>
  <r>
    <x v="8"/>
    <x v="25"/>
    <s v="34210"/>
    <s v="Hidrógeno, nitrógeno, oxígeno, dióxido de carbono y gases nobles, compuestos oxigenados inorgánicos de elementos no metálicos n.c.p."/>
    <n v="1.3705841703750997E-3"/>
    <n v="0.1305061738263481"/>
    <n v="0.13117464525407752"/>
    <n v="0.13166079664923949"/>
    <n v="0.13235648530378846"/>
    <n v="0.13304020804492811"/>
    <n v="0.1337041014609251"/>
    <n v="0.1357233627310645"/>
    <n v="0.13907506156956936"/>
    <n v="0.14045892711248761"/>
    <n v="0.14277329944674455"/>
    <n v="0.14591186077057319"/>
    <n v="0.14831608228037382"/>
    <n v="0.14741366759825544"/>
    <n v="0.14901421584699259"/>
    <n v="0.14804464928497968"/>
  </r>
  <r>
    <x v="8"/>
    <x v="25"/>
    <s v="34240"/>
    <s v="Fosfatos de triamonio, sus sales y peroxisales de ácidos inorgánicos y metales n.c.p."/>
    <n v="1.3705841703750997E-3"/>
    <n v="0.13700751288699053"/>
    <n v="0.13757165270555743"/>
    <n v="0.13747880194011541"/>
    <n v="0.1374100573981486"/>
    <n v="0.13745066117457963"/>
    <n v="0.13741906070205853"/>
    <n v="0.13741906070205853"/>
    <n v="0.13711815186837237"/>
    <n v="0.13647556761057239"/>
    <n v="0.13654568537880191"/>
    <n v="0.13654253547338185"/>
    <n v="0.13626225660948232"/>
    <n v="0.13721750777094174"/>
    <n v="0.13733221600157791"/>
    <n v="0.13765847976406587"/>
  </r>
  <r>
    <x v="8"/>
    <x v="25"/>
    <s v="34310"/>
    <s v="Preparaciones y materias colorantes orgánicas sintéticas y preparaciones en base a ellas, productos orgánicos sintéticos de los utilizados para el avivado fluorescente o como luminóforos; lacas colorantes y preparaciones a base a ellas"/>
    <n v="1.3705841703750997E-3"/>
    <n v="0.13847998048209623"/>
    <n v="0.13843708090279666"/>
    <n v="0.13682315920320412"/>
    <n v="0.13483795336062157"/>
    <n v="0.13523100024677423"/>
    <n v="0.13712137445989542"/>
    <n v="0.13888022043001139"/>
    <n v="0.13812374867434082"/>
    <n v="0.13812374867434082"/>
    <n v="0.13623005815472253"/>
    <n v="0.13622135920987899"/>
    <n v="0.13619132065143663"/>
    <n v="0.13528939171987156"/>
    <n v="0.13281239696467351"/>
    <n v="0.13463012029216215"/>
  </r>
  <r>
    <x v="8"/>
    <x v="25"/>
    <s v="34340"/>
    <s v="Materias colorantes n.c.p.; productos inorgánicos de los tipos utilizados como luminóforos"/>
    <n v="1.3705841703750997E-3"/>
    <n v="0.13424757749020508"/>
    <n v="0.13414644935721659"/>
    <n v="0.13285031800087604"/>
    <n v="0.1329269108685828"/>
    <n v="0.1329269108685828"/>
    <n v="0.13988777611181172"/>
    <n v="0.1397087769647741"/>
    <n v="0.1397087769647741"/>
    <n v="0.13957437695582406"/>
    <n v="0.13957437695582406"/>
    <n v="0.13957437695582406"/>
    <n v="0.13957437695582406"/>
    <n v="0.14075623020103195"/>
    <n v="0.14075623020103195"/>
    <n v="0.14840514732120089"/>
  </r>
  <r>
    <x v="8"/>
    <x v="26"/>
    <s v="34641"/>
    <s v="Fertilizantes minerales que contienen tres nutrientes: nitrógeno, fosfatos y potasio"/>
    <n v="1.0587367434650413E-2"/>
    <n v="1.0456859277115034"/>
    <n v="1.0456858576487829"/>
    <n v="1.0453353204120444"/>
    <n v="1.0453353204120439"/>
    <n v="1.0453353204120439"/>
    <n v="1.0608890158490831"/>
    <n v="1.0637471066211595"/>
    <n v="1.0699190404321692"/>
    <n v="1.0699190404321692"/>
    <n v="1.0699190404321692"/>
    <n v="1.0699190404321692"/>
    <n v="1.0731508907851581"/>
    <n v="1.0703529599294808"/>
    <n v="1.0891088862113529"/>
    <n v="1.0959655220861522"/>
  </r>
  <r>
    <x v="8"/>
    <x v="26"/>
    <n v="34644"/>
    <s v="Otros fertilizantes fosfatados, n.c.p."/>
    <n v="5.2936837173252066E-3"/>
    <n v="0.51276980380031123"/>
    <n v="0.51276980380031123"/>
    <n v="0.51145568333952107"/>
    <n v="0.51145568333952107"/>
    <n v="0.51145568333952107"/>
    <n v="0.55193059353185725"/>
    <n v="0.53353290708079526"/>
    <n v="0.53615273763142635"/>
    <n v="0.53615273763142635"/>
    <n v="0.53615273763142635"/>
    <n v="0.53615273763142635"/>
    <n v="0.5624393520327039"/>
    <n v="0.56244347311446885"/>
    <n v="0.56244347311446885"/>
    <n v="0.56244347311446885"/>
  </r>
  <r>
    <x v="8"/>
    <x v="26"/>
    <s v="34649"/>
    <s v="Otros fertilizantes minerales o químicos que contienen al menos dos nutrientes (nitrógeno, fosfato, potasio), n.c.p."/>
    <n v="2.6468418586626033E-3"/>
    <n v="0.26796267192733314"/>
    <n v="0.26796267192733314"/>
    <n v="0.26642265741179638"/>
    <n v="0.2600528897861249"/>
    <n v="0.2600528897861249"/>
    <n v="0.26588139068381345"/>
    <n v="0.26391262405760363"/>
    <n v="0.26136135066763699"/>
    <n v="0.2613605227565754"/>
    <n v="0.26538255251867016"/>
    <n v="0.2648381655273972"/>
    <n v="0.27101984334471479"/>
    <n v="0.27562097283947279"/>
    <n v="0.27671260283507837"/>
    <n v="0.28308845461073595"/>
  </r>
  <r>
    <x v="8"/>
    <x v="26"/>
    <s v="34659"/>
    <s v="Fertilizantes n.c.p."/>
    <n v="2.6468418586626033E-3"/>
    <n v="0.26468314046439056"/>
    <n v="0.26468314046439056"/>
    <n v="0.26468314046439056"/>
    <n v="0.26468314046439056"/>
    <n v="0.26468314046439056"/>
    <n v="0.26468290766694963"/>
    <n v="0.26468290766694963"/>
    <n v="0.26468290766694963"/>
    <n v="0.26468645126808044"/>
    <n v="0.26468645126808044"/>
    <n v="0.26468645126808044"/>
    <n v="0.26468645126808044"/>
    <n v="0.26468645126808044"/>
    <n v="0.26468645126808044"/>
    <n v="0.2736711509726743"/>
  </r>
  <r>
    <x v="8"/>
    <x v="27"/>
    <s v="34661"/>
    <s v="Insecticidas"/>
    <n v="5.2936837173252066E-3"/>
    <n v="0.5299261242244705"/>
    <n v="0.52979710603010033"/>
    <n v="0.52966652839106076"/>
    <n v="0.52966652839106076"/>
    <n v="0.5294676590870081"/>
    <n v="0.52942037221687277"/>
    <n v="0.52942037221687277"/>
    <n v="0.52942037221687277"/>
    <n v="0.52927793067862994"/>
    <n v="0.52930992365046481"/>
    <n v="0.52871505391493301"/>
    <n v="0.52833248977190039"/>
    <n v="0.52831129730663651"/>
    <n v="0.52831129730663651"/>
    <n v="0.52318313691556528"/>
  </r>
  <r>
    <x v="8"/>
    <x v="27"/>
    <s v="34663"/>
    <s v="Herbicidas, inhibidores de germinación y reguladores del crecimiento de las plantas"/>
    <n v="5.2936837173252066E-3"/>
    <n v="0.54423942092463262"/>
    <n v="0.53606933854648731"/>
    <n v="0.53596327151638956"/>
    <n v="0.52413721680079128"/>
    <n v="0.52397977267166085"/>
    <n v="0.5239422557956398"/>
    <n v="0.52357243617042126"/>
    <n v="0.52825142315842344"/>
    <n v="0.52813781338315158"/>
    <n v="0.52815681067871301"/>
    <n v="0.52810281120814717"/>
    <n v="0.52786788993578992"/>
    <n v="0.52785519762430455"/>
    <n v="0.52814614586684094"/>
    <n v="0.51774670599653638"/>
  </r>
  <r>
    <x v="8"/>
    <x v="28"/>
    <s v="35110"/>
    <s v="Pinturas y barnices y productos relacionados"/>
    <n v="6.2540767340639909E-3"/>
    <n v="0.62494808312695915"/>
    <n v="0.624391171108587"/>
    <n v="0.62534429047365114"/>
    <n v="0.62462312274464904"/>
    <n v="0.62680386598641247"/>
    <n v="0.62609022621400334"/>
    <n v="0.62749819779204308"/>
    <n v="0.6251514449614356"/>
    <n v="0.62472519850113473"/>
    <n v="0.62527191349925459"/>
    <n v="0.62494366839849558"/>
    <n v="0.62510089807016278"/>
    <n v="0.62665578884142348"/>
    <n v="0.62642952034239285"/>
    <n v="0.62659205252748984"/>
  </r>
  <r>
    <x v="8"/>
    <x v="29"/>
    <s v="35321"/>
    <s v="Jabón, productos orgánicos tensoactivos y preparados para usar como jabón, papel, guata, fieltro y telas sin tejer, impregnados, recubiertos o revestidos de jabón o detergente"/>
    <n v="9.5245742561480308E-3"/>
    <n v="0.94851017135272531"/>
    <n v="0.94851017135272531"/>
    <n v="0.94851017135272531"/>
    <n v="0.94851017135272531"/>
    <n v="0.94851017135272531"/>
    <n v="0.94993337002410849"/>
    <n v="0.94993337002410849"/>
    <n v="0.94993337002410849"/>
    <n v="0.94993337002410849"/>
    <n v="0.96240159017252547"/>
    <n v="0.96240159017252547"/>
    <n v="0.96240159017252547"/>
    <n v="0.99552860687946487"/>
    <n v="1.0057394238595685"/>
    <n v="1.0198628353515911"/>
  </r>
  <r>
    <x v="8"/>
    <x v="29"/>
    <s v="35322"/>
    <s v="Detergentes y preparaciones para lavar"/>
    <n v="9.5245742561480308E-3"/>
    <n v="0.94737945952138858"/>
    <n v="0.94737945952138858"/>
    <n v="0.94737945952138858"/>
    <n v="0.94737945952138858"/>
    <n v="0.94737945952138858"/>
    <n v="0.95541547727880338"/>
    <n v="0.95541547727880338"/>
    <n v="0.95645269113191245"/>
    <n v="0.95645269113191245"/>
    <n v="0.95708427429729304"/>
    <n v="0.95740836217873193"/>
    <n v="0.95436283647323517"/>
    <n v="0.95436283647323517"/>
    <n v="0.95436283647323517"/>
    <n v="0.96294892755121608"/>
  </r>
  <r>
    <x v="8"/>
    <x v="29"/>
    <s v="35323"/>
    <s v="Perfumes y preparaciones de tocador"/>
    <n v="8.1639207909840264E-3"/>
    <n v="0.8184223017773089"/>
    <n v="0.8184223017773089"/>
    <n v="0.8184223017773089"/>
    <n v="0.8184223017773089"/>
    <n v="0.8184223017773089"/>
    <n v="0.81494192004204058"/>
    <n v="0.81494192004204058"/>
    <n v="0.81494192004204058"/>
    <n v="0.81494192004204058"/>
    <n v="0.81494192004204058"/>
    <n v="0.81494192004204058"/>
    <n v="0.81494192004204058"/>
    <n v="0.81879947182870116"/>
    <n v="0.82015573727044111"/>
    <n v="0.82257664431351041"/>
  </r>
  <r>
    <x v="8"/>
    <x v="30"/>
    <s v="35420"/>
    <s v="Pegamentos y gelatina, peptonas y sus derivados y productos semejantes; caseinatos y otros derivados de la caseína; albuminatos y otros derivados de las albúminas"/>
    <n v="1.3705841703750997E-3"/>
    <n v="0.13924332767284106"/>
    <n v="0.13769132779035737"/>
    <n v="0.13737244223302097"/>
    <n v="0.13785716275952442"/>
    <n v="0.13794693853847578"/>
    <n v="0.13763011656494317"/>
    <n v="0.13465116366258054"/>
    <n v="0.13758536627321841"/>
    <n v="0.13769676677586937"/>
    <n v="0.13794400967008519"/>
    <n v="0.13471690587474036"/>
    <n v="0.13436547663446302"/>
    <n v="0.13298116217439837"/>
    <n v="0.13602048817386886"/>
    <n v="0.13662307960039841"/>
  </r>
  <r>
    <x v="8"/>
    <x v="30"/>
    <s v="35450"/>
    <s v="Explosivos preparados, mechas de seguridad, cordones detonantes, fulminantes o detonadores, equipos de encendido, detonadores eléctricos (pólvora)"/>
    <n v="1.3705841703750997E-3"/>
    <n v="0.13705841703750996"/>
    <n v="0.13705841703750996"/>
    <n v="0.13705841703750996"/>
    <n v="0.13705841703750996"/>
    <n v="0.13705841703750996"/>
    <n v="0.13705841703750996"/>
    <n v="0.13705841703750996"/>
    <n v="0.13705841703750996"/>
    <n v="0.13705841703750996"/>
    <n v="0.13705841703750996"/>
    <n v="0.13705841703750996"/>
    <n v="0.13705841703750996"/>
    <n v="0.13705841703750996"/>
    <n v="0.13705841703750996"/>
    <n v="0.13706219900266009"/>
  </r>
  <r>
    <x v="8"/>
    <x v="30"/>
    <s v="35460"/>
    <s v="Artículos pirotécnicos"/>
    <n v="1.3705841703750997E-3"/>
    <n v="0.1361283345547456"/>
    <n v="0.1361283345547456"/>
    <n v="0.1361283345547456"/>
    <n v="0.1361283345547456"/>
    <n v="0.1361283345547456"/>
    <n v="0.1361283345547456"/>
    <n v="0.1361283345547456"/>
    <n v="0.1361283345547456"/>
    <n v="0.13729401783814599"/>
    <n v="0.13901081143396235"/>
    <n v="0.13901081143396235"/>
    <n v="0.14035868730608433"/>
    <n v="0.14035868730608433"/>
    <n v="0.14035868730608433"/>
    <n v="0.14035868730608433"/>
  </r>
  <r>
    <x v="8"/>
    <x v="30"/>
    <s v="35490"/>
    <s v="Otros productos químicos n.c.p."/>
    <n v="1.3705841703750997E-3"/>
    <n v="0.13765806895973751"/>
    <n v="0.13692899062464484"/>
    <n v="0.13683230778567448"/>
    <n v="0.13717233672680101"/>
    <n v="0.13731601116057657"/>
    <n v="0.13732623587151638"/>
    <n v="0.13693855741397967"/>
    <n v="0.13693809152505779"/>
    <n v="0.13676492827725256"/>
    <n v="0.13710501461986671"/>
    <n v="0.13686545453857726"/>
    <n v="0.13685500694643454"/>
    <n v="0.13684961067413415"/>
    <n v="0.13564830812431591"/>
    <n v="0.1355617052124842"/>
  </r>
  <r>
    <x v="8"/>
    <x v="30"/>
    <s v="38998"/>
    <s v="Fósforos o cerillas "/>
    <n v="1.3705841703750997E-3"/>
    <n v="0.13705841703750996"/>
    <n v="0.13705841703750996"/>
    <n v="0.13705841703750996"/>
    <n v="0.13705841703750996"/>
    <n v="0.13705841703750996"/>
    <n v="0.13705841703750996"/>
    <n v="0.13705841703750996"/>
    <n v="0.13705841703750996"/>
    <n v="0.13705841703750996"/>
    <n v="0.13705841703750996"/>
    <n v="0.13705841703750996"/>
    <n v="0.13705841703750996"/>
    <n v="0.13705769421765027"/>
    <n v="0.13705769421765027"/>
    <n v="0.13705769421765027"/>
  </r>
  <r>
    <x v="9"/>
    <x v="31"/>
    <s v="35260"/>
    <s v="Medicamentos, para usos terapéuticos o profilácticos"/>
    <n v="1.285127635878091E-2"/>
    <n v="1.2752284604543234"/>
    <n v="1.2815421005552345"/>
    <n v="1.2832929330733971"/>
    <n v="1.283325546591898"/>
    <n v="1.283325546591898"/>
    <n v="1.2865230049512988"/>
    <n v="1.2865230049512988"/>
    <n v="1.2865230049512988"/>
    <n v="1.2895333090112564"/>
    <n v="1.2885853100609934"/>
    <n v="1.2885853100609934"/>
    <n v="1.2885440992831987"/>
    <n v="1.310526333420972"/>
    <n v="1.3111999888813088"/>
    <n v="1.3111999888813088"/>
  </r>
  <r>
    <x v="9"/>
    <x v="31"/>
    <s v="35270"/>
    <s v="Otros productos farmacéuticos"/>
    <n v="8.5675175725206075E-3"/>
    <n v="0.84949316053693058"/>
    <n v="0.84949316053693058"/>
    <n v="0.85820347659508711"/>
    <n v="0.85820347659508711"/>
    <n v="0.85820347659508711"/>
    <n v="0.85820347659508711"/>
    <n v="0.85820347659508711"/>
    <n v="0.85820347659508711"/>
    <n v="0.85820347659508711"/>
    <n v="0.85820347659508711"/>
    <n v="0.85820347659508711"/>
    <n v="0.85820347659508711"/>
    <n v="0.85820347659508711"/>
    <n v="0.85820347659508711"/>
    <n v="0.85820347659508711"/>
  </r>
  <r>
    <x v="10"/>
    <x v="32"/>
    <s v="36320"/>
    <s v="Tubos, caños y mangueras y accesorios, de plástico"/>
    <n v="1.0225709959568917E-2"/>
    <n v="1.0143466493505107"/>
    <n v="1.0143466493505107"/>
    <n v="1.0143463901559735"/>
    <n v="1.013864169081693"/>
    <n v="1.013864169081693"/>
    <n v="1.0153713846001087"/>
    <n v="1.0307854233103686"/>
    <n v="1.0307854233103686"/>
    <n v="1.0307854233103686"/>
    <n v="1.0307854233103686"/>
    <n v="1.0307854233103686"/>
    <n v="1.0307854233103686"/>
    <n v="1.0412199486797802"/>
    <n v="1.0412199486797802"/>
    <n v="1.0412199486797802"/>
  </r>
  <r>
    <x v="10"/>
    <x v="32"/>
    <s v="36410"/>
    <s v="Sacos y bolsas de plástico"/>
    <n v="1.0225709959568917E-2"/>
    <n v="1.0215215033357787"/>
    <n v="1.0215215033357787"/>
    <n v="1.0215215033357787"/>
    <n v="1.0215215033357787"/>
    <n v="1.0215215033357787"/>
    <n v="1.0215215033357787"/>
    <n v="1.0215215033357787"/>
    <n v="1.0215215033357787"/>
    <n v="1.0215215033357787"/>
    <n v="1.0257194738202302"/>
    <n v="1.0257194738202302"/>
    <n v="1.0257194738202302"/>
    <n v="1.0331415810398241"/>
    <n v="1.0331415810398241"/>
    <n v="1.0331415810398241"/>
  </r>
  <r>
    <x v="10"/>
    <x v="32"/>
    <s v="36490"/>
    <s v="Otros artículos para el transporte o envasado, de plástico; tapones, tapas, cápsulas y demás dispositivos de cierre, de plástico"/>
    <n v="1.0225709959568917E-2"/>
    <n v="1.0178179458892307"/>
    <n v="1.0178179458892307"/>
    <n v="1.0176785775960666"/>
    <n v="1.0172498112952519"/>
    <n v="1.0236532246571386"/>
    <n v="1.0236024344347134"/>
    <n v="1.0234269823446842"/>
    <n v="1.0232737209138147"/>
    <n v="1.0270186007022719"/>
    <n v="1.0269742710825667"/>
    <n v="1.0262761598994412"/>
    <n v="1.0260622767782908"/>
    <n v="1.0316305492105342"/>
    <n v="1.0310266407657023"/>
    <n v="1.0308865660552107"/>
  </r>
  <r>
    <x v="10"/>
    <x v="32"/>
    <s v="36920"/>
    <s v="Planchas, hojas, películas, cintas, tiras y otras formas planas autoadhesivas, de plásticos"/>
    <n v="1.0225709959568917E-2"/>
    <n v="1.016917593740442"/>
    <n v="1.016917593740442"/>
    <n v="1.0308537936722584"/>
    <n v="1.0308537936722584"/>
    <n v="1.0308537936722584"/>
    <n v="1.0308537936722584"/>
    <n v="1.0308537936722584"/>
    <n v="1.0308537936722584"/>
    <n v="1.0308537936722584"/>
    <n v="1.0070134027653368"/>
    <n v="1.0070134027653368"/>
    <n v="1.0070134027653368"/>
    <n v="1.0070134027653368"/>
    <n v="1.0070134027653368"/>
    <n v="1.0070134027653368"/>
  </r>
  <r>
    <x v="10"/>
    <x v="32"/>
    <s v="36950"/>
    <s v="Artículos para la construcción, de plástico, n.c.p."/>
    <n v="1.0225709959568917E-2"/>
    <n v="1.0207905086839373"/>
    <n v="1.0207905086839373"/>
    <n v="1.0207903671904022"/>
    <n v="1.0231647170892471"/>
    <n v="1.0231647170892471"/>
    <n v="1.0231647170892471"/>
    <n v="1.0231647170892471"/>
    <n v="1.0231647170892471"/>
    <n v="1.0231647170892471"/>
    <n v="1.0231640881296467"/>
    <n v="1.0231640881296467"/>
    <n v="1.0231640881296467"/>
    <n v="1.0231640881296467"/>
    <n v="1.0231640881296467"/>
    <n v="1.0231640881296467"/>
  </r>
  <r>
    <x v="10"/>
    <x v="32"/>
    <s v="36990"/>
    <s v="Artículos plásticos n.c.p."/>
    <n v="1.0225709959568917E-2"/>
    <n v="1.0225729014958156"/>
    <n v="1.0225729014958156"/>
    <n v="1.0225729014958156"/>
    <n v="1.0225726899120107"/>
    <n v="1.022572439061314"/>
    <n v="1.0225724331074719"/>
    <n v="1.0225724331074719"/>
    <n v="1.0225686837027972"/>
    <n v="1.0225686420260467"/>
    <n v="1.0225686420260467"/>
    <n v="1.0225686420260467"/>
    <n v="1.0225686420260467"/>
    <n v="1.0225686420260467"/>
    <n v="1.0225686420260467"/>
    <n v="1.0223299749856662"/>
  </r>
  <r>
    <x v="11"/>
    <x v="33"/>
    <s v="37191"/>
    <s v="Botellas, tarros, frascos y otros recipientes de vidrio, del tipo de los utilizados para el transporte o envasado de mercancías, excepto ampollas; tapones, tapas y demás dispositivos de cierre, de vidrio"/>
    <n v="4.8781114478136595E-3"/>
    <n v="0.49139182241533391"/>
    <n v="0.49092111352475326"/>
    <n v="0.49057672479020581"/>
    <n v="0.48927081276394713"/>
    <n v="0.48814343754906742"/>
    <n v="0.48790557829249059"/>
    <n v="0.48743777827528995"/>
    <n v="0.48645679026857708"/>
    <n v="0.48567625312550183"/>
    <n v="0.48567625312550183"/>
    <n v="0.48555123166411474"/>
    <n v="0.48472594158160831"/>
    <n v="0.49112731531927128"/>
    <n v="0.49121572709511097"/>
    <n v="0.49025280654065218"/>
  </r>
  <r>
    <x v="11"/>
    <x v="34"/>
    <s v="37210"/>
    <s v="Lavaderos, bañeras, inodoros, cisternas de descarga de agua y artefactos sanitarios similares de cerámicos"/>
    <n v="2.3892277674524187E-3"/>
    <n v="0.24077966405571177"/>
    <n v="0.24077966405571177"/>
    <n v="0.24077966405571177"/>
    <n v="0.24077966405571177"/>
    <n v="0.23799303843049777"/>
    <n v="0.23799303843049777"/>
    <n v="0.23799303843049777"/>
    <n v="0.23799303843049777"/>
    <n v="0.23799303843049777"/>
    <n v="0.23799303843049777"/>
    <n v="0.23799821706853433"/>
    <n v="0.23799821706853433"/>
    <n v="0.23798197974775312"/>
    <n v="0.23817202380277039"/>
    <n v="0.23792941026144107"/>
  </r>
  <r>
    <x v="11"/>
    <x v="34"/>
    <s v="37350"/>
    <s v="Ladrillos de construcción, bloques para pisos, losas de apoyo o de relleno, tejas, cañones de chimeneas, sombreretes y revestimientos de chimeneas, ornamentos arquitectónicos y otros artículos de construcción, de cerámicos no refractarios"/>
    <n v="4.1959682970845683E-3"/>
    <n v="0.41331309941453431"/>
    <n v="0.41331309941453431"/>
    <n v="0.4208593696376543"/>
    <n v="0.4208593696376543"/>
    <n v="0.4208593696376543"/>
    <n v="0.42085379878817486"/>
    <n v="0.42085379878817486"/>
    <n v="0.42085379878817486"/>
    <n v="0.42085379878817486"/>
    <n v="0.42085379878817486"/>
    <n v="0.42084432740928879"/>
    <n v="0.42084432740928879"/>
    <n v="0.42084432740928879"/>
    <n v="0.42084432740928879"/>
    <n v="0.42084432740928879"/>
  </r>
  <r>
    <x v="11"/>
    <x v="34"/>
    <s v="37370"/>
    <s v="Baldosas y losas para pavimentos, chimeneas o muros; cubos de mosaicos de cerámicos y artículos similares"/>
    <n v="4.1959682970845683E-3"/>
    <n v="0.4195980384360396"/>
    <n v="0.4195980384360396"/>
    <n v="0.4195980384360396"/>
    <n v="0.4195980384360396"/>
    <n v="0.4195980384360396"/>
    <n v="0.41959596633161206"/>
    <n v="0.41959596633161206"/>
    <n v="0.41959596633161206"/>
    <n v="0.41959596633161206"/>
    <n v="0.41959596633161206"/>
    <n v="0.41959596633161206"/>
    <n v="0.41959596633161206"/>
    <n v="0.41959596633161206"/>
    <n v="0.41959596633161206"/>
    <n v="0.41959596633161206"/>
  </r>
  <r>
    <x v="11"/>
    <x v="35"/>
    <s v="37440"/>
    <s v="Cemento Portland, cemento alumináceo, cemento de escorias y cementos hidráulicos similares, excepto en forma de clinkers (CEMENTO GRIS)"/>
    <n v="4.3949921110845391E-2"/>
    <n v="4.3949752830273399"/>
    <n v="4.3949752830273399"/>
    <n v="4.3949752830273399"/>
    <n v="4.3949752830273399"/>
    <n v="4.3949752830273399"/>
    <n v="4.3949752830273399"/>
    <n v="4.3949752830273399"/>
    <n v="4.3949752830273399"/>
    <n v="4.3950257671989377"/>
    <n v="4.3950257671989377"/>
    <n v="4.3950257671989377"/>
    <n v="4.3950257671989377"/>
    <n v="4.3950257671989377"/>
    <n v="4.395032777739841"/>
    <n v="4.395032777739841"/>
  </r>
  <r>
    <x v="11"/>
    <x v="36"/>
    <s v="37510"/>
    <s v="Hormigones (Concreto) y morteros, no refractarios"/>
    <n v="5.1360703781434015E-3"/>
    <n v="0.51360703959964404"/>
    <n v="0.51360703959964404"/>
    <n v="0.51360703959964404"/>
    <n v="0.51360703959964404"/>
    <n v="0.5136070369216883"/>
    <n v="0.5136070369216883"/>
    <n v="0.5136070369216883"/>
    <n v="0.5136070369216883"/>
    <n v="0.5136070369216883"/>
    <n v="0.5136070369216883"/>
    <n v="0.5136070369216883"/>
    <n v="0.5136070369216883"/>
    <n v="0.5136070369216883"/>
    <n v="0.5136070369216883"/>
    <n v="0.51360471649664097"/>
  </r>
  <r>
    <x v="11"/>
    <x v="36"/>
    <s v="37540"/>
    <s v="Azulejos, baldosas, ladrillos y artículos similares, de cemento, hormigón o piedra artificial (Block)"/>
    <n v="4.2022394002991462E-3"/>
    <n v="0.41858991766061088"/>
    <n v="0.41921902711549403"/>
    <n v="0.41848626167663727"/>
    <n v="0.41848626167663727"/>
    <n v="0.41865318312511696"/>
    <n v="0.41866688489869097"/>
    <n v="0.41869360266653816"/>
    <n v="0.41869360266653816"/>
    <n v="0.41869360266653816"/>
    <n v="0.42483497873539128"/>
    <n v="0.42483497873539128"/>
    <n v="0.42483497873539128"/>
    <n v="0.42587043422694121"/>
    <n v="0.43524893721446112"/>
    <n v="0.43524893721446112"/>
  </r>
  <r>
    <x v="12"/>
    <x v="37"/>
    <s v="41211"/>
    <s v="Productos laminados planos de hierro o acero no aleado, sin otra elaboración que el laminado en caliente, de un ancho de 600 mm o más"/>
    <n v="8.2009257520379419E-3"/>
    <n v="0.82009257520379419"/>
    <n v="0.82009257520379419"/>
    <n v="0.82009257520379419"/>
    <n v="0.82009257520379419"/>
    <n v="0.82009257520379419"/>
    <n v="0.82009257520379419"/>
    <n v="0.82009257520379419"/>
    <n v="0.82009257520379419"/>
    <n v="0.82009257520379419"/>
    <n v="0.82009257520379419"/>
    <n v="0.82009257520379419"/>
    <n v="0.82009257520379419"/>
    <n v="0.82009257520379419"/>
    <n v="0.82009257520379419"/>
    <n v="0.82422400985429023"/>
  </r>
  <r>
    <x v="12"/>
    <x v="37"/>
    <s v="41231"/>
    <s v="Productos laminados planos de hierro o acero no aleado, revestidos, enchapados, recubiertos o con mayor elaboración"/>
    <n v="8.2009257520379419E-3"/>
    <n v="0.83667181105654431"/>
    <n v="0.8322011317715069"/>
    <n v="0.82035192698318793"/>
    <n v="0.82023697935821016"/>
    <n v="0.82799763532828285"/>
    <n v="0.81806394278432437"/>
    <n v="0.81590855164078169"/>
    <n v="0.81590855164078169"/>
    <n v="0.815908403835234"/>
    <n v="0.81642092975516511"/>
    <n v="0.81444254948412664"/>
    <n v="0.80699848880738378"/>
    <n v="0.80824786351560962"/>
    <n v="0.80907000361123615"/>
    <n v="0.80907000361123615"/>
  </r>
  <r>
    <x v="12"/>
    <x v="37"/>
    <s v="41241"/>
    <s v="Barras y varillas, laminadas en caliente, enrolladas irregularmente, de hierro o acero no aleado"/>
    <n v="1.1183080570960829E-2"/>
    <n v="1.1251230072779326"/>
    <n v="1.1251230072779326"/>
    <n v="1.1181718837573491"/>
    <n v="1.1181718837573491"/>
    <n v="1.1111998788221911"/>
    <n v="1.111167564653657"/>
    <n v="1.111167564653657"/>
    <n v="1.111167564653657"/>
    <n v="1.1288491371673375"/>
    <n v="1.1236145698792246"/>
    <n v="1.1236145698792246"/>
    <n v="1.1123260533734816"/>
    <n v="1.1123260533734816"/>
    <n v="1.1123260533734816"/>
    <n v="1.1151253038708511"/>
  </r>
  <r>
    <x v="12"/>
    <x v="37"/>
    <s v="41242"/>
    <s v="Otras barras y varillas de hierro o acero no aleado, sin otra elaboración que el forjado, laminado, estirado o la extrusión en caliente, incluso las sometidas a torsión después del laminado"/>
    <n v="3.7276935236536094E-3"/>
    <n v="0.37846627450264009"/>
    <n v="0.37846627450264009"/>
    <n v="0.36914559387807466"/>
    <n v="0.36479096659359128"/>
    <n v="0.3695735343588874"/>
    <n v="0.35864946870186359"/>
    <n v="0.3651931626278011"/>
    <n v="0.3651931626278011"/>
    <n v="0.38032825125021014"/>
    <n v="0.3845161457340483"/>
    <n v="0.38429666599906276"/>
    <n v="0.37461272760771114"/>
    <n v="0.37461272760771114"/>
    <n v="0.37461272760771114"/>
    <n v="0.37853868604149055"/>
  </r>
  <r>
    <x v="12"/>
    <x v="37"/>
    <s v="41251"/>
    <s v="Ángulos, perfiles y secciones, sin otra elaboración que el laminado o extrusión en caliente o extrudidos, de hierro o acero no aleado"/>
    <n v="8.5736951044033012E-3"/>
    <n v="0.8932067594209564"/>
    <n v="0.8799244732466226"/>
    <n v="0.85159335561448968"/>
    <n v="0.85159335561448968"/>
    <n v="0.85159335561448968"/>
    <n v="0.85159335561448968"/>
    <n v="0.85159335561448968"/>
    <n v="0.85159335561448968"/>
    <n v="0.85159335561448968"/>
    <n v="0.85138313443831781"/>
    <n v="0.85138313443831781"/>
    <n v="0.85138313443831781"/>
    <n v="0.85138313443831781"/>
    <n v="0.85138313443831781"/>
    <n v="0.85138313443831781"/>
  </r>
  <r>
    <x v="12"/>
    <x v="37"/>
    <s v="41262"/>
    <s v="Ángulos, perfiles y secciones, de hierro o acero no aleados, moldeado o acabado en frío, con mayor elaboración"/>
    <n v="8.5736951044033012E-3"/>
    <n v="0.87440901741377675"/>
    <n v="0.87440752522912002"/>
    <n v="0.85533454295494216"/>
    <n v="0.85776053124397078"/>
    <n v="0.85750261438070507"/>
    <n v="0.85993078688010627"/>
    <n v="0.85993078688010627"/>
    <n v="0.84351944515532606"/>
    <n v="0.8424756732971439"/>
    <n v="0.85335826576711371"/>
    <n v="0.85700432244911295"/>
    <n v="0.85280061363253501"/>
    <n v="0.85280061363253501"/>
    <n v="0.8285767171622368"/>
    <n v="0.8285767171622368"/>
  </r>
  <r>
    <x v="12"/>
    <x v="37"/>
    <s v="41283"/>
    <s v="Otros tubos y cañerías, de sección transversal circular, sin soldadura"/>
    <n v="3.7276935236536094E-3"/>
    <n v="0.38549221793168609"/>
    <n v="0.37410892971074838"/>
    <n v="0.37136310807418965"/>
    <n v="0.37136310807418965"/>
    <n v="0.37136310807418965"/>
    <n v="0.37136310807418965"/>
    <n v="0.37136310807418965"/>
    <n v="0.37136310807418965"/>
    <n v="0.37136310807418965"/>
    <n v="0.37136310807418965"/>
    <n v="0.37136310807418965"/>
    <n v="0.37136310807418965"/>
    <n v="0.36216149771007305"/>
    <n v="0.34052090586972494"/>
    <n v="0.34052090586972494"/>
  </r>
  <r>
    <x v="13"/>
    <x v="38"/>
    <s v="42190"/>
    <s v="Otras estructuras (excepto edificios prefabricados) y partes de estructuras de hierro, acero o aluminio; placas, varillas, ángulos, perfiles, secciones, tubos y similares, preparados para su utilización en estructuras de hierro, acero o aluminio; accesorios y equipos similares para andamios, encofrados o apuntalamiento"/>
    <n v="2.3957995941733617E-3"/>
    <n v="0.23595150483269528"/>
    <n v="0.23595150483269528"/>
    <n v="0.23595150483269528"/>
    <n v="0.23771513063459199"/>
    <n v="0.24210592593051652"/>
    <n v="0.23771256043995456"/>
    <n v="0.23771256043995456"/>
    <n v="0.23771256043995456"/>
    <n v="0.24353656515624386"/>
    <n v="0.24353656515624386"/>
    <n v="0.24353656515624386"/>
    <n v="0.24353656515624386"/>
    <n v="0.24353656515624386"/>
    <n v="0.24353656515624386"/>
    <n v="0.24539064808100142"/>
  </r>
  <r>
    <x v="13"/>
    <x v="39"/>
    <s v="42210"/>
    <s v="Depósitos, cisternas, cubas y recipientes similares (excepto para gas comprimido o licuado), de hierro, acero o aluminio, de una capacidad superior a 300 litros, sin dispositivos mecánicos o térmicos"/>
    <n v="2.3957995941733617E-3"/>
    <n v="0.23957995941733617"/>
    <n v="0.23957995941733617"/>
    <n v="0.23957995941733617"/>
    <n v="0.23957995941733617"/>
    <n v="0.23957995941733617"/>
    <n v="0.23957995941733617"/>
    <n v="0.23957995941733617"/>
    <n v="0.23957995941733617"/>
    <n v="0.23957995941733617"/>
    <n v="0.23957995941733617"/>
    <n v="0.23957995941733617"/>
    <n v="0.23957995941733617"/>
    <n v="0.23957995941733617"/>
    <n v="0.23957995941733617"/>
    <n v="0.23957995941733617"/>
  </r>
  <r>
    <x v="13"/>
    <x v="40"/>
    <s v="42912"/>
    <s v="Artículos de mesa, cocina u otros artículos de uso doméstico y sus partes y piezas, de hierro, acero, cobre o aluminio; aparatos para cocinar o calentar de uso doméstico, no eléctricos, de cobre; esponjas, estropajos y almohadillas para fregar o pulir ollas, guantes y artículos similares, de hierro, acero, cobre o aluminio; lana (virutilla) de hierro o acero; aparatos mecánicos accionados de forma manual, de un peso máximo de 10 kg, utilizados para preparar, acondicionar o servir comidas o bebid"/>
    <n v="2.3957995941733617E-3"/>
    <n v="0.23538116811770377"/>
    <n v="0.23538116811770377"/>
    <n v="0.23538116811770377"/>
    <n v="0.24097955651721359"/>
    <n v="0.24097955651721359"/>
    <n v="0.24097955651721359"/>
    <n v="0.24097955651721359"/>
    <n v="0.24097955651721359"/>
    <n v="0.24097955651721359"/>
    <n v="0.24097955651721359"/>
    <n v="0.24097955651721359"/>
    <n v="0.24097955651721359"/>
    <n v="0.2468651199621269"/>
    <n v="0.2468651199621269"/>
    <n v="0.2468651199621269"/>
  </r>
  <r>
    <x v="13"/>
    <x v="40"/>
    <s v="42931"/>
    <s v="Cisternas, barriles, tambores, bidones, cajas y recipientes similares (excepto para gas comprimido o licuado) de hierro, acero o aluminio, de una capacidad no superior a 300 litros, sin dispositivos mecánicos o térmicos"/>
    <n v="2.3957995941733617E-3"/>
    <n v="0.23991507511975249"/>
    <n v="0.23986834639018392"/>
    <n v="0.23985427440083107"/>
    <n v="0.23970876975050381"/>
    <n v="0.23963675871686863"/>
    <n v="0.23961963576622175"/>
    <n v="0.23954990318417807"/>
    <n v="0.23944184482602035"/>
    <n v="0.23939030966251285"/>
    <n v="0.23937819142259925"/>
    <n v="0.23929739829636554"/>
    <n v="0.23929900547199615"/>
    <n v="0.23937911572502524"/>
    <n v="0.23936902959116046"/>
    <n v="0.23928175925350442"/>
  </r>
  <r>
    <x v="13"/>
    <x v="40"/>
    <s v="42945"/>
    <s v="Resortes y hojas para resortes, de hierro o acero"/>
    <n v="2.3957995941733617E-3"/>
    <n v="0.23504992344173156"/>
    <n v="0.23793480522558436"/>
    <n v="0.23793480522558436"/>
    <n v="0.23813745618933127"/>
    <n v="0.23813745618933127"/>
    <n v="0.23813745618933127"/>
    <n v="0.24160460175785664"/>
    <n v="0.24160460175785664"/>
    <n v="0.24160460175785664"/>
    <n v="0.24160460175785664"/>
    <n v="0.24160460175785664"/>
    <n v="0.24160460175785664"/>
    <n v="0.24160460175785664"/>
    <n v="0.24160460175785664"/>
    <n v="0.24177522704138549"/>
  </r>
  <r>
    <x v="13"/>
    <x v="40"/>
    <s v="42993"/>
    <s v="Cajas fuertes blindadas o reforzadas, cofres de seguridad, puertas y casilleros de seguridad para habitaciones o cámaras blindadas, cajas de dinero o documentos y artículos similares, de metales comunes"/>
    <n v="2.3957995941733617E-3"/>
    <n v="0.23616630405166875"/>
    <n v="0.23616630405166875"/>
    <n v="0.23616630405166875"/>
    <n v="0.23616630405166875"/>
    <n v="0.23616630405166875"/>
    <n v="0.24201828467852721"/>
    <n v="0.24201828467852721"/>
    <n v="0.24201828467852721"/>
    <n v="0.24201828467852721"/>
    <n v="0.24201828467852721"/>
    <n v="0.24201828467852721"/>
    <n v="0.24201828467852721"/>
    <n v="0.24201828467852721"/>
    <n v="0.24201828467852721"/>
    <n v="0.24201828467852721"/>
  </r>
  <r>
    <x v="14"/>
    <x v="41"/>
    <s v="43913"/>
    <s v="Equipo de refrigeración o congelación y bombas de calor, excepto equipo para uso doméstico"/>
    <n v="5.5709515080061651E-3"/>
    <n v="0.55774054826622099"/>
    <n v="0.55774054826622099"/>
    <n v="0.55774054826622099"/>
    <n v="0.55774054826622099"/>
    <n v="0.55774054826622099"/>
    <n v="0.55774054806171602"/>
    <n v="0.55644975336909597"/>
    <n v="0.55644975336909597"/>
    <n v="0.55644975336909597"/>
    <n v="0.55644975336909597"/>
    <n v="0.55644975336909597"/>
    <n v="0.55644975336909597"/>
    <n v="0.55644975336909597"/>
    <n v="0.55644975336909597"/>
    <n v="0.55644975336909597"/>
  </r>
  <r>
    <x v="14"/>
    <x v="41"/>
    <s v="87310"/>
    <s v="Servicios de instalación de productos metálicos elaborados, excepto maquinaria y equipo"/>
    <n v="1.6644617371374598E-2"/>
    <n v="1.5902951328551582"/>
    <n v="1.5902951328551582"/>
    <n v="1.5902951328551582"/>
    <n v="1.5902951328551582"/>
    <n v="1.5902951328551582"/>
    <n v="1.5902951328551582"/>
    <n v="1.6832078498105711"/>
    <n v="1.7335803531444169"/>
    <n v="1.7335803531444169"/>
    <n v="1.7335803531444169"/>
    <n v="1.7739105696373731"/>
    <n v="1.7739105696373731"/>
    <n v="1.7739105696373731"/>
    <n v="1.7739105696373731"/>
    <n v="1.7739105696373731"/>
  </r>
  <r>
    <x v="14"/>
    <x v="42"/>
    <s v="44160"/>
    <s v="Remolques y semirremolques, autocargadores o autodescargadores, para uso agrícola"/>
    <n v="2.7126350470942856E-3"/>
    <n v="0.2732728491100313"/>
    <n v="0.27300681566817397"/>
    <n v="0.27273777649525927"/>
    <n v="0.27191150908850825"/>
    <n v="0.27150332224459994"/>
    <n v="0.27140634538338521"/>
    <n v="0.27106061355633432"/>
    <n v="0.27044979620788673"/>
    <n v="0.27015886750339141"/>
    <n v="0.27009049918078981"/>
    <n v="0.26993214125339438"/>
    <n v="0.2696315208213878"/>
    <n v="0.26968394907556936"/>
    <n v="0.26946969227681444"/>
    <n v="0.26936238911658972"/>
  </r>
  <r>
    <x v="15"/>
    <x v="43"/>
    <s v="49229"/>
    <s v="Otros tipos de remolques y semi-remolques (incluidos los de uso  para transporte de mercancías), con excepción de los de uso  para fines agrícolas con sistema de carga o descarga automática"/>
    <n v="1.626569385688662E-3"/>
    <n v="0.16265693856886621"/>
    <n v="0.16265693856886621"/>
    <n v="0.16265693856886621"/>
    <n v="0.16265693856886621"/>
    <n v="0.16265693856886621"/>
    <n v="0.16265693856886621"/>
    <n v="0.16265693856886621"/>
    <n v="0.16265693856886621"/>
    <n v="0.16265693856886621"/>
    <n v="0.16265693856886621"/>
    <n v="0.16265693856886621"/>
    <n v="0.16265693856886621"/>
    <n v="0.16265693856886621"/>
    <n v="0.16265693856886621"/>
    <n v="0.16265693856886621"/>
  </r>
  <r>
    <x v="15"/>
    <x v="44"/>
    <s v="49129"/>
    <s v="Otras partes y accesorios de vehículos automotores (incluso frenos, cajas de engranajes, ejes, ruedas, amortiguadores de suspensión, radiadores, silenciadores, tubos de escape, embragues, volantes, columnas de dirección, cárteres de dirección y sus partes) n.c.p."/>
    <n v="1.626569385688662E-3"/>
    <n v="0.16544573457950001"/>
    <n v="0.16544573457950001"/>
    <n v="0.16544573457950001"/>
    <n v="0.16544573457950001"/>
    <n v="0.16544573457950001"/>
    <n v="0.16544573457950001"/>
    <n v="0.16153396262497147"/>
    <n v="0.16153396262497147"/>
    <n v="0.16153396262497147"/>
    <n v="0.15701265643326376"/>
    <n v="0.15879715552060819"/>
    <n v="0.15879715552060819"/>
    <n v="0.16214278043222102"/>
    <n v="0.16214278043222102"/>
    <n v="0.16214278043222102"/>
  </r>
  <r>
    <x v="16"/>
    <x v="45"/>
    <s v="38122"/>
    <s v="Otros muebles de madera, del tipo utilizado en oficinas"/>
    <n v="1.1302465006915714E-2"/>
    <n v="1.1288674271733059"/>
    <n v="1.1288674271733059"/>
    <n v="1.1288674271733059"/>
    <n v="1.1288674271733059"/>
    <n v="1.1288674271733059"/>
    <n v="1.1312315603870409"/>
    <n v="1.1312315603870409"/>
    <n v="1.1312315503316492"/>
    <n v="1.1312315503316492"/>
    <n v="1.1312315503316492"/>
    <n v="1.1312315503316492"/>
    <n v="1.1312315503316492"/>
    <n v="1.1312315503316492"/>
    <n v="1.1312315503316492"/>
    <n v="1.1312315503316492"/>
  </r>
  <r>
    <x v="16"/>
    <x v="45"/>
    <s v="38140"/>
    <s v="Otros muebles n.c.p."/>
    <n v="1.1302465006915714E-2"/>
    <n v="1.132082074405415"/>
    <n v="1.1248653282048262"/>
    <n v="1.1248653282048262"/>
    <n v="1.1248653282048262"/>
    <n v="1.1248653282048262"/>
    <n v="1.1301400188301529"/>
    <n v="1.1299779010042517"/>
    <n v="1.1342593601993438"/>
    <n v="1.1342593594028731"/>
    <n v="1.1342593594028731"/>
    <n v="1.1342593111173207"/>
    <n v="1.1342593111173207"/>
    <n v="1.1342593594028731"/>
    <n v="1.1422656763755352"/>
    <n v="1.1422656763755352"/>
  </r>
  <r>
    <x v="16"/>
    <x v="45"/>
    <s v="38150"/>
    <s v="Somieres; colchones, con resortes o rellenos con cualquier material, incluidos los de caucho o plástico celular, estén o no recubiertos"/>
    <n v="1.1302465006915714E-2"/>
    <n v="1.1132234813562325"/>
    <n v="1.1132234813562325"/>
    <n v="1.1132234813562325"/>
    <n v="1.1132234813562325"/>
    <n v="1.138758010359241"/>
    <n v="1.138758010359241"/>
    <n v="1.138758010359241"/>
    <n v="1.138758010359241"/>
    <n v="1.138758010359241"/>
    <n v="1.138758010359241"/>
    <n v="1.138758010359241"/>
    <n v="1.138758010359241"/>
    <n v="1.138758010359241"/>
    <n v="1.138758010359241"/>
    <n v="1.138758010359241"/>
  </r>
  <r>
    <x v="17"/>
    <x v="46"/>
    <s v="38240"/>
    <s v="Joyas y otros artículos de metales preciosos o de metales revestidos con metales preciosos; artículos de perlas naturales o cultivadas, de piedras preciosas o semipreciosas (naturales, sintéticas o reconstituidas)"/>
    <n v="1.2884637124878191E-3"/>
    <n v="0.12636802942434525"/>
    <n v="0.12636805297101925"/>
    <n v="0.12636802942434527"/>
    <n v="0.12798333329097389"/>
    <n v="0.12775421182495464"/>
    <n v="0.12620649830848737"/>
    <n v="0.12609347341278213"/>
    <n v="0.12609347341278213"/>
    <n v="0.13078073266664172"/>
    <n v="0.13407134699013942"/>
    <n v="0.13407134699013942"/>
    <n v="0.13399792626877249"/>
    <n v="0.13453715276820735"/>
    <n v="0.13403737629242798"/>
    <n v="0.1351112507236589"/>
  </r>
  <r>
    <x v="17"/>
    <x v="47"/>
    <s v="38997"/>
    <s v="Bisutería (joyas de fantasía)"/>
    <n v="6.7362422135816714E-3"/>
    <n v="0.66962025741892106"/>
    <n v="0.66962025741892106"/>
    <n v="0.66962025741892106"/>
    <n v="0.66962025741892106"/>
    <n v="0.66962025741892106"/>
    <n v="0.66962025741892106"/>
    <n v="0.66962025741892106"/>
    <n v="0.66962025741892106"/>
    <n v="0.66962025741892106"/>
    <n v="0.66962025741892106"/>
    <n v="0.69128990758628961"/>
    <n v="0.69599817452250434"/>
    <n v="0.69599817452250434"/>
    <n v="0.69599817452250434"/>
    <n v="0.695998174522504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47E9A-744C-44F2-AA44-B2196DD6965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2" firstHeaderRow="0" firstDataRow="1" firstDataCol="1"/>
  <pivotFields count="20"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wp" fld="4" baseField="0" baseItem="0"/>
    <dataField name="Sum of Diciembre" fld="16" baseField="0" baseItem="0"/>
    <dataField name="Sum of Enero.2025" fld="17" baseField="0" baseItem="0"/>
    <dataField name="Sum of Febrero2" fld="18" baseField="0" baseItem="0"/>
    <dataField name="Sum of Marzo2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DD32-A4DD-4444-9E37-8D5B93144517}">
  <dimension ref="A1:CJ155"/>
  <sheetViews>
    <sheetView tabSelected="1" topLeftCell="AZ1" workbookViewId="0">
      <selection activeCell="BS18" sqref="BS18"/>
    </sheetView>
  </sheetViews>
  <sheetFormatPr defaultRowHeight="14.5" x14ac:dyDescent="0.35"/>
  <cols>
    <col min="1" max="1" width="13.6328125" style="1" customWidth="1"/>
    <col min="2" max="18" width="8.7265625" style="1"/>
    <col min="19" max="19" width="5.81640625" style="1" customWidth="1"/>
    <col min="20" max="30" width="8.7265625" style="1"/>
    <col min="31" max="31" width="11.36328125" style="1" bestFit="1" customWidth="1"/>
    <col min="32" max="33" width="8.7265625" style="1"/>
    <col min="34" max="34" width="13.7265625" style="1" customWidth="1"/>
    <col min="35" max="35" width="10.36328125" style="1" bestFit="1" customWidth="1"/>
    <col min="36" max="37" width="8.7265625" style="1"/>
    <col min="38" max="38" width="11.36328125" style="1" customWidth="1"/>
    <col min="39" max="43" width="8.7265625" style="1"/>
    <col min="44" max="44" width="10.36328125" style="1" bestFit="1" customWidth="1"/>
    <col min="45" max="45" width="8.7265625" style="1"/>
    <col min="46" max="46" width="10.36328125" style="1" bestFit="1" customWidth="1"/>
    <col min="47" max="47" width="11.1796875" style="1" customWidth="1"/>
    <col min="48" max="50" width="8.7265625" style="1"/>
    <col min="51" max="53" width="13" style="1" customWidth="1"/>
    <col min="54" max="57" width="8.7265625" style="1"/>
    <col min="58" max="58" width="9.453125" style="1" bestFit="1" customWidth="1"/>
    <col min="59" max="73" width="8.7265625" style="1"/>
    <col min="74" max="74" width="24.08984375" style="1" customWidth="1"/>
    <col min="75" max="75" width="12.453125" style="1" bestFit="1" customWidth="1"/>
    <col min="76" max="76" width="10.453125" style="1" bestFit="1" customWidth="1"/>
    <col min="77" max="88" width="9.81640625" style="1" bestFit="1" customWidth="1"/>
    <col min="89" max="16384" width="8.7265625" style="1"/>
  </cols>
  <sheetData>
    <row r="1" spans="1:88" x14ac:dyDescent="0.35">
      <c r="BW1" s="13" t="s">
        <v>610</v>
      </c>
    </row>
    <row r="2" spans="1:88" ht="29" x14ac:dyDescent="0.35">
      <c r="A2" s="1" t="s">
        <v>0</v>
      </c>
      <c r="B2" s="1" t="s">
        <v>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</v>
      </c>
      <c r="P2" s="1" t="s">
        <v>2</v>
      </c>
      <c r="Q2" s="1" t="s">
        <v>3</v>
      </c>
      <c r="S2" s="3" t="s">
        <v>160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12</v>
      </c>
      <c r="AE2" s="1" t="s">
        <v>161</v>
      </c>
      <c r="AF2" s="1" t="s">
        <v>162</v>
      </c>
      <c r="AI2" s="3" t="s">
        <v>160</v>
      </c>
      <c r="AJ2" s="1" t="s">
        <v>2</v>
      </c>
      <c r="AK2" s="1" t="s">
        <v>3</v>
      </c>
      <c r="AL2" s="1" t="s">
        <v>4</v>
      </c>
      <c r="AM2" s="1" t="s">
        <v>5</v>
      </c>
      <c r="AN2" s="1" t="s">
        <v>6</v>
      </c>
      <c r="AO2" s="1" t="s">
        <v>7</v>
      </c>
      <c r="AP2" s="1" t="s">
        <v>8</v>
      </c>
      <c r="AQ2" s="1" t="s">
        <v>9</v>
      </c>
      <c r="AR2" s="1" t="s">
        <v>10</v>
      </c>
      <c r="AS2" s="1" t="s">
        <v>11</v>
      </c>
      <c r="AT2" s="1" t="s">
        <v>12</v>
      </c>
      <c r="AU2" s="4" t="s">
        <v>163</v>
      </c>
      <c r="AV2" s="1" t="s">
        <v>2</v>
      </c>
      <c r="AW2" s="1" t="s">
        <v>3</v>
      </c>
      <c r="AZ2" s="1" t="s">
        <v>457</v>
      </c>
      <c r="BA2" s="1" t="s">
        <v>456</v>
      </c>
      <c r="BB2" s="1" t="s">
        <v>455</v>
      </c>
      <c r="BC2" s="1" t="s">
        <v>454</v>
      </c>
      <c r="BD2" s="1" t="s">
        <v>453</v>
      </c>
      <c r="BE2" s="3" t="s">
        <v>160</v>
      </c>
      <c r="BF2" s="1" t="s">
        <v>2</v>
      </c>
      <c r="BG2" s="1" t="s">
        <v>3</v>
      </c>
      <c r="BH2" s="1" t="s">
        <v>4</v>
      </c>
      <c r="BI2" s="1" t="s">
        <v>5</v>
      </c>
      <c r="BJ2" s="1" t="s">
        <v>6</v>
      </c>
      <c r="BK2" s="1" t="s">
        <v>7</v>
      </c>
      <c r="BL2" s="1" t="s">
        <v>8</v>
      </c>
      <c r="BM2" s="1" t="s">
        <v>9</v>
      </c>
      <c r="BN2" s="1" t="s">
        <v>10</v>
      </c>
      <c r="BO2" s="1" t="s">
        <v>11</v>
      </c>
      <c r="BP2" s="1" t="s">
        <v>12</v>
      </c>
      <c r="BQ2" s="4" t="s">
        <v>163</v>
      </c>
      <c r="BR2" s="1" t="s">
        <v>2</v>
      </c>
      <c r="BS2" s="1" t="s">
        <v>3</v>
      </c>
      <c r="BW2" s="1" t="s">
        <v>609</v>
      </c>
      <c r="BX2" s="1" t="s">
        <v>3</v>
      </c>
      <c r="BY2" s="1" t="s">
        <v>4</v>
      </c>
      <c r="BZ2" s="1" t="s">
        <v>5</v>
      </c>
      <c r="CA2" s="1" t="s">
        <v>6</v>
      </c>
      <c r="CB2" s="1" t="s">
        <v>7</v>
      </c>
      <c r="CC2" s="1" t="s">
        <v>8</v>
      </c>
      <c r="CD2" s="1" t="s">
        <v>9</v>
      </c>
      <c r="CE2" s="1" t="s">
        <v>10</v>
      </c>
      <c r="CF2" s="1" t="s">
        <v>11</v>
      </c>
      <c r="CG2" s="1" t="s">
        <v>12</v>
      </c>
      <c r="CH2" s="1" t="s">
        <v>163</v>
      </c>
      <c r="CI2" s="1" t="s">
        <v>2</v>
      </c>
      <c r="CJ2" s="1" t="s">
        <v>3</v>
      </c>
    </row>
    <row r="3" spans="1:88" x14ac:dyDescent="0.35">
      <c r="A3" s="1" t="s">
        <v>13</v>
      </c>
      <c r="B3" s="1">
        <v>1.0063135670702423</v>
      </c>
      <c r="C3" s="1">
        <v>1</v>
      </c>
      <c r="D3" s="1">
        <v>0.99687335443019698</v>
      </c>
      <c r="E3" s="1">
        <v>0.98249695294869999</v>
      </c>
      <c r="F3" s="1">
        <v>1.0350794214876837</v>
      </c>
      <c r="G3" s="1">
        <v>1.0047194118628622</v>
      </c>
      <c r="H3" s="1">
        <v>1.0026558882486245</v>
      </c>
      <c r="I3" s="1">
        <v>1.0004786779221007</v>
      </c>
      <c r="J3" s="1">
        <v>1.0157731578832978</v>
      </c>
      <c r="K3" s="1">
        <v>1.0146979664057905</v>
      </c>
      <c r="L3" s="1">
        <v>1.0221331988693969</v>
      </c>
      <c r="M3" s="1">
        <v>1.027142088657925</v>
      </c>
      <c r="N3" s="1">
        <v>1.0061644351535157</v>
      </c>
      <c r="O3" s="1">
        <v>0.99215001885499554</v>
      </c>
      <c r="P3" s="1">
        <v>1.001323051902919</v>
      </c>
      <c r="Q3" s="1">
        <v>0.9723212218041275</v>
      </c>
      <c r="S3" s="1">
        <f t="shared" ref="S3:S56" si="0">C3*100</f>
        <v>100</v>
      </c>
      <c r="T3" s="1">
        <f>S3*D3</f>
        <v>99.687335443019691</v>
      </c>
      <c r="U3" s="1">
        <f t="shared" ref="U3:AD3" si="1">T3*E3</f>
        <v>97.942503320341785</v>
      </c>
      <c r="V3" s="1">
        <f t="shared" si="1"/>
        <v>101.37826967587492</v>
      </c>
      <c r="W3" s="1">
        <f t="shared" si="1"/>
        <v>101.85671548441968</v>
      </c>
      <c r="X3" s="1">
        <f t="shared" si="1"/>
        <v>102.12723553811824</v>
      </c>
      <c r="Y3" s="1">
        <f t="shared" si="1"/>
        <v>102.17612159101552</v>
      </c>
      <c r="Z3" s="1">
        <f t="shared" si="1"/>
        <v>103.78776168877364</v>
      </c>
      <c r="AA3" s="1">
        <f t="shared" si="1"/>
        <v>105.31323072340743</v>
      </c>
      <c r="AB3" s="1">
        <f t="shared" si="1"/>
        <v>107.64414940258729</v>
      </c>
      <c r="AC3" s="1">
        <f t="shared" si="1"/>
        <v>110.56583644917924</v>
      </c>
      <c r="AD3" s="1">
        <f t="shared" si="1"/>
        <v>111.24741237816444</v>
      </c>
      <c r="AE3" s="9">
        <f>AVERAGE(S3:AD3)</f>
        <v>103.64388097457515</v>
      </c>
      <c r="AF3" s="1">
        <f>100/AE3</f>
        <v>0.96484229517158826</v>
      </c>
      <c r="AH3" s="1" t="str">
        <f>A3</f>
        <v>C1010.21111</v>
      </c>
      <c r="AI3" s="10">
        <f>$AF3*S3</f>
        <v>96.484229517158823</v>
      </c>
      <c r="AJ3" s="1">
        <f t="shared" ref="AJ3:AT3" si="2">$AF3*T3</f>
        <v>96.182557528383143</v>
      </c>
      <c r="AK3" s="1">
        <f t="shared" si="2"/>
        <v>94.499069698449475</v>
      </c>
      <c r="AL3" s="1">
        <f t="shared" si="2"/>
        <v>97.81404239459539</v>
      </c>
      <c r="AM3" s="1">
        <f t="shared" si="2"/>
        <v>98.275667146626944</v>
      </c>
      <c r="AN3" s="1">
        <f t="shared" si="2"/>
        <v>98.5366763361274</v>
      </c>
      <c r="AO3" s="1">
        <f t="shared" si="2"/>
        <v>98.583843667606686</v>
      </c>
      <c r="AP3" s="1">
        <f t="shared" si="2"/>
        <v>100.1388221985182</v>
      </c>
      <c r="AQ3" s="1">
        <f t="shared" si="2"/>
        <v>101.61065924310745</v>
      </c>
      <c r="AR3" s="9">
        <f t="shared" si="2"/>
        <v>103.85962817138567</v>
      </c>
      <c r="AS3" s="1">
        <f t="shared" si="2"/>
        <v>106.67859540719255</v>
      </c>
      <c r="AT3" s="9">
        <f t="shared" si="2"/>
        <v>107.33620869084834</v>
      </c>
      <c r="AU3" s="1">
        <f>AT3*O3</f>
        <v>106.49362147644891</v>
      </c>
      <c r="AV3" s="1">
        <f>AU3*P3</f>
        <v>106.63451806499206</v>
      </c>
      <c r="AW3" s="1">
        <f>AV3*Q3</f>
        <v>103.6830048914474</v>
      </c>
      <c r="AX3" s="1" t="b">
        <f>AY3=AH3</f>
        <v>1</v>
      </c>
      <c r="AY3" s="1" t="s">
        <v>13</v>
      </c>
      <c r="AZ3" s="1" t="str">
        <f>LEFT(AY3,3)</f>
        <v>C10</v>
      </c>
      <c r="BA3" s="1" t="str">
        <f>LEFT(AY3,5)</f>
        <v>C1010</v>
      </c>
      <c r="BB3" s="1" t="s">
        <v>164</v>
      </c>
      <c r="BC3" s="1" t="s">
        <v>165</v>
      </c>
      <c r="BD3" s="1">
        <v>2.249018117813514E-2</v>
      </c>
      <c r="BE3" s="1">
        <f t="shared" ref="BE3:BE34" si="3">$BD3*AI3</f>
        <v>2.1699478026736765</v>
      </c>
      <c r="BF3" s="1">
        <f t="shared" ref="BF3:BF34" si="4">$BD3*AJ3</f>
        <v>2.1631631449897428</v>
      </c>
      <c r="BG3" s="1">
        <f t="shared" ref="BG3:BG34" si="5">$BD3*AK3</f>
        <v>2.1253011986833492</v>
      </c>
      <c r="BH3" s="1">
        <f t="shared" ref="BH3:BH34" si="6">$BD3*AL3</f>
        <v>2.1998555352202418</v>
      </c>
      <c r="BI3" s="1">
        <f t="shared" ref="BI3:BI34" si="7">$BD3*AM3</f>
        <v>2.2102375595297432</v>
      </c>
      <c r="BJ3" s="1">
        <f t="shared" ref="BJ3:BJ34" si="8">$BD3*AN3</f>
        <v>2.2161077034907666</v>
      </c>
      <c r="BK3" s="1">
        <f t="shared" ref="BK3:BK34" si="9">$BD3*AO3</f>
        <v>2.2171685053214252</v>
      </c>
      <c r="BL3" s="1">
        <f t="shared" ref="BL3:BL34" si="10">$BD3*AP3</f>
        <v>2.2521402542097353</v>
      </c>
      <c r="BM3" s="1">
        <f t="shared" ref="BM3:BM34" si="11">$BD3*AQ3</f>
        <v>2.2852421360072386</v>
      </c>
      <c r="BN3" s="1">
        <f t="shared" ref="BN3:BN34" si="12">$BD3*AR3</f>
        <v>2.3358218546682119</v>
      </c>
      <c r="BO3" s="1">
        <f t="shared" ref="BO3:BO34" si="13">$BD3*AS3</f>
        <v>2.3992209385367356</v>
      </c>
      <c r="BP3" s="1">
        <f t="shared" ref="BP3:BP34" si="14">$BD3*AT3</f>
        <v>2.4140107804313029</v>
      </c>
      <c r="BQ3" s="1">
        <f t="shared" ref="BQ3:BQ34" si="15">$BD3*AU3</f>
        <v>2.3950608413210794</v>
      </c>
      <c r="BR3" s="1">
        <f t="shared" ref="BR3:BR34" si="16">$BD3*AV3</f>
        <v>2.3982296311247961</v>
      </c>
      <c r="BS3" s="1">
        <f t="shared" ref="BS3:BS34" si="17">$BD3*AW3</f>
        <v>2.3318495651021238</v>
      </c>
      <c r="BV3" s="1" t="s">
        <v>13</v>
      </c>
      <c r="BW3" s="1">
        <f>((AJ3-AI3)/BE$154)*$BD3</f>
        <v>-6.815491395120611E-5</v>
      </c>
      <c r="BX3" s="1">
        <f>((AK3-AJ3)/BF$154)*$BD3</f>
        <v>-3.8054822759554379E-4</v>
      </c>
      <c r="BY3" s="1">
        <f>((AL3-AK3)/BG$154)*$BD3</f>
        <v>7.4968267803179813E-4</v>
      </c>
      <c r="BZ3" s="1">
        <f>((AM3-AL3)/BH$154)*$BD3</f>
        <v>1.0416177047139195E-4</v>
      </c>
      <c r="CA3" s="1">
        <f>((AN3-AM3)/BI$154)*$BD3</f>
        <v>5.8831341585312166E-5</v>
      </c>
      <c r="CB3" s="1">
        <f>((AO3-AN3)/BJ$154)*$BD3</f>
        <v>1.0625864588181306E-5</v>
      </c>
      <c r="CC3" s="1">
        <f>((AP3-AO3)/BK$154)*$BD3</f>
        <v>3.5020523175347733E-4</v>
      </c>
      <c r="CD3" s="1">
        <f>((AQ3-AP3)/BL$154)*$BD3</f>
        <v>3.3099859057299301E-4</v>
      </c>
      <c r="CE3" s="1">
        <f>((AR3-AQ3)/BM$154)*$BD3</f>
        <v>5.0375088087443684E-4</v>
      </c>
      <c r="CF3" s="1">
        <f>((AS3-AR3)/BN$154)*$BD3</f>
        <v>6.3090299275920755E-4</v>
      </c>
      <c r="CG3" s="1">
        <f>((AT3-AS3)/BO$154)*$BD3</f>
        <v>1.4684118690003474E-4</v>
      </c>
      <c r="CH3" s="1">
        <f>((AU3-AT3)/BP$154)*$BD3</f>
        <v>-1.8809702205964621E-4</v>
      </c>
      <c r="CI3" s="1">
        <f>((AV3-AU3)/BQ$154)*$BD3</f>
        <v>3.1344332597316811E-5</v>
      </c>
      <c r="CJ3" s="1">
        <f>((AW3-AV3)/BR$154)*$BD3</f>
        <v>-6.5542614275852589E-4</v>
      </c>
    </row>
    <row r="4" spans="1:88" x14ac:dyDescent="0.35">
      <c r="A4" s="1" t="s">
        <v>14</v>
      </c>
      <c r="B4" s="1">
        <v>0.9906039639258386</v>
      </c>
      <c r="C4" s="1">
        <v>1</v>
      </c>
      <c r="D4" s="1">
        <v>0.9649068500273531</v>
      </c>
      <c r="E4" s="1">
        <v>1.0192888048297739</v>
      </c>
      <c r="F4" s="1">
        <v>0.98715332196440198</v>
      </c>
      <c r="G4" s="1">
        <v>1.0017100427335359</v>
      </c>
      <c r="H4" s="1">
        <v>1.005405572665881</v>
      </c>
      <c r="I4" s="1">
        <v>0.99743041074814998</v>
      </c>
      <c r="J4" s="1">
        <v>1.029477608278484</v>
      </c>
      <c r="K4" s="1">
        <v>1.0301292341741339</v>
      </c>
      <c r="L4" s="1">
        <v>0.96494954865611071</v>
      </c>
      <c r="M4" s="1">
        <v>1.007414357737189</v>
      </c>
      <c r="N4" s="1">
        <v>0.99778845645222913</v>
      </c>
      <c r="O4" s="1">
        <v>0.99230050580717688</v>
      </c>
      <c r="P4" s="1">
        <v>1.0064534717951894</v>
      </c>
      <c r="Q4" s="1">
        <v>1.0121051961480836</v>
      </c>
      <c r="S4" s="1">
        <f t="shared" si="0"/>
        <v>100</v>
      </c>
      <c r="T4" s="1">
        <f t="shared" ref="T4:T57" si="18">S4*D4</f>
        <v>96.490685002735304</v>
      </c>
      <c r="U4" s="1">
        <f t="shared" ref="U4:U57" si="19">T4*E4</f>
        <v>98.351874993644259</v>
      </c>
      <c r="V4" s="1">
        <f t="shared" ref="V4:V57" si="20">U4*F4</f>
        <v>97.088380121403532</v>
      </c>
      <c r="W4" s="1">
        <f t="shared" ref="W4:W57" si="21">V4*G4</f>
        <v>97.254405400340914</v>
      </c>
      <c r="X4" s="1">
        <f t="shared" ref="X4:X57" si="22">W4*H4</f>
        <v>97.78012115580951</v>
      </c>
      <c r="Y4" s="1">
        <f t="shared" ref="Y4:Y57" si="23">X4*I4</f>
        <v>97.528866407442948</v>
      </c>
      <c r="Z4" s="1">
        <f t="shared" ref="Z4:Z57" si="24">Y4*J4</f>
        <v>100.40378412724615</v>
      </c>
      <c r="AA4" s="1">
        <f t="shared" ref="AA4:AA57" si="25">Z4*K4</f>
        <v>103.42887325118515</v>
      </c>
      <c r="AB4" s="1">
        <f t="shared" ref="AB4:AB57" si="26">AA4*L4</f>
        <v>99.803644561741194</v>
      </c>
      <c r="AC4" s="1">
        <f t="shared" ref="AC4:AC57" si="27">AB4*M4</f>
        <v>100.5436244859972</v>
      </c>
      <c r="AD4" s="1">
        <f t="shared" ref="AD4:AD57" si="28">AC4*N4</f>
        <v>100.32126788199569</v>
      </c>
      <c r="AE4" s="1">
        <f t="shared" ref="AE4:AE57" si="29">AVERAGE(S4:AD4)</f>
        <v>99.082960615795159</v>
      </c>
      <c r="AF4" s="1">
        <f t="shared" ref="AF4:AF59" si="30">100/AE4</f>
        <v>1.0092552682974498</v>
      </c>
      <c r="AH4" s="1" t="str">
        <f t="shared" ref="AH4:AH57" si="31">A4</f>
        <v>C1010.21113</v>
      </c>
      <c r="AI4" s="1">
        <f t="shared" ref="AI4:AI56" si="32">$AF4*S4</f>
        <v>100.92552682974498</v>
      </c>
      <c r="AJ4" s="1">
        <f t="shared" ref="AJ4:AJ57" si="33">$AF4*T4</f>
        <v>97.383732180640337</v>
      </c>
      <c r="AK4" s="1">
        <f t="shared" ref="AK4:AK57" si="34">$AF4*U4</f>
        <v>99.262147984267685</v>
      </c>
      <c r="AL4" s="1">
        <f t="shared" ref="AL4:AL57" si="35">$AF4*V4</f>
        <v>97.986959127991909</v>
      </c>
      <c r="AM4" s="1">
        <f t="shared" ref="AM4:AM57" si="36">$AF4*W4</f>
        <v>98.154521015430021</v>
      </c>
      <c r="AN4" s="1">
        <f t="shared" ref="AN4:AN57" si="37">$AF4*X4</f>
        <v>98.685102411263671</v>
      </c>
      <c r="AO4" s="1">
        <f t="shared" ref="AO4:AO57" si="38">$AF4*Y4</f>
        <v>98.431522232789973</v>
      </c>
      <c r="AP4" s="1">
        <f t="shared" ref="AP4:AP57" si="39">$AF4*Z4</f>
        <v>101.33304808742305</v>
      </c>
      <c r="AQ4" s="1">
        <f t="shared" ref="AQ4:AQ57" si="40">$AF4*AA4</f>
        <v>104.3861352228278</v>
      </c>
      <c r="AR4" s="1">
        <f t="shared" ref="AR4:AR57" si="41">$AF4*AB4</f>
        <v>100.72735406922342</v>
      </c>
      <c r="AS4" s="1">
        <f t="shared" ref="AS4:AS57" si="42">$AF4*AC4</f>
        <v>101.47418270621314</v>
      </c>
      <c r="AT4" s="1">
        <f t="shared" ref="AT4:AT57" si="43">$AF4*AD4</f>
        <v>101.2497681321839</v>
      </c>
      <c r="AU4" s="1">
        <f t="shared" ref="AU4:AW4" si="44">AT4*O4</f>
        <v>100.47019613042546</v>
      </c>
      <c r="AV4" s="1">
        <f t="shared" si="44"/>
        <v>101.11857770741031</v>
      </c>
      <c r="AW4" s="1">
        <f t="shared" si="44"/>
        <v>102.34263792477374</v>
      </c>
      <c r="AX4" s="1" t="b">
        <f t="shared" ref="AX4:AX59" si="45">AY4=AH4</f>
        <v>1</v>
      </c>
      <c r="AY4" s="1" t="s">
        <v>14</v>
      </c>
      <c r="AZ4" s="1" t="str">
        <f t="shared" ref="AZ4:AZ67" si="46">LEFT(AY4,3)</f>
        <v>C10</v>
      </c>
      <c r="BA4" s="1" t="str">
        <f t="shared" ref="BA4:BA67" si="47">LEFT(AY4,5)</f>
        <v>C1010</v>
      </c>
      <c r="BB4" s="1" t="s">
        <v>166</v>
      </c>
      <c r="BC4" s="1" t="s">
        <v>167</v>
      </c>
      <c r="BD4" s="1">
        <v>5.733945855595367E-3</v>
      </c>
      <c r="BE4" s="1">
        <f t="shared" si="3"/>
        <v>0.57870150628919526</v>
      </c>
      <c r="BF4" s="1">
        <f t="shared" si="4"/>
        <v>0.55839304753959185</v>
      </c>
      <c r="BG4" s="1">
        <f t="shared" si="5"/>
        <v>0.56916378205188567</v>
      </c>
      <c r="BH4" s="1">
        <f t="shared" si="6"/>
        <v>0.56185191819434177</v>
      </c>
      <c r="BI4" s="1">
        <f t="shared" si="7"/>
        <v>0.5628127089843733</v>
      </c>
      <c r="BJ4" s="1">
        <f t="shared" si="8"/>
        <v>0.56585503398006964</v>
      </c>
      <c r="BK4" s="1">
        <f t="shared" si="9"/>
        <v>0.56440101896664929</v>
      </c>
      <c r="BL4" s="1">
        <f t="shared" si="10"/>
        <v>0.5810382111157254</v>
      </c>
      <c r="BM4" s="1">
        <f t="shared" si="11"/>
        <v>0.59854444744255109</v>
      </c>
      <c r="BN4" s="1">
        <f t="shared" si="12"/>
        <v>0.57756519441031073</v>
      </c>
      <c r="BO4" s="1">
        <f t="shared" si="13"/>
        <v>0.58184746937821785</v>
      </c>
      <c r="BP4" s="1">
        <f t="shared" si="14"/>
        <v>0.58056068836152774</v>
      </c>
      <c r="BQ4" s="1">
        <f t="shared" si="15"/>
        <v>0.57609066471290671</v>
      </c>
      <c r="BR4" s="1">
        <f t="shared" si="16"/>
        <v>0.57980844956910338</v>
      </c>
      <c r="BS4" s="1">
        <f t="shared" si="17"/>
        <v>0.58682714457945362</v>
      </c>
      <c r="BV4" s="1" t="s">
        <v>14</v>
      </c>
      <c r="BW4" s="1">
        <f>((AJ4-AI4)/BE$154)*$BD4</f>
        <v>-2.0400753037821579E-4</v>
      </c>
      <c r="BX4" s="1">
        <f>((AK4-AJ4)/BF$154)*$BD4</f>
        <v>1.0825602823971639E-4</v>
      </c>
      <c r="BY4" s="1">
        <f>((AL4-AK4)/BG$154)*$BD4</f>
        <v>-7.3524598739000039E-5</v>
      </c>
      <c r="BZ4" s="1">
        <f>((AM4-AL4)/BH$154)*$BD4</f>
        <v>9.6395141023412614E-6</v>
      </c>
      <c r="CA4" s="1">
        <f>((AN4-AM4)/BI$154)*$BD4</f>
        <v>3.0490574374966471E-5</v>
      </c>
      <c r="CB4" s="1">
        <f>((AO4-AN4)/BJ$154)*$BD4</f>
        <v>-1.4564611594042611E-5</v>
      </c>
      <c r="CC4" s="1">
        <f>((AP4-AO4)/BK$154)*$BD4</f>
        <v>1.6660395655082301E-4</v>
      </c>
      <c r="CD4" s="1">
        <f>((AQ4-AP4)/BL$154)*$BD4</f>
        <v>1.7505166581961739E-4</v>
      </c>
      <c r="CE4" s="1">
        <f>((AR4-AQ4)/BM$154)*$BD4</f>
        <v>-2.0894377182910427E-4</v>
      </c>
      <c r="CF4" s="1">
        <f>((AS4-AR4)/BN$154)*$BD4</f>
        <v>4.261418191267892E-5</v>
      </c>
      <c r="CG4" s="1">
        <f>((AT4-AS4)/BO$154)*$BD4</f>
        <v>-1.2775826348801307E-5</v>
      </c>
      <c r="CH4" s="1">
        <f>((AU4-AT4)/BP$154)*$BD4</f>
        <v>-4.4369437387173248E-5</v>
      </c>
      <c r="CI4" s="1">
        <f>((AV4-AU4)/BQ$154)*$BD4</f>
        <v>3.6774760169075389E-5</v>
      </c>
      <c r="CJ4" s="1">
        <f>((AW4-AV4)/BR$154)*$BD4</f>
        <v>6.930147065929594E-5</v>
      </c>
    </row>
    <row r="5" spans="1:88" x14ac:dyDescent="0.35">
      <c r="A5" s="1" t="s">
        <v>15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1.0026258431706849</v>
      </c>
      <c r="M5" s="1">
        <v>1.0041050879135445</v>
      </c>
      <c r="N5" s="1">
        <v>1.006729228783658</v>
      </c>
      <c r="O5" s="1">
        <v>1</v>
      </c>
      <c r="P5" s="1">
        <v>1</v>
      </c>
      <c r="Q5" s="1">
        <v>1</v>
      </c>
      <c r="S5" s="1">
        <f t="shared" si="0"/>
        <v>100</v>
      </c>
      <c r="T5" s="1">
        <f t="shared" si="18"/>
        <v>100</v>
      </c>
      <c r="U5" s="1">
        <f t="shared" si="19"/>
        <v>100</v>
      </c>
      <c r="V5" s="1">
        <f t="shared" si="20"/>
        <v>100</v>
      </c>
      <c r="W5" s="1">
        <f t="shared" si="21"/>
        <v>100</v>
      </c>
      <c r="X5" s="1">
        <f t="shared" si="22"/>
        <v>100</v>
      </c>
      <c r="Y5" s="1">
        <f t="shared" si="23"/>
        <v>100</v>
      </c>
      <c r="Z5" s="1">
        <f t="shared" si="24"/>
        <v>100</v>
      </c>
      <c r="AA5" s="1">
        <f t="shared" si="25"/>
        <v>100</v>
      </c>
      <c r="AB5" s="1">
        <f t="shared" si="26"/>
        <v>100.26258431706849</v>
      </c>
      <c r="AC5" s="1">
        <f t="shared" si="27"/>
        <v>100.67417104012922</v>
      </c>
      <c r="AD5" s="1">
        <f t="shared" si="28"/>
        <v>101.35163056966337</v>
      </c>
      <c r="AE5" s="1">
        <f t="shared" si="29"/>
        <v>100.19069882723841</v>
      </c>
      <c r="AF5" s="1">
        <f t="shared" si="30"/>
        <v>0.998096641410125</v>
      </c>
      <c r="AH5" s="1" t="str">
        <f t="shared" si="31"/>
        <v>C1010.21119</v>
      </c>
      <c r="AI5" s="1">
        <f t="shared" si="32"/>
        <v>99.809664141012505</v>
      </c>
      <c r="AJ5" s="1">
        <f t="shared" si="33"/>
        <v>99.809664141012505</v>
      </c>
      <c r="AK5" s="1">
        <f t="shared" si="34"/>
        <v>99.809664141012505</v>
      </c>
      <c r="AL5" s="1">
        <f t="shared" si="35"/>
        <v>99.809664141012505</v>
      </c>
      <c r="AM5" s="1">
        <f t="shared" si="36"/>
        <v>99.809664141012505</v>
      </c>
      <c r="AN5" s="1">
        <f t="shared" si="37"/>
        <v>99.809664141012505</v>
      </c>
      <c r="AO5" s="1">
        <f t="shared" si="38"/>
        <v>99.809664141012505</v>
      </c>
      <c r="AP5" s="1">
        <f t="shared" si="39"/>
        <v>99.809664141012505</v>
      </c>
      <c r="AQ5" s="1">
        <f t="shared" si="40"/>
        <v>99.809664141012505</v>
      </c>
      <c r="AR5" s="1">
        <f t="shared" si="41"/>
        <v>100.07174866596553</v>
      </c>
      <c r="AS5" s="1">
        <f t="shared" si="42"/>
        <v>100.48255199190145</v>
      </c>
      <c r="AT5" s="1">
        <f t="shared" si="43"/>
        <v>101.15872207302077</v>
      </c>
      <c r="AU5" s="1">
        <f t="shared" ref="AU5:AW5" si="48">AT5*O5</f>
        <v>101.15872207302077</v>
      </c>
      <c r="AV5" s="1">
        <f t="shared" si="48"/>
        <v>101.15872207302077</v>
      </c>
      <c r="AW5" s="1">
        <f t="shared" si="48"/>
        <v>101.15872207302077</v>
      </c>
      <c r="AX5" s="1" t="b">
        <f t="shared" si="45"/>
        <v>1</v>
      </c>
      <c r="AY5" s="1" t="s">
        <v>15</v>
      </c>
      <c r="AZ5" s="1" t="str">
        <f t="shared" si="46"/>
        <v>C10</v>
      </c>
      <c r="BA5" s="1" t="str">
        <f t="shared" si="47"/>
        <v>C1010</v>
      </c>
      <c r="BB5" s="1" t="s">
        <v>168</v>
      </c>
      <c r="BC5" s="1" t="s">
        <v>169</v>
      </c>
      <c r="BD5" s="1">
        <v>7.7339282396500378E-4</v>
      </c>
      <c r="BE5" s="1">
        <f t="shared" si="3"/>
        <v>7.719207800901623E-2</v>
      </c>
      <c r="BF5" s="1">
        <f t="shared" si="4"/>
        <v>7.719207800901623E-2</v>
      </c>
      <c r="BG5" s="1">
        <f t="shared" si="5"/>
        <v>7.719207800901623E-2</v>
      </c>
      <c r="BH5" s="1">
        <f t="shared" si="6"/>
        <v>7.719207800901623E-2</v>
      </c>
      <c r="BI5" s="1">
        <f t="shared" si="7"/>
        <v>7.719207800901623E-2</v>
      </c>
      <c r="BJ5" s="1">
        <f t="shared" si="8"/>
        <v>7.719207800901623E-2</v>
      </c>
      <c r="BK5" s="1">
        <f t="shared" si="9"/>
        <v>7.719207800901623E-2</v>
      </c>
      <c r="BL5" s="1">
        <f t="shared" si="10"/>
        <v>7.719207800901623E-2</v>
      </c>
      <c r="BM5" s="1">
        <f t="shared" si="11"/>
        <v>7.719207800901623E-2</v>
      </c>
      <c r="BN5" s="1">
        <f t="shared" si="12"/>
        <v>7.7394772299887185E-2</v>
      </c>
      <c r="BO5" s="1">
        <f t="shared" si="13"/>
        <v>7.7712484644226976E-2</v>
      </c>
      <c r="BP5" s="1">
        <f t="shared" si="14"/>
        <v>7.8235429732744499E-2</v>
      </c>
      <c r="BQ5" s="1">
        <f t="shared" si="15"/>
        <v>7.8235429732744499E-2</v>
      </c>
      <c r="BR5" s="1">
        <f t="shared" si="16"/>
        <v>7.8235429732744499E-2</v>
      </c>
      <c r="BS5" s="1">
        <f t="shared" si="17"/>
        <v>7.8235429732744499E-2</v>
      </c>
      <c r="BV5" s="1" t="s">
        <v>15</v>
      </c>
      <c r="BW5" s="1">
        <f>((AJ5-AI5)/BE$154)*$BD5</f>
        <v>0</v>
      </c>
      <c r="BX5" s="1">
        <f>((AK5-AJ5)/BF$154)*$BD5</f>
        <v>0</v>
      </c>
      <c r="BY5" s="1">
        <f>((AL5-AK5)/BG$154)*$BD5</f>
        <v>0</v>
      </c>
      <c r="BZ5" s="1">
        <f>((AM5-AL5)/BH$154)*$BD5</f>
        <v>0</v>
      </c>
      <c r="CA5" s="1">
        <f>((AN5-AM5)/BI$154)*$BD5</f>
        <v>0</v>
      </c>
      <c r="CB5" s="1">
        <f>((AO5-AN5)/BJ$154)*$BD5</f>
        <v>0</v>
      </c>
      <c r="CC5" s="1">
        <f>((AP5-AO5)/BK$154)*$BD5</f>
        <v>0</v>
      </c>
      <c r="CD5" s="1">
        <f>((AQ5-AP5)/BL$154)*$BD5</f>
        <v>0</v>
      </c>
      <c r="CE5" s="1">
        <f>((AR5-AQ5)/BM$154)*$BD5</f>
        <v>2.0187424975387021E-6</v>
      </c>
      <c r="CF5" s="1">
        <f>((AS5-AR5)/BN$154)*$BD5</f>
        <v>3.1616492960087935E-6</v>
      </c>
      <c r="CG5" s="1">
        <f>((AT5-AS5)/BO$154)*$BD5</f>
        <v>5.1920688556964288E-6</v>
      </c>
      <c r="CH5" s="1">
        <f>((AU5-AT5)/BP$154)*$BD5</f>
        <v>0</v>
      </c>
      <c r="CI5" s="1">
        <f>((AV5-AU5)/BQ$154)*$BD5</f>
        <v>0</v>
      </c>
      <c r="CJ5" s="1">
        <f>((AW5-AV5)/BR$154)*$BD5</f>
        <v>0</v>
      </c>
    </row>
    <row r="6" spans="1:88" x14ac:dyDescent="0.35">
      <c r="A6" s="1" t="s">
        <v>16</v>
      </c>
      <c r="B6" s="1">
        <v>1</v>
      </c>
      <c r="C6" s="1">
        <v>1</v>
      </c>
      <c r="D6" s="1">
        <v>0.97649266093969811</v>
      </c>
      <c r="E6" s="1">
        <v>0.9953210827540141</v>
      </c>
      <c r="F6" s="1">
        <v>0.99080096124879935</v>
      </c>
      <c r="G6" s="1">
        <v>0.99130919872284096</v>
      </c>
      <c r="H6" s="1">
        <v>1.0353304310032256</v>
      </c>
      <c r="I6" s="1">
        <v>1.0261378850941529</v>
      </c>
      <c r="J6" s="1">
        <v>0.99889175916190165</v>
      </c>
      <c r="K6" s="1">
        <v>1.0036009487580388</v>
      </c>
      <c r="L6" s="1">
        <v>0.97471541747197499</v>
      </c>
      <c r="M6" s="1">
        <v>1.0145971465903081</v>
      </c>
      <c r="N6" s="1">
        <v>1.0037843627924004</v>
      </c>
      <c r="O6" s="1">
        <v>0.97625271243286116</v>
      </c>
      <c r="P6" s="1">
        <v>0.99098051227453254</v>
      </c>
      <c r="Q6" s="1">
        <v>0.98316366122192034</v>
      </c>
      <c r="S6" s="1">
        <f t="shared" si="0"/>
        <v>100</v>
      </c>
      <c r="T6" s="1">
        <f t="shared" si="18"/>
        <v>97.649266093969814</v>
      </c>
      <c r="U6" s="1">
        <f t="shared" si="19"/>
        <v>97.192373258784869</v>
      </c>
      <c r="V6" s="1">
        <f t="shared" si="20"/>
        <v>96.298296850856147</v>
      </c>
      <c r="W6" s="1">
        <f t="shared" si="21"/>
        <v>95.46138748959649</v>
      </c>
      <c r="X6" s="1">
        <f t="shared" si="22"/>
        <v>98.83407945376986</v>
      </c>
      <c r="Y6" s="1">
        <f t="shared" si="23"/>
        <v>101.41739326591888</v>
      </c>
      <c r="Z6" s="1">
        <f t="shared" si="24"/>
        <v>101.3049983690081</v>
      </c>
      <c r="AA6" s="1">
        <f t="shared" si="25"/>
        <v>101.66979247706811</v>
      </c>
      <c r="AB6" s="1">
        <f t="shared" si="26"/>
        <v>99.099114218574513</v>
      </c>
      <c r="AC6" s="1">
        <f t="shared" si="27"/>
        <v>100.54567851579273</v>
      </c>
      <c r="AD6" s="1">
        <f t="shared" si="28"/>
        <v>100.92617984050455</v>
      </c>
      <c r="AE6" s="1">
        <f t="shared" si="29"/>
        <v>99.199879986153675</v>
      </c>
      <c r="AF6" s="1">
        <f t="shared" si="30"/>
        <v>1.0080657357040956</v>
      </c>
      <c r="AH6" s="1" t="str">
        <f t="shared" si="31"/>
        <v>C1010.21121</v>
      </c>
      <c r="AI6" s="1">
        <f t="shared" si="32"/>
        <v>100.80657357040957</v>
      </c>
      <c r="AJ6" s="1">
        <f t="shared" si="33"/>
        <v>98.436879265982682</v>
      </c>
      <c r="AK6" s="1">
        <f t="shared" si="34"/>
        <v>97.976301253944044</v>
      </c>
      <c r="AL6" s="1">
        <f t="shared" si="35"/>
        <v>97.075013462009693</v>
      </c>
      <c r="AM6" s="1">
        <f t="shared" si="36"/>
        <v>96.231353811033841</v>
      </c>
      <c r="AN6" s="1">
        <f t="shared" si="37"/>
        <v>99.631249017201554</v>
      </c>
      <c r="AO6" s="1">
        <f t="shared" si="38"/>
        <v>102.23539915580011</v>
      </c>
      <c r="AP6" s="1">
        <f t="shared" si="39"/>
        <v>102.12209771135636</v>
      </c>
      <c r="AQ6" s="1">
        <f t="shared" si="40"/>
        <v>102.48983415227839</v>
      </c>
      <c r="AR6" s="1">
        <f t="shared" si="41"/>
        <v>99.898421482371518</v>
      </c>
      <c r="AS6" s="1">
        <f t="shared" si="42"/>
        <v>101.35665338489008</v>
      </c>
      <c r="AT6" s="1">
        <f t="shared" si="43"/>
        <v>101.74022373272209</v>
      </c>
      <c r="AU6" s="1">
        <f t="shared" ref="AU6:AW6" si="49">AT6*O6</f>
        <v>99.324169382596097</v>
      </c>
      <c r="AV6" s="1">
        <f t="shared" si="49"/>
        <v>98.42831625600752</v>
      </c>
      <c r="AW6" s="1">
        <f t="shared" si="49"/>
        <v>96.77114377816541</v>
      </c>
      <c r="AX6" s="1" t="b">
        <f t="shared" si="45"/>
        <v>1</v>
      </c>
      <c r="AY6" s="1" t="s">
        <v>16</v>
      </c>
      <c r="AZ6" s="1" t="str">
        <f t="shared" si="46"/>
        <v>C10</v>
      </c>
      <c r="BA6" s="1" t="str">
        <f t="shared" si="47"/>
        <v>C1010</v>
      </c>
      <c r="BB6" s="1" t="s">
        <v>170</v>
      </c>
      <c r="BC6" s="1" t="s">
        <v>171</v>
      </c>
      <c r="BD6" s="1">
        <v>2.148354517261012E-2</v>
      </c>
      <c r="BE6" s="1">
        <f t="shared" si="3"/>
        <v>2.1656825769959394</v>
      </c>
      <c r="BF6" s="1">
        <f t="shared" si="4"/>
        <v>2.1147731423615075</v>
      </c>
      <c r="BG6" s="1">
        <f t="shared" si="5"/>
        <v>2.1048782938343646</v>
      </c>
      <c r="BH6" s="1">
        <f t="shared" si="6"/>
        <v>2.0855154368428206</v>
      </c>
      <c r="BI6" s="1">
        <f t="shared" si="7"/>
        <v>2.0673906366207726</v>
      </c>
      <c r="BJ6" s="1">
        <f t="shared" si="8"/>
        <v>2.1404324388646172</v>
      </c>
      <c r="BK6" s="1">
        <f t="shared" si="9"/>
        <v>2.1963788160034583</v>
      </c>
      <c r="BL6" s="1">
        <f t="shared" si="10"/>
        <v>2.1939446993036289</v>
      </c>
      <c r="BM6" s="1">
        <f t="shared" si="11"/>
        <v>2.2018449817437924</v>
      </c>
      <c r="BN6" s="1">
        <f t="shared" si="12"/>
        <v>2.146172250588974</v>
      </c>
      <c r="BO6" s="1">
        <f t="shared" si="13"/>
        <v>2.1775002415388727</v>
      </c>
      <c r="BP6" s="1">
        <f t="shared" si="14"/>
        <v>2.1857406924333951</v>
      </c>
      <c r="BQ6" s="1">
        <f t="shared" si="15"/>
        <v>2.1338352796629825</v>
      </c>
      <c r="BR6" s="1">
        <f t="shared" si="16"/>
        <v>2.1145891785498927</v>
      </c>
      <c r="BS6" s="1">
        <f t="shared" si="17"/>
        <v>2.0789872387633652</v>
      </c>
      <c r="BV6" s="1" t="s">
        <v>16</v>
      </c>
      <c r="BW6" s="1">
        <f>((AJ6-AI6)/BE$154)*$BD6</f>
        <v>-5.1140798820710476E-4</v>
      </c>
      <c r="BX6" s="1">
        <f>((AK6-AJ6)/BF$154)*$BD6</f>
        <v>-9.9452548975137941E-5</v>
      </c>
      <c r="BY6" s="1">
        <f>((AL6-AK6)/BG$154)*$BD6</f>
        <v>-1.9470361025322817E-4</v>
      </c>
      <c r="BZ6" s="1">
        <f>((AM6-AL6)/BH$154)*$BD6</f>
        <v>-1.8184423618051554E-4</v>
      </c>
      <c r="CA6" s="1">
        <f>((AN6-AM6)/BI$154)*$BD6</f>
        <v>7.3203438388336195E-4</v>
      </c>
      <c r="CB6" s="1">
        <f>((AO6-AN6)/BJ$154)*$BD6</f>
        <v>5.6040497904092431E-4</v>
      </c>
      <c r="CC6" s="1">
        <f>((AP6-AO6)/BK$154)*$BD6</f>
        <v>-2.4375115059334466E-5</v>
      </c>
      <c r="CD6" s="1">
        <f>((AQ6-AP6)/BL$154)*$BD6</f>
        <v>7.8997996815391422E-5</v>
      </c>
      <c r="CE6" s="1">
        <f>((AR6-AQ6)/BM$154)*$BD6</f>
        <v>-5.5447495759925489E-4</v>
      </c>
      <c r="CF6" s="1">
        <f>((AS6-AR6)/BN$154)*$BD6</f>
        <v>3.117540828888443E-4</v>
      </c>
      <c r="CG6" s="1">
        <f>((AT6-AS6)/BO$154)*$BD6</f>
        <v>8.1815451346214474E-5</v>
      </c>
      <c r="CH6" s="1">
        <f>((AU6-AT6)/BP$154)*$BD6</f>
        <v>-5.1521292570402941E-4</v>
      </c>
      <c r="CI6" s="1">
        <f>((AV6-AU6)/BQ$154)*$BD6</f>
        <v>-1.9037431696564318E-4</v>
      </c>
      <c r="CJ6" s="1">
        <f>((AW6-AV6)/BR$154)*$BD6</f>
        <v>-3.5152785266942804E-4</v>
      </c>
    </row>
    <row r="7" spans="1:88" x14ac:dyDescent="0.35">
      <c r="A7" s="1" t="s">
        <v>17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0.95238095238095233</v>
      </c>
      <c r="N7" s="1">
        <v>1</v>
      </c>
      <c r="O7" s="2">
        <v>1</v>
      </c>
      <c r="P7" s="2">
        <v>1</v>
      </c>
      <c r="Q7" s="2">
        <v>1</v>
      </c>
      <c r="S7" s="1">
        <f t="shared" si="0"/>
        <v>100</v>
      </c>
      <c r="T7" s="1">
        <f t="shared" si="18"/>
        <v>100</v>
      </c>
      <c r="U7" s="1">
        <f t="shared" si="19"/>
        <v>100</v>
      </c>
      <c r="V7" s="1">
        <f t="shared" si="20"/>
        <v>100</v>
      </c>
      <c r="W7" s="1">
        <f t="shared" si="21"/>
        <v>100</v>
      </c>
      <c r="X7" s="1">
        <f t="shared" si="22"/>
        <v>100</v>
      </c>
      <c r="Y7" s="1">
        <f t="shared" si="23"/>
        <v>100</v>
      </c>
      <c r="Z7" s="1">
        <f t="shared" si="24"/>
        <v>100</v>
      </c>
      <c r="AA7" s="1">
        <f t="shared" si="25"/>
        <v>100</v>
      </c>
      <c r="AB7" s="1">
        <f t="shared" si="26"/>
        <v>100</v>
      </c>
      <c r="AC7" s="1">
        <f t="shared" si="27"/>
        <v>95.238095238095227</v>
      </c>
      <c r="AD7" s="1">
        <f t="shared" si="28"/>
        <v>95.238095238095227</v>
      </c>
      <c r="AE7" s="1">
        <f t="shared" si="29"/>
        <v>99.206349206349202</v>
      </c>
      <c r="AF7" s="1">
        <f t="shared" si="30"/>
        <v>1.008</v>
      </c>
      <c r="AH7" s="1" t="str">
        <f t="shared" si="31"/>
        <v>C1010.21160</v>
      </c>
      <c r="AI7" s="1">
        <f t="shared" si="32"/>
        <v>100.8</v>
      </c>
      <c r="AJ7" s="1">
        <f t="shared" si="33"/>
        <v>100.8</v>
      </c>
      <c r="AK7" s="1">
        <f t="shared" si="34"/>
        <v>100.8</v>
      </c>
      <c r="AL7" s="1">
        <f t="shared" si="35"/>
        <v>100.8</v>
      </c>
      <c r="AM7" s="1">
        <f t="shared" si="36"/>
        <v>100.8</v>
      </c>
      <c r="AN7" s="1">
        <f t="shared" si="37"/>
        <v>100.8</v>
      </c>
      <c r="AO7" s="1">
        <f t="shared" si="38"/>
        <v>100.8</v>
      </c>
      <c r="AP7" s="1">
        <f t="shared" si="39"/>
        <v>100.8</v>
      </c>
      <c r="AQ7" s="1">
        <f t="shared" si="40"/>
        <v>100.8</v>
      </c>
      <c r="AR7" s="1">
        <f t="shared" si="41"/>
        <v>100.8</v>
      </c>
      <c r="AS7" s="1">
        <f t="shared" si="42"/>
        <v>95.999999999999986</v>
      </c>
      <c r="AT7" s="1">
        <f t="shared" si="43"/>
        <v>95.999999999999986</v>
      </c>
      <c r="AU7" s="1">
        <f t="shared" ref="AU7:AW7" si="50">AT7*O7</f>
        <v>95.999999999999986</v>
      </c>
      <c r="AV7" s="1">
        <f t="shared" si="50"/>
        <v>95.999999999999986</v>
      </c>
      <c r="AW7" s="1">
        <f t="shared" si="50"/>
        <v>95.999999999999986</v>
      </c>
      <c r="AX7" s="1" t="b">
        <f t="shared" si="45"/>
        <v>1</v>
      </c>
      <c r="AY7" s="1" t="s">
        <v>17</v>
      </c>
      <c r="AZ7" s="1" t="str">
        <f t="shared" si="46"/>
        <v>C10</v>
      </c>
      <c r="BA7" s="1" t="str">
        <f t="shared" si="47"/>
        <v>C1010</v>
      </c>
      <c r="BB7" s="1">
        <v>21160</v>
      </c>
      <c r="BC7" s="1" t="s">
        <v>172</v>
      </c>
      <c r="BD7" s="1">
        <v>1.4322363448406747E-2</v>
      </c>
      <c r="BE7" s="1">
        <f t="shared" si="3"/>
        <v>1.4436942355994</v>
      </c>
      <c r="BF7" s="1">
        <f t="shared" si="4"/>
        <v>1.4436942355994</v>
      </c>
      <c r="BG7" s="1">
        <f t="shared" si="5"/>
        <v>1.4436942355994</v>
      </c>
      <c r="BH7" s="1">
        <f t="shared" si="6"/>
        <v>1.4436942355994</v>
      </c>
      <c r="BI7" s="1">
        <f t="shared" si="7"/>
        <v>1.4436942355994</v>
      </c>
      <c r="BJ7" s="1">
        <f t="shared" si="8"/>
        <v>1.4436942355994</v>
      </c>
      <c r="BK7" s="1">
        <f t="shared" si="9"/>
        <v>1.4436942355994</v>
      </c>
      <c r="BL7" s="1">
        <f t="shared" si="10"/>
        <v>1.4436942355994</v>
      </c>
      <c r="BM7" s="1">
        <f t="shared" si="11"/>
        <v>1.4436942355994</v>
      </c>
      <c r="BN7" s="1">
        <f t="shared" si="12"/>
        <v>1.4436942355994</v>
      </c>
      <c r="BO7" s="1">
        <f t="shared" si="13"/>
        <v>1.3749468910470475</v>
      </c>
      <c r="BP7" s="1">
        <f t="shared" si="14"/>
        <v>1.3749468910470475</v>
      </c>
      <c r="BQ7" s="1">
        <f t="shared" si="15"/>
        <v>1.3749468910470475</v>
      </c>
      <c r="BR7" s="1">
        <f t="shared" si="16"/>
        <v>1.3749468910470475</v>
      </c>
      <c r="BS7" s="1">
        <f t="shared" si="17"/>
        <v>1.3749468910470475</v>
      </c>
      <c r="BV7" s="1" t="s">
        <v>17</v>
      </c>
      <c r="BW7" s="1">
        <f>((AJ7-AI7)/BE$154)*$BD7</f>
        <v>0</v>
      </c>
      <c r="BX7" s="1">
        <f>((AK7-AJ7)/BF$154)*$BD7</f>
        <v>0</v>
      </c>
      <c r="BY7" s="1">
        <f>((AL7-AK7)/BG$154)*$BD7</f>
        <v>0</v>
      </c>
      <c r="BZ7" s="1">
        <f>((AM7-AL7)/BH$154)*$BD7</f>
        <v>0</v>
      </c>
      <c r="CA7" s="1">
        <f>((AN7-AM7)/BI$154)*$BD7</f>
        <v>0</v>
      </c>
      <c r="CB7" s="1">
        <f>((AO7-AN7)/BJ$154)*$BD7</f>
        <v>0</v>
      </c>
      <c r="CC7" s="1">
        <f>((AP7-AO7)/BK$154)*$BD7</f>
        <v>0</v>
      </c>
      <c r="CD7" s="1">
        <f>((AQ7-AP7)/BL$154)*$BD7</f>
        <v>0</v>
      </c>
      <c r="CE7" s="1">
        <f>((AR7-AQ7)/BM$154)*$BD7</f>
        <v>0</v>
      </c>
      <c r="CF7" s="1">
        <f>((AS7-AR7)/BN$154)*$BD7</f>
        <v>-6.8412511310532442E-4</v>
      </c>
      <c r="CG7" s="1">
        <f>((AT7-AS7)/BO$154)*$BD7</f>
        <v>0</v>
      </c>
      <c r="CH7" s="1">
        <f>((AU7-AT7)/BP$154)*$BD7</f>
        <v>0</v>
      </c>
      <c r="CI7" s="1">
        <f>((AV7-AU7)/BQ$154)*$BD7</f>
        <v>0</v>
      </c>
      <c r="CJ7" s="1">
        <f>((AW7-AV7)/BR$154)*$BD7</f>
        <v>0</v>
      </c>
    </row>
    <row r="8" spans="1:88" x14ac:dyDescent="0.35">
      <c r="A8" s="1" t="s">
        <v>18</v>
      </c>
      <c r="B8" s="1">
        <v>0.99232997451721783</v>
      </c>
      <c r="C8" s="1">
        <v>1</v>
      </c>
      <c r="D8" s="1">
        <v>0.9913623954851184</v>
      </c>
      <c r="E8" s="1">
        <v>1.0004211032545132</v>
      </c>
      <c r="F8" s="1">
        <v>1.0007057763558016</v>
      </c>
      <c r="G8" s="1">
        <v>0.99923966114817442</v>
      </c>
      <c r="H8" s="1">
        <v>0.99515850585996446</v>
      </c>
      <c r="I8" s="1">
        <v>0.99873538559435215</v>
      </c>
      <c r="J8" s="1">
        <v>1.007544362209144</v>
      </c>
      <c r="K8" s="1">
        <v>1.0020085558809286</v>
      </c>
      <c r="L8" s="1">
        <v>1.0010227084186407</v>
      </c>
      <c r="M8" s="1">
        <v>1</v>
      </c>
      <c r="N8" s="1">
        <v>0.99953685119015623</v>
      </c>
      <c r="O8" s="1">
        <v>1.0120170128854999</v>
      </c>
      <c r="P8" s="1">
        <v>1</v>
      </c>
      <c r="Q8" s="1">
        <v>0.99857426068898381</v>
      </c>
      <c r="S8" s="1">
        <f t="shared" si="0"/>
        <v>100</v>
      </c>
      <c r="T8" s="1">
        <f t="shared" si="18"/>
        <v>99.136239548511838</v>
      </c>
      <c r="U8" s="1">
        <f t="shared" si="19"/>
        <v>99.177986141625908</v>
      </c>
      <c r="V8" s="1">
        <f t="shared" si="20"/>
        <v>99.24798361926068</v>
      </c>
      <c r="W8" s="1">
        <f t="shared" si="21"/>
        <v>99.172521521349609</v>
      </c>
      <c r="X8" s="1">
        <f t="shared" si="22"/>
        <v>98.692378339551439</v>
      </c>
      <c r="Y8" s="1">
        <f t="shared" si="23"/>
        <v>98.567570536175594</v>
      </c>
      <c r="Z8" s="1">
        <f t="shared" si="24"/>
        <v>99.311199990375854</v>
      </c>
      <c r="AA8" s="1">
        <f t="shared" si="25"/>
        <v>99.510672085158603</v>
      </c>
      <c r="AB8" s="1">
        <f t="shared" si="26"/>
        <v>99.612442487244692</v>
      </c>
      <c r="AC8" s="1">
        <f t="shared" si="27"/>
        <v>99.612442487244692</v>
      </c>
      <c r="AD8" s="1">
        <f t="shared" si="28"/>
        <v>99.566307103061092</v>
      </c>
      <c r="AE8" s="1">
        <f t="shared" si="29"/>
        <v>99.300645321629986</v>
      </c>
      <c r="AF8" s="1">
        <f t="shared" si="30"/>
        <v>1.0070428009415733</v>
      </c>
      <c r="AH8" s="1" t="str">
        <f t="shared" si="31"/>
        <v>C1010.21174</v>
      </c>
      <c r="AI8" s="1">
        <f t="shared" si="32"/>
        <v>100.70428009415733</v>
      </c>
      <c r="AJ8" s="1">
        <f t="shared" si="33"/>
        <v>99.834436349748131</v>
      </c>
      <c r="AK8" s="1">
        <f t="shared" si="34"/>
        <v>99.87647695580749</v>
      </c>
      <c r="AL8" s="1">
        <f t="shared" si="35"/>
        <v>99.946967411743657</v>
      </c>
      <c r="AM8" s="1">
        <f t="shared" si="36"/>
        <v>99.870973849298366</v>
      </c>
      <c r="AN8" s="1">
        <f t="shared" si="37"/>
        <v>99.387449114647339</v>
      </c>
      <c r="AO8" s="1">
        <f t="shared" si="38"/>
        <v>99.261762314756368</v>
      </c>
      <c r="AP8" s="1">
        <f t="shared" si="39"/>
        <v>100.01062900317685</v>
      </c>
      <c r="AQ8" s="1">
        <f t="shared" si="40"/>
        <v>100.21150594021655</v>
      </c>
      <c r="AR8" s="1">
        <f t="shared" si="41"/>
        <v>100.31399309098627</v>
      </c>
      <c r="AS8" s="1">
        <f t="shared" si="42"/>
        <v>100.31399309098627</v>
      </c>
      <c r="AT8" s="1">
        <f t="shared" si="43"/>
        <v>100.26753278447551</v>
      </c>
      <c r="AU8" s="1">
        <f t="shared" ref="AU8:AW8" si="51">AT8*O8</f>
        <v>101.47244901794383</v>
      </c>
      <c r="AV8" s="1">
        <f t="shared" si="51"/>
        <v>101.47244901794383</v>
      </c>
      <c r="AW8" s="1">
        <f t="shared" si="51"/>
        <v>101.32777575839386</v>
      </c>
      <c r="AX8" s="1" t="b">
        <f t="shared" si="45"/>
        <v>1</v>
      </c>
      <c r="AY8" s="1" t="s">
        <v>18</v>
      </c>
      <c r="AZ8" s="1" t="str">
        <f t="shared" si="46"/>
        <v>C10</v>
      </c>
      <c r="BA8" s="1" t="str">
        <f t="shared" si="47"/>
        <v>C1010</v>
      </c>
      <c r="BB8" s="1" t="s">
        <v>173</v>
      </c>
      <c r="BC8" s="1" t="s">
        <v>174</v>
      </c>
      <c r="BD8" s="1">
        <v>1.1751897427462148E-2</v>
      </c>
      <c r="BE8" s="1">
        <f t="shared" si="3"/>
        <v>1.1834663701729551</v>
      </c>
      <c r="BF8" s="1">
        <f t="shared" si="4"/>
        <v>1.1732440557107386</v>
      </c>
      <c r="BG8" s="1">
        <f t="shared" si="5"/>
        <v>1.1737381126009365</v>
      </c>
      <c r="BH8" s="1">
        <f t="shared" si="6"/>
        <v>1.1745665092087134</v>
      </c>
      <c r="BI8" s="1">
        <f t="shared" si="7"/>
        <v>1.173673440657709</v>
      </c>
      <c r="BJ8" s="1">
        <f t="shared" si="8"/>
        <v>1.1679911075724492</v>
      </c>
      <c r="BK8" s="1">
        <f t="shared" si="9"/>
        <v>1.1665140491921446</v>
      </c>
      <c r="BL8" s="1">
        <f t="shared" si="10"/>
        <v>1.1753146537013053</v>
      </c>
      <c r="BM8" s="1">
        <f t="shared" si="11"/>
        <v>1.1776753388609387</v>
      </c>
      <c r="BN8" s="1">
        <f t="shared" si="12"/>
        <v>1.1788797573444172</v>
      </c>
      <c r="BO8" s="1">
        <f t="shared" si="13"/>
        <v>1.1788797573444172</v>
      </c>
      <c r="BP8" s="1">
        <f t="shared" si="14"/>
        <v>1.1783337605878543</v>
      </c>
      <c r="BQ8" s="1">
        <f t="shared" si="15"/>
        <v>1.1924938125722582</v>
      </c>
      <c r="BR8" s="1">
        <f t="shared" si="16"/>
        <v>1.1924938125722582</v>
      </c>
      <c r="BS8" s="1">
        <f t="shared" si="17"/>
        <v>1.1907936272655302</v>
      </c>
      <c r="BV8" s="1" t="s">
        <v>18</v>
      </c>
      <c r="BW8" s="1">
        <f>((AJ8-AI8)/BE$154)*$BD8</f>
        <v>-1.0268771027378051E-4</v>
      </c>
      <c r="BX8" s="1">
        <f>((AK8-AJ8)/BF$154)*$BD8</f>
        <v>4.9657371645588116E-6</v>
      </c>
      <c r="BY8" s="1">
        <f>((AL8-AK8)/BG$154)*$BD8</f>
        <v>8.329959278536474E-6</v>
      </c>
      <c r="BZ8" s="1">
        <f>((AM8-AL8)/BH$154)*$BD8</f>
        <v>-8.9600639193087046E-6</v>
      </c>
      <c r="CA8" s="1">
        <f>((AN8-AM8)/BI$154)*$BD8</f>
        <v>-5.694907671091434E-5</v>
      </c>
      <c r="CB8" s="1">
        <f>((AO8-AN8)/BJ$154)*$BD8</f>
        <v>-1.4795432930404755E-5</v>
      </c>
      <c r="CC8" s="1">
        <f>((AP8-AO8)/BK$154)*$BD8</f>
        <v>8.8128785081478174E-5</v>
      </c>
      <c r="CD8" s="1">
        <f>((AQ8-AP8)/BL$154)*$BD8</f>
        <v>2.3605409064211715E-5</v>
      </c>
      <c r="CE8" s="1">
        <f>((AR8-AQ8)/BM$154)*$BD8</f>
        <v>1.1995457627207577E-5</v>
      </c>
      <c r="CF8" s="1">
        <f>((AS8-AR8)/BN$154)*$BD8</f>
        <v>0</v>
      </c>
      <c r="CG8" s="1">
        <f>((AT8-AS8)/BO$154)*$BD8</f>
        <v>-5.4209377185248266E-6</v>
      </c>
      <c r="CH8" s="1">
        <f>((AU8-AT8)/BP$154)*$BD8</f>
        <v>1.4055262103925253E-4</v>
      </c>
      <c r="CI8" s="1">
        <f>((AV8-AU8)/BQ$154)*$BD8</f>
        <v>0</v>
      </c>
      <c r="CJ8" s="1">
        <f>((AW8-AV8)/BR$154)*$BD8</f>
        <v>-1.6787357475402243E-5</v>
      </c>
    </row>
    <row r="9" spans="1:88" x14ac:dyDescent="0.35">
      <c r="A9" s="1" t="s">
        <v>19</v>
      </c>
      <c r="B9" s="1">
        <v>0.99763033175355453</v>
      </c>
      <c r="C9" s="1">
        <v>1</v>
      </c>
      <c r="D9" s="1">
        <v>1</v>
      </c>
      <c r="E9" s="1">
        <v>1</v>
      </c>
      <c r="F9" s="1">
        <v>0.99762470308788609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S9" s="1">
        <f t="shared" si="0"/>
        <v>100</v>
      </c>
      <c r="T9" s="1">
        <f t="shared" si="18"/>
        <v>100</v>
      </c>
      <c r="U9" s="1">
        <f t="shared" si="19"/>
        <v>100</v>
      </c>
      <c r="V9" s="1">
        <f t="shared" si="20"/>
        <v>99.762470308788608</v>
      </c>
      <c r="W9" s="1">
        <f t="shared" si="21"/>
        <v>99.762470308788608</v>
      </c>
      <c r="X9" s="1">
        <f t="shared" si="22"/>
        <v>99.762470308788608</v>
      </c>
      <c r="Y9" s="1">
        <f t="shared" si="23"/>
        <v>99.762470308788608</v>
      </c>
      <c r="Z9" s="1">
        <f t="shared" si="24"/>
        <v>99.762470308788608</v>
      </c>
      <c r="AA9" s="1">
        <f t="shared" si="25"/>
        <v>99.762470308788608</v>
      </c>
      <c r="AB9" s="1">
        <f t="shared" si="26"/>
        <v>99.762470308788608</v>
      </c>
      <c r="AC9" s="1">
        <f t="shared" si="27"/>
        <v>99.762470308788608</v>
      </c>
      <c r="AD9" s="1">
        <f t="shared" si="28"/>
        <v>99.762470308788608</v>
      </c>
      <c r="AE9" s="1">
        <f t="shared" si="29"/>
        <v>99.821852731591434</v>
      </c>
      <c r="AF9" s="1">
        <f t="shared" si="30"/>
        <v>1.0017846519928615</v>
      </c>
      <c r="AH9" s="1" t="str">
        <f t="shared" si="31"/>
        <v>C1030.21311</v>
      </c>
      <c r="AI9" s="1">
        <f t="shared" si="32"/>
        <v>100.17846519928615</v>
      </c>
      <c r="AJ9" s="1">
        <f t="shared" si="33"/>
        <v>100.17846519928615</v>
      </c>
      <c r="AK9" s="1">
        <f t="shared" si="34"/>
        <v>100.17846519928615</v>
      </c>
      <c r="AL9" s="1">
        <f t="shared" si="35"/>
        <v>99.940511600237969</v>
      </c>
      <c r="AM9" s="1">
        <f t="shared" si="36"/>
        <v>99.940511600237969</v>
      </c>
      <c r="AN9" s="1">
        <f t="shared" si="37"/>
        <v>99.940511600237969</v>
      </c>
      <c r="AO9" s="1">
        <f t="shared" si="38"/>
        <v>99.940511600237969</v>
      </c>
      <c r="AP9" s="1">
        <f t="shared" si="39"/>
        <v>99.940511600237969</v>
      </c>
      <c r="AQ9" s="1">
        <f t="shared" si="40"/>
        <v>99.940511600237969</v>
      </c>
      <c r="AR9" s="1">
        <f t="shared" si="41"/>
        <v>99.940511600237969</v>
      </c>
      <c r="AS9" s="1">
        <f t="shared" si="42"/>
        <v>99.940511600237969</v>
      </c>
      <c r="AT9" s="1">
        <f t="shared" si="43"/>
        <v>99.940511600237969</v>
      </c>
      <c r="AU9" s="1">
        <f t="shared" ref="AU9:AW9" si="52">AT9*O9</f>
        <v>99.940511600237969</v>
      </c>
      <c r="AV9" s="1">
        <f t="shared" si="52"/>
        <v>99.940511600237969</v>
      </c>
      <c r="AW9" s="1">
        <f t="shared" si="52"/>
        <v>99.940511600237969</v>
      </c>
      <c r="AX9" s="1" t="b">
        <f t="shared" si="45"/>
        <v>1</v>
      </c>
      <c r="AY9" s="1" t="s">
        <v>19</v>
      </c>
      <c r="AZ9" s="1" t="str">
        <f t="shared" si="46"/>
        <v>C10</v>
      </c>
      <c r="BA9" s="1" t="str">
        <f t="shared" si="47"/>
        <v>C1030</v>
      </c>
      <c r="BB9" s="1">
        <v>21311</v>
      </c>
      <c r="BC9" s="1" t="s">
        <v>181</v>
      </c>
      <c r="BD9" s="1">
        <v>1.5066209623349203E-3</v>
      </c>
      <c r="BE9" s="1">
        <f t="shared" si="3"/>
        <v>0.15093097564378383</v>
      </c>
      <c r="BF9" s="1">
        <f t="shared" si="4"/>
        <v>0.15093097564378383</v>
      </c>
      <c r="BG9" s="1">
        <f t="shared" si="5"/>
        <v>0.15093097564378383</v>
      </c>
      <c r="BH9" s="1">
        <f t="shared" si="6"/>
        <v>0.15057246976339478</v>
      </c>
      <c r="BI9" s="1">
        <f t="shared" si="7"/>
        <v>0.15057246976339478</v>
      </c>
      <c r="BJ9" s="1">
        <f t="shared" si="8"/>
        <v>0.15057246976339478</v>
      </c>
      <c r="BK9" s="1">
        <f t="shared" si="9"/>
        <v>0.15057246976339478</v>
      </c>
      <c r="BL9" s="1">
        <f t="shared" si="10"/>
        <v>0.15057246976339478</v>
      </c>
      <c r="BM9" s="1">
        <f t="shared" si="11"/>
        <v>0.15057246976339478</v>
      </c>
      <c r="BN9" s="1">
        <f t="shared" si="12"/>
        <v>0.15057246976339478</v>
      </c>
      <c r="BO9" s="1">
        <f t="shared" si="13"/>
        <v>0.15057246976339478</v>
      </c>
      <c r="BP9" s="1">
        <f t="shared" si="14"/>
        <v>0.15057246976339478</v>
      </c>
      <c r="BQ9" s="1">
        <f t="shared" si="15"/>
        <v>0.15057246976339478</v>
      </c>
      <c r="BR9" s="1">
        <f t="shared" si="16"/>
        <v>0.15057246976339478</v>
      </c>
      <c r="BS9" s="1">
        <f t="shared" si="17"/>
        <v>0.15057246976339478</v>
      </c>
      <c r="BV9" s="1" t="s">
        <v>19</v>
      </c>
      <c r="BW9" s="1">
        <f>((AJ9-AI9)/BE$154)*$BD9</f>
        <v>0</v>
      </c>
      <c r="BX9" s="1">
        <f>((AK9-AJ9)/BF$154)*$BD9</f>
        <v>0</v>
      </c>
      <c r="BY9" s="1">
        <f>((AL9-AK9)/BG$154)*$BD9</f>
        <v>-3.6049633191651979E-6</v>
      </c>
      <c r="BZ9" s="1">
        <f>((AM9-AL9)/BH$154)*$BD9</f>
        <v>0</v>
      </c>
      <c r="CA9" s="1">
        <f>((AN9-AM9)/BI$154)*$BD9</f>
        <v>0</v>
      </c>
      <c r="CB9" s="1">
        <f>((AO9-AN9)/BJ$154)*$BD9</f>
        <v>0</v>
      </c>
      <c r="CC9" s="1">
        <f>((AP9-AO9)/BK$154)*$BD9</f>
        <v>0</v>
      </c>
      <c r="CD9" s="1">
        <f>((AQ9-AP9)/BL$154)*$BD9</f>
        <v>0</v>
      </c>
      <c r="CE9" s="1">
        <f>((AR9-AQ9)/BM$154)*$BD9</f>
        <v>0</v>
      </c>
      <c r="CF9" s="1">
        <f>((AS9-AR9)/BN$154)*$BD9</f>
        <v>0</v>
      </c>
      <c r="CG9" s="1">
        <f>((AT9-AS9)/BO$154)*$BD9</f>
        <v>0</v>
      </c>
      <c r="CH9" s="1">
        <f>((AU9-AT9)/BP$154)*$BD9</f>
        <v>0</v>
      </c>
      <c r="CI9" s="1">
        <f>((AV9-AU9)/BQ$154)*$BD9</f>
        <v>0</v>
      </c>
      <c r="CJ9" s="1">
        <f>((AW9-AV9)/BR$154)*$BD9</f>
        <v>0</v>
      </c>
    </row>
    <row r="10" spans="1:88" x14ac:dyDescent="0.35">
      <c r="A10" s="1" t="s">
        <v>20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1.0046737721671521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S10" s="1">
        <f t="shared" si="0"/>
        <v>100</v>
      </c>
      <c r="T10" s="1">
        <f t="shared" si="18"/>
        <v>100</v>
      </c>
      <c r="U10" s="1">
        <f t="shared" si="19"/>
        <v>100</v>
      </c>
      <c r="V10" s="1">
        <f t="shared" si="20"/>
        <v>100</v>
      </c>
      <c r="W10" s="1">
        <f t="shared" si="21"/>
        <v>100</v>
      </c>
      <c r="X10" s="1">
        <f t="shared" si="22"/>
        <v>100</v>
      </c>
      <c r="Y10" s="1">
        <f t="shared" si="23"/>
        <v>100</v>
      </c>
      <c r="Z10" s="1">
        <f t="shared" si="24"/>
        <v>100.46737721671522</v>
      </c>
      <c r="AA10" s="1">
        <f t="shared" si="25"/>
        <v>100.46737721671522</v>
      </c>
      <c r="AB10" s="1">
        <f t="shared" si="26"/>
        <v>100.46737721671522</v>
      </c>
      <c r="AC10" s="1">
        <f t="shared" si="27"/>
        <v>100.46737721671522</v>
      </c>
      <c r="AD10" s="1">
        <f t="shared" si="28"/>
        <v>100.46737721671522</v>
      </c>
      <c r="AE10" s="1">
        <f t="shared" si="29"/>
        <v>100.19474050696469</v>
      </c>
      <c r="AF10" s="1">
        <f t="shared" si="30"/>
        <v>0.99805637994589991</v>
      </c>
      <c r="AH10" s="1" t="str">
        <f t="shared" si="31"/>
        <v>C1030.21395</v>
      </c>
      <c r="AI10" s="1">
        <f t="shared" si="32"/>
        <v>99.805637994589986</v>
      </c>
      <c r="AJ10" s="1">
        <f t="shared" si="33"/>
        <v>99.805637994589986</v>
      </c>
      <c r="AK10" s="1">
        <f t="shared" si="34"/>
        <v>99.805637994589986</v>
      </c>
      <c r="AL10" s="1">
        <f t="shared" si="35"/>
        <v>99.805637994589986</v>
      </c>
      <c r="AM10" s="1">
        <f t="shared" si="36"/>
        <v>99.805637994589986</v>
      </c>
      <c r="AN10" s="1">
        <f t="shared" si="37"/>
        <v>99.805637994589986</v>
      </c>
      <c r="AO10" s="1">
        <f t="shared" si="38"/>
        <v>99.805637994589986</v>
      </c>
      <c r="AP10" s="1">
        <f t="shared" si="39"/>
        <v>100.27210680757398</v>
      </c>
      <c r="AQ10" s="1">
        <f t="shared" si="40"/>
        <v>100.27210680757398</v>
      </c>
      <c r="AR10" s="1">
        <f t="shared" si="41"/>
        <v>100.27210680757398</v>
      </c>
      <c r="AS10" s="1">
        <f t="shared" si="42"/>
        <v>100.27210680757398</v>
      </c>
      <c r="AT10" s="1">
        <f t="shared" si="43"/>
        <v>100.27210680757398</v>
      </c>
      <c r="AU10" s="1">
        <f t="shared" ref="AU10:AW10" si="53">AT10*O10</f>
        <v>100.27210680757398</v>
      </c>
      <c r="AV10" s="1">
        <f t="shared" si="53"/>
        <v>100.27210680757398</v>
      </c>
      <c r="AW10" s="1">
        <f t="shared" si="53"/>
        <v>100.27210680757398</v>
      </c>
      <c r="AX10" s="1" t="b">
        <f t="shared" si="45"/>
        <v>1</v>
      </c>
      <c r="AY10" s="1" t="s">
        <v>20</v>
      </c>
      <c r="AZ10" s="1" t="str">
        <f t="shared" si="46"/>
        <v>C10</v>
      </c>
      <c r="BA10" s="1" t="str">
        <f t="shared" si="47"/>
        <v>C1030</v>
      </c>
      <c r="BB10" s="1">
        <v>21395</v>
      </c>
      <c r="BC10" s="1" t="s">
        <v>182</v>
      </c>
      <c r="BD10" s="1">
        <v>1.5066209623349203E-3</v>
      </c>
      <c r="BE10" s="1">
        <f t="shared" si="3"/>
        <v>0.15036926636185985</v>
      </c>
      <c r="BF10" s="1">
        <f t="shared" si="4"/>
        <v>0.15036926636185985</v>
      </c>
      <c r="BG10" s="1">
        <f t="shared" si="5"/>
        <v>0.15036926636185985</v>
      </c>
      <c r="BH10" s="1">
        <f t="shared" si="6"/>
        <v>0.15036926636185985</v>
      </c>
      <c r="BI10" s="1">
        <f t="shared" si="7"/>
        <v>0.15036926636185985</v>
      </c>
      <c r="BJ10" s="1">
        <f t="shared" si="8"/>
        <v>0.15036926636185985</v>
      </c>
      <c r="BK10" s="1">
        <f t="shared" si="9"/>
        <v>0.15036926636185985</v>
      </c>
      <c r="BL10" s="1">
        <f t="shared" si="10"/>
        <v>0.15107205805377702</v>
      </c>
      <c r="BM10" s="1">
        <f t="shared" si="11"/>
        <v>0.15107205805377702</v>
      </c>
      <c r="BN10" s="1">
        <f t="shared" si="12"/>
        <v>0.15107205805377702</v>
      </c>
      <c r="BO10" s="1">
        <f t="shared" si="13"/>
        <v>0.15107205805377702</v>
      </c>
      <c r="BP10" s="1">
        <f t="shared" si="14"/>
        <v>0.15107205805377702</v>
      </c>
      <c r="BQ10" s="1">
        <f t="shared" si="15"/>
        <v>0.15107205805377702</v>
      </c>
      <c r="BR10" s="1">
        <f t="shared" si="16"/>
        <v>0.15107205805377702</v>
      </c>
      <c r="BS10" s="1">
        <f t="shared" si="17"/>
        <v>0.15107205805377702</v>
      </c>
      <c r="BV10" s="1" t="s">
        <v>20</v>
      </c>
      <c r="BW10" s="1">
        <f>((AJ10-AI10)/BE$154)*$BD10</f>
        <v>0</v>
      </c>
      <c r="BX10" s="1">
        <f>((AK10-AJ10)/BF$154)*$BD10</f>
        <v>0</v>
      </c>
      <c r="BY10" s="1">
        <f>((AL10-AK10)/BG$154)*$BD10</f>
        <v>0</v>
      </c>
      <c r="BZ10" s="1">
        <f>((AM10-AL10)/BH$154)*$BD10</f>
        <v>0</v>
      </c>
      <c r="CA10" s="1">
        <f>((AN10-AM10)/BI$154)*$BD10</f>
        <v>0</v>
      </c>
      <c r="CB10" s="1">
        <f>((AO10-AN10)/BJ$154)*$BD10</f>
        <v>0</v>
      </c>
      <c r="CC10" s="1">
        <f>((AP10-AO10)/BK$154)*$BD10</f>
        <v>7.0377185918928614E-6</v>
      </c>
      <c r="CD10" s="1">
        <f>((AQ10-AP10)/BL$154)*$BD10</f>
        <v>0</v>
      </c>
      <c r="CE10" s="1">
        <f>((AR10-AQ10)/BM$154)*$BD10</f>
        <v>0</v>
      </c>
      <c r="CF10" s="1">
        <f>((AS10-AR10)/BN$154)*$BD10</f>
        <v>0</v>
      </c>
      <c r="CG10" s="1">
        <f>((AT10-AS10)/BO$154)*$BD10</f>
        <v>0</v>
      </c>
      <c r="CH10" s="1">
        <f>((AU10-AT10)/BP$154)*$BD10</f>
        <v>0</v>
      </c>
      <c r="CI10" s="1">
        <f>((AV10-AU10)/BQ$154)*$BD10</f>
        <v>0</v>
      </c>
      <c r="CJ10" s="1">
        <f>((AW10-AV10)/BR$154)*$BD10</f>
        <v>0</v>
      </c>
    </row>
    <row r="11" spans="1:88" x14ac:dyDescent="0.35">
      <c r="A11" s="1" t="s">
        <v>21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1.00816477363596</v>
      </c>
      <c r="L11" s="1">
        <v>1</v>
      </c>
      <c r="M11" s="1">
        <v>1</v>
      </c>
      <c r="N11" s="1">
        <v>1</v>
      </c>
      <c r="O11" s="1">
        <v>0.99997773162074299</v>
      </c>
      <c r="P11" s="1">
        <v>1</v>
      </c>
      <c r="Q11" s="1">
        <v>1</v>
      </c>
      <c r="S11" s="1">
        <f t="shared" si="0"/>
        <v>100</v>
      </c>
      <c r="T11" s="1">
        <f t="shared" si="18"/>
        <v>100</v>
      </c>
      <c r="U11" s="1">
        <f t="shared" si="19"/>
        <v>100</v>
      </c>
      <c r="V11" s="1">
        <f t="shared" si="20"/>
        <v>100</v>
      </c>
      <c r="W11" s="1">
        <f t="shared" si="21"/>
        <v>100</v>
      </c>
      <c r="X11" s="1">
        <f t="shared" si="22"/>
        <v>100</v>
      </c>
      <c r="Y11" s="1">
        <f t="shared" si="23"/>
        <v>100</v>
      </c>
      <c r="Z11" s="1">
        <f t="shared" si="24"/>
        <v>100</v>
      </c>
      <c r="AA11" s="1">
        <f t="shared" si="25"/>
        <v>100.81647736359601</v>
      </c>
      <c r="AB11" s="1">
        <f t="shared" si="26"/>
        <v>100.81647736359601</v>
      </c>
      <c r="AC11" s="1">
        <f t="shared" si="27"/>
        <v>100.81647736359601</v>
      </c>
      <c r="AD11" s="1">
        <f t="shared" si="28"/>
        <v>100.81647736359601</v>
      </c>
      <c r="AE11" s="1">
        <f t="shared" si="29"/>
        <v>100.27215912119868</v>
      </c>
      <c r="AF11" s="1">
        <f t="shared" si="30"/>
        <v>0.99728579574246801</v>
      </c>
      <c r="AH11" s="1" t="str">
        <f t="shared" si="31"/>
        <v>C1030.21399</v>
      </c>
      <c r="AI11" s="1">
        <f t="shared" si="32"/>
        <v>99.728579574246794</v>
      </c>
      <c r="AJ11" s="1">
        <f t="shared" si="33"/>
        <v>99.728579574246794</v>
      </c>
      <c r="AK11" s="1">
        <f t="shared" si="34"/>
        <v>99.728579574246794</v>
      </c>
      <c r="AL11" s="1">
        <f t="shared" si="35"/>
        <v>99.728579574246794</v>
      </c>
      <c r="AM11" s="1">
        <f t="shared" si="36"/>
        <v>99.728579574246794</v>
      </c>
      <c r="AN11" s="1">
        <f t="shared" si="37"/>
        <v>99.728579574246794</v>
      </c>
      <c r="AO11" s="1">
        <f t="shared" si="38"/>
        <v>99.728579574246794</v>
      </c>
      <c r="AP11" s="1">
        <f t="shared" si="39"/>
        <v>99.728579574246794</v>
      </c>
      <c r="AQ11" s="1">
        <f t="shared" si="40"/>
        <v>100.54284085150636</v>
      </c>
      <c r="AR11" s="1">
        <f t="shared" si="41"/>
        <v>100.54284085150636</v>
      </c>
      <c r="AS11" s="1">
        <f t="shared" si="42"/>
        <v>100.54284085150636</v>
      </c>
      <c r="AT11" s="1">
        <f t="shared" si="43"/>
        <v>100.54284085150636</v>
      </c>
      <c r="AU11" s="1">
        <f t="shared" ref="AU11:AW11" si="54">AT11*O11</f>
        <v>100.5406019253947</v>
      </c>
      <c r="AV11" s="1">
        <f t="shared" si="54"/>
        <v>100.5406019253947</v>
      </c>
      <c r="AW11" s="1">
        <f t="shared" si="54"/>
        <v>100.5406019253947</v>
      </c>
      <c r="AX11" s="1" t="b">
        <f t="shared" si="45"/>
        <v>1</v>
      </c>
      <c r="AY11" s="1" t="s">
        <v>21</v>
      </c>
      <c r="AZ11" s="1" t="str">
        <f t="shared" si="46"/>
        <v>C10</v>
      </c>
      <c r="BA11" s="1" t="str">
        <f t="shared" si="47"/>
        <v>C1030</v>
      </c>
      <c r="BB11" s="1">
        <v>21399</v>
      </c>
      <c r="BC11" s="1" t="s">
        <v>183</v>
      </c>
      <c r="BD11" s="1">
        <v>1.5066209623349203E-3</v>
      </c>
      <c r="BE11" s="1">
        <f t="shared" si="3"/>
        <v>0.15025316853044637</v>
      </c>
      <c r="BF11" s="1">
        <f t="shared" si="4"/>
        <v>0.15025316853044637</v>
      </c>
      <c r="BG11" s="1">
        <f t="shared" si="5"/>
        <v>0.15025316853044637</v>
      </c>
      <c r="BH11" s="1">
        <f t="shared" si="6"/>
        <v>0.15025316853044637</v>
      </c>
      <c r="BI11" s="1">
        <f t="shared" si="7"/>
        <v>0.15025316853044637</v>
      </c>
      <c r="BJ11" s="1">
        <f t="shared" si="8"/>
        <v>0.15025316853044637</v>
      </c>
      <c r="BK11" s="1">
        <f t="shared" si="9"/>
        <v>0.15025316853044637</v>
      </c>
      <c r="BL11" s="1">
        <f t="shared" si="10"/>
        <v>0.15025316853044637</v>
      </c>
      <c r="BM11" s="1">
        <f t="shared" si="11"/>
        <v>0.15147995163958325</v>
      </c>
      <c r="BN11" s="1">
        <f t="shared" si="12"/>
        <v>0.15147995163958325</v>
      </c>
      <c r="BO11" s="1">
        <f t="shared" si="13"/>
        <v>0.15147995163958325</v>
      </c>
      <c r="BP11" s="1">
        <f t="shared" si="14"/>
        <v>0.15147995163958325</v>
      </c>
      <c r="BQ11" s="1">
        <f t="shared" si="15"/>
        <v>0.15147657842657031</v>
      </c>
      <c r="BR11" s="1">
        <f t="shared" si="16"/>
        <v>0.15147657842657031</v>
      </c>
      <c r="BS11" s="1">
        <f t="shared" si="17"/>
        <v>0.15147657842657031</v>
      </c>
      <c r="BV11" s="1" t="s">
        <v>21</v>
      </c>
      <c r="BW11" s="1">
        <f>((AJ11-AI11)/BE$154)*$BD11</f>
        <v>0</v>
      </c>
      <c r="BX11" s="1">
        <f>((AK11-AJ11)/BF$154)*$BD11</f>
        <v>0</v>
      </c>
      <c r="BY11" s="1">
        <f>((AL11-AK11)/BG$154)*$BD11</f>
        <v>0</v>
      </c>
      <c r="BZ11" s="1">
        <f>((AM11-AL11)/BH$154)*$BD11</f>
        <v>0</v>
      </c>
      <c r="CA11" s="1">
        <f>((AN11-AM11)/BI$154)*$BD11</f>
        <v>0</v>
      </c>
      <c r="CB11" s="1">
        <f>((AO11-AN11)/BJ$154)*$BD11</f>
        <v>0</v>
      </c>
      <c r="CC11" s="1">
        <f>((AP11-AO11)/BK$154)*$BD11</f>
        <v>0</v>
      </c>
      <c r="CD11" s="1">
        <f>((AQ11-AP11)/BL$154)*$BD11</f>
        <v>1.2267081447124367E-5</v>
      </c>
      <c r="CE11" s="1">
        <f>((AR11-AQ11)/BM$154)*$BD11</f>
        <v>0</v>
      </c>
      <c r="CF11" s="1">
        <f>((AS11-AR11)/BN$154)*$BD11</f>
        <v>0</v>
      </c>
      <c r="CG11" s="1">
        <f>((AT11-AS11)/BO$154)*$BD11</f>
        <v>0</v>
      </c>
      <c r="CH11" s="1">
        <f>((AU11-AT11)/BP$154)*$BD11</f>
        <v>-3.3482499274380208E-8</v>
      </c>
      <c r="CI11" s="1">
        <f>((AV11-AU11)/BQ$154)*$BD11</f>
        <v>0</v>
      </c>
      <c r="CJ11" s="1">
        <f>((AW11-AV11)/BR$154)*$BD11</f>
        <v>0</v>
      </c>
    </row>
    <row r="12" spans="1:88" x14ac:dyDescent="0.35">
      <c r="A12" s="1" t="s">
        <v>22</v>
      </c>
      <c r="B12" s="1">
        <v>1.0097572322592261</v>
      </c>
      <c r="C12" s="1">
        <v>1</v>
      </c>
      <c r="D12" s="1">
        <v>1.0096426457171681</v>
      </c>
      <c r="E12" s="1">
        <v>0.98900368071013434</v>
      </c>
      <c r="F12" s="1">
        <v>0.99455557198938283</v>
      </c>
      <c r="G12" s="1">
        <v>1.021637097568717</v>
      </c>
      <c r="H12" s="1">
        <v>0.96448495838602255</v>
      </c>
      <c r="I12" s="1">
        <v>1.04370426008266</v>
      </c>
      <c r="J12" s="1">
        <v>1.0117831559324759</v>
      </c>
      <c r="K12" s="1">
        <v>0.96660743562971119</v>
      </c>
      <c r="L12" s="1">
        <v>1.0337121579344479</v>
      </c>
      <c r="M12" s="1">
        <v>0.9253032009181924</v>
      </c>
      <c r="N12" s="1">
        <v>0.97546762506211104</v>
      </c>
      <c r="O12" s="1">
        <v>1</v>
      </c>
      <c r="P12" s="1">
        <v>1.0016083196914629</v>
      </c>
      <c r="Q12" s="1">
        <v>0.99014235895595115</v>
      </c>
      <c r="S12" s="1">
        <f t="shared" si="0"/>
        <v>100</v>
      </c>
      <c r="T12" s="1">
        <f t="shared" si="18"/>
        <v>100.96426457171681</v>
      </c>
      <c r="U12" s="1">
        <f t="shared" si="19"/>
        <v>99.854029281619745</v>
      </c>
      <c r="V12" s="1">
        <f t="shared" si="20"/>
        <v>99.310381207625909</v>
      </c>
      <c r="W12" s="1">
        <f t="shared" si="21"/>
        <v>101.45916961540179</v>
      </c>
      <c r="X12" s="1">
        <f t="shared" si="22"/>
        <v>97.855842984391202</v>
      </c>
      <c r="Y12" s="1">
        <f t="shared" si="23"/>
        <v>102.13256019678897</v>
      </c>
      <c r="Z12" s="1">
        <f t="shared" si="24"/>
        <v>103.33600407937072</v>
      </c>
      <c r="AA12" s="1">
        <f t="shared" si="25"/>
        <v>99.885349911381908</v>
      </c>
      <c r="AB12" s="1">
        <f t="shared" si="26"/>
        <v>103.25270060293201</v>
      </c>
      <c r="AC12" s="1">
        <f t="shared" si="27"/>
        <v>95.540054371340759</v>
      </c>
      <c r="AD12" s="1">
        <f t="shared" si="28"/>
        <v>93.196229935916733</v>
      </c>
      <c r="AE12" s="1">
        <f t="shared" si="29"/>
        <v>99.73221556320722</v>
      </c>
      <c r="AF12" s="1">
        <f t="shared" si="30"/>
        <v>1.0026850344723672</v>
      </c>
      <c r="AH12" s="1" t="str">
        <f t="shared" si="31"/>
        <v>C1030.21431</v>
      </c>
      <c r="AI12" s="1">
        <f t="shared" si="32"/>
        <v>100.26850344723672</v>
      </c>
      <c r="AJ12" s="1">
        <f t="shared" si="33"/>
        <v>101.23535710256908</v>
      </c>
      <c r="AK12" s="1">
        <f t="shared" si="34"/>
        <v>100.12214079244566</v>
      </c>
      <c r="AL12" s="1">
        <f t="shared" si="35"/>
        <v>99.577033004632312</v>
      </c>
      <c r="AM12" s="1">
        <f t="shared" si="36"/>
        <v>101.7315909833569</v>
      </c>
      <c r="AN12" s="1">
        <f t="shared" si="37"/>
        <v>98.118589296126842</v>
      </c>
      <c r="AO12" s="1">
        <f t="shared" si="38"/>
        <v>102.40678964166847</v>
      </c>
      <c r="AP12" s="1">
        <f t="shared" si="39"/>
        <v>103.61346481256052</v>
      </c>
      <c r="AQ12" s="1">
        <f t="shared" si="40"/>
        <v>100.15354551917844</v>
      </c>
      <c r="AR12" s="1">
        <f t="shared" si="41"/>
        <v>103.52993766341589</v>
      </c>
      <c r="AS12" s="1">
        <f t="shared" si="42"/>
        <v>95.796582710819649</v>
      </c>
      <c r="AT12" s="1">
        <f t="shared" si="43"/>
        <v>93.446465025989326</v>
      </c>
      <c r="AU12" s="1">
        <f t="shared" ref="AU12:AW12" si="55">AT12*O12</f>
        <v>93.446465025989326</v>
      </c>
      <c r="AV12" s="1">
        <f t="shared" si="55"/>
        <v>93.596756815788225</v>
      </c>
      <c r="AW12" s="1">
        <f t="shared" si="55"/>
        <v>92.674113584211057</v>
      </c>
      <c r="AX12" s="1" t="b">
        <f t="shared" si="45"/>
        <v>1</v>
      </c>
      <c r="AY12" s="1" t="s">
        <v>22</v>
      </c>
      <c r="AZ12" s="1" t="str">
        <f t="shared" si="46"/>
        <v>C10</v>
      </c>
      <c r="BA12" s="1" t="str">
        <f t="shared" si="47"/>
        <v>C1030</v>
      </c>
      <c r="BB12" s="1" t="s">
        <v>175</v>
      </c>
      <c r="BC12" s="1" t="s">
        <v>176</v>
      </c>
      <c r="BD12" s="1">
        <v>2.0992405491876117E-3</v>
      </c>
      <c r="BE12" s="1">
        <f t="shared" si="3"/>
        <v>0.21048770824279717</v>
      </c>
      <c r="BF12" s="1">
        <f t="shared" si="4"/>
        <v>0.21251736664120111</v>
      </c>
      <c r="BG12" s="1">
        <f t="shared" si="5"/>
        <v>0.21018045782297301</v>
      </c>
      <c r="BH12" s="1">
        <f t="shared" si="6"/>
        <v>0.20903614545111726</v>
      </c>
      <c r="BI12" s="1">
        <f t="shared" si="7"/>
        <v>0.21355908092563161</v>
      </c>
      <c r="BJ12" s="1">
        <f t="shared" si="8"/>
        <v>0.20597452127951502</v>
      </c>
      <c r="BK12" s="1">
        <f t="shared" si="9"/>
        <v>0.21497648532791633</v>
      </c>
      <c r="BL12" s="1">
        <f t="shared" si="10"/>
        <v>0.21750958677635082</v>
      </c>
      <c r="BM12" s="1">
        <f t="shared" si="11"/>
        <v>0.2102463838987666</v>
      </c>
      <c r="BN12" s="1">
        <f t="shared" si="12"/>
        <v>0.21733424319790839</v>
      </c>
      <c r="BO12" s="1">
        <f t="shared" si="13"/>
        <v>0.2011000709001575</v>
      </c>
      <c r="BP12" s="1">
        <f t="shared" si="14"/>
        <v>0.19616660856079879</v>
      </c>
      <c r="BQ12" s="1">
        <f t="shared" si="15"/>
        <v>0.19616660856079879</v>
      </c>
      <c r="BR12" s="1">
        <f t="shared" si="16"/>
        <v>0.1964821071801546</v>
      </c>
      <c r="BS12" s="1">
        <f t="shared" si="17"/>
        <v>0.19454525709599432</v>
      </c>
      <c r="BV12" s="1" t="s">
        <v>22</v>
      </c>
      <c r="BW12" s="1">
        <f>((AJ12-AI12)/BE$154)*$BD12</f>
        <v>2.0388824305925233E-5</v>
      </c>
      <c r="BX12" s="1">
        <f>((AK12-AJ12)/BF$154)*$BD12</f>
        <v>-2.3488135069245528E-5</v>
      </c>
      <c r="BY12" s="1">
        <f>((AL12-AK12)/BG$154)*$BD12</f>
        <v>-1.1506656799409903E-5</v>
      </c>
      <c r="BZ12" s="1">
        <f>((AM12-AL12)/BH$154)*$BD12</f>
        <v>4.5378141363252774E-5</v>
      </c>
      <c r="CA12" s="1">
        <f>((AN12-AM12)/BI$154)*$BD12</f>
        <v>-7.6013437196361788E-5</v>
      </c>
      <c r="CB12" s="1">
        <f>((AO12-AN12)/BJ$154)*$BD12</f>
        <v>9.0171084024834143E-5</v>
      </c>
      <c r="CC12" s="1">
        <f>((AP12-AO12)/BK$154)*$BD12</f>
        <v>2.5366343062716975E-5</v>
      </c>
      <c r="CD12" s="1">
        <f>((AQ12-AP12)/BL$154)*$BD12</f>
        <v>-7.2627590486635751E-5</v>
      </c>
      <c r="CE12" s="1">
        <f>((AR12-AQ12)/BM$154)*$BD12</f>
        <v>7.0591839179439536E-5</v>
      </c>
      <c r="CF12" s="1">
        <f>((AS12-AR12)/BN$154)*$BD12</f>
        <v>-1.6155103926832455E-4</v>
      </c>
      <c r="CG12" s="1">
        <f>((AT12-AS12)/BO$154)*$BD12</f>
        <v>-4.8981961443696688E-5</v>
      </c>
      <c r="CH12" s="1">
        <f>((AU12-AT12)/BP$154)*$BD12</f>
        <v>0</v>
      </c>
      <c r="CI12" s="1">
        <f>((AV12-AU12)/BQ$154)*$BD12</f>
        <v>3.1207793106012324E-6</v>
      </c>
      <c r="CJ12" s="1">
        <f>((AW12-AV12)/BR$154)*$BD12</f>
        <v>-1.9124147591674845E-5</v>
      </c>
    </row>
    <row r="13" spans="1:88" x14ac:dyDescent="0.35">
      <c r="A13" s="1" t="s">
        <v>23</v>
      </c>
      <c r="B13" s="1">
        <v>0.97787961707812376</v>
      </c>
      <c r="C13" s="1">
        <v>1</v>
      </c>
      <c r="D13" s="1">
        <v>1.01784993785156</v>
      </c>
      <c r="E13" s="1">
        <v>1.0046871595009339</v>
      </c>
      <c r="F13" s="1">
        <v>1</v>
      </c>
      <c r="G13" s="1">
        <v>1</v>
      </c>
      <c r="H13" s="1">
        <v>1</v>
      </c>
      <c r="I13" s="1">
        <v>1.000056871735556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1.004875246541781</v>
      </c>
      <c r="S13" s="1">
        <f t="shared" si="0"/>
        <v>100</v>
      </c>
      <c r="T13" s="1">
        <f t="shared" si="18"/>
        <v>101.78499378515599</v>
      </c>
      <c r="U13" s="1">
        <f t="shared" si="19"/>
        <v>102.26207628582858</v>
      </c>
      <c r="V13" s="1">
        <f t="shared" si="20"/>
        <v>102.26207628582858</v>
      </c>
      <c r="W13" s="1">
        <f t="shared" si="21"/>
        <v>102.26207628582858</v>
      </c>
      <c r="X13" s="1">
        <f t="shared" si="22"/>
        <v>102.26207628582858</v>
      </c>
      <c r="Y13" s="1">
        <f t="shared" si="23"/>
        <v>102.26789210758852</v>
      </c>
      <c r="Z13" s="1">
        <f t="shared" si="24"/>
        <v>102.26789210758852</v>
      </c>
      <c r="AA13" s="1">
        <f t="shared" si="25"/>
        <v>102.26789210758852</v>
      </c>
      <c r="AB13" s="1">
        <f t="shared" si="26"/>
        <v>102.26789210758852</v>
      </c>
      <c r="AC13" s="1">
        <f t="shared" si="27"/>
        <v>102.26789210758852</v>
      </c>
      <c r="AD13" s="1">
        <f t="shared" si="28"/>
        <v>102.26789210758852</v>
      </c>
      <c r="AE13" s="1">
        <f t="shared" si="29"/>
        <v>102.03672096450013</v>
      </c>
      <c r="AF13" s="1">
        <f t="shared" si="30"/>
        <v>0.98003933343557037</v>
      </c>
      <c r="AH13" s="1" t="str">
        <f t="shared" si="31"/>
        <v>C1030.21435</v>
      </c>
      <c r="AI13" s="1">
        <f t="shared" si="32"/>
        <v>98.003933343557037</v>
      </c>
      <c r="AJ13" s="1">
        <f t="shared" si="33"/>
        <v>99.753297462947955</v>
      </c>
      <c r="AK13" s="1">
        <f t="shared" si="34"/>
        <v>100.22085707890089</v>
      </c>
      <c r="AL13" s="1">
        <f t="shared" si="35"/>
        <v>100.22085707890089</v>
      </c>
      <c r="AM13" s="1">
        <f t="shared" si="36"/>
        <v>100.22085707890089</v>
      </c>
      <c r="AN13" s="1">
        <f t="shared" si="37"/>
        <v>100.22085707890089</v>
      </c>
      <c r="AO13" s="1">
        <f t="shared" si="38"/>
        <v>100.22655681298188</v>
      </c>
      <c r="AP13" s="1">
        <f t="shared" si="39"/>
        <v>100.22655681298188</v>
      </c>
      <c r="AQ13" s="1">
        <f t="shared" si="40"/>
        <v>100.22655681298188</v>
      </c>
      <c r="AR13" s="1">
        <f t="shared" si="41"/>
        <v>100.22655681298188</v>
      </c>
      <c r="AS13" s="1">
        <f t="shared" si="42"/>
        <v>100.22655681298188</v>
      </c>
      <c r="AT13" s="1">
        <f t="shared" si="43"/>
        <v>100.22655681298188</v>
      </c>
      <c r="AU13" s="1">
        <f t="shared" ref="AU13:AW13" si="56">AT13*O13</f>
        <v>100.22655681298188</v>
      </c>
      <c r="AV13" s="1">
        <f t="shared" si="56"/>
        <v>100.22655681298188</v>
      </c>
      <c r="AW13" s="1">
        <f t="shared" si="56"/>
        <v>100.71518598747899</v>
      </c>
      <c r="AX13" s="1" t="b">
        <f t="shared" si="45"/>
        <v>1</v>
      </c>
      <c r="AY13" s="1" t="s">
        <v>23</v>
      </c>
      <c r="AZ13" s="1" t="str">
        <f t="shared" si="46"/>
        <v>C10</v>
      </c>
      <c r="BA13" s="1" t="str">
        <f t="shared" si="47"/>
        <v>C1030</v>
      </c>
      <c r="BB13" s="1" t="s">
        <v>177</v>
      </c>
      <c r="BC13" s="1" t="s">
        <v>178</v>
      </c>
      <c r="BD13" s="1">
        <v>2.0992405491876117E-3</v>
      </c>
      <c r="BE13" s="1">
        <f t="shared" si="3"/>
        <v>0.20573383085467475</v>
      </c>
      <c r="BF13" s="1">
        <f t="shared" si="4"/>
        <v>0.20940616694939407</v>
      </c>
      <c r="BG13" s="1">
        <f t="shared" si="5"/>
        <v>0.21038768705436506</v>
      </c>
      <c r="BH13" s="1">
        <f t="shared" si="6"/>
        <v>0.21038768705436506</v>
      </c>
      <c r="BI13" s="1">
        <f t="shared" si="7"/>
        <v>0.21038768705436506</v>
      </c>
      <c r="BJ13" s="1">
        <f t="shared" si="8"/>
        <v>0.21038768705436506</v>
      </c>
      <c r="BK13" s="1">
        <f t="shared" si="9"/>
        <v>0.21039965216726744</v>
      </c>
      <c r="BL13" s="1">
        <f t="shared" si="10"/>
        <v>0.21039965216726744</v>
      </c>
      <c r="BM13" s="1">
        <f t="shared" si="11"/>
        <v>0.21039965216726744</v>
      </c>
      <c r="BN13" s="1">
        <f t="shared" si="12"/>
        <v>0.21039965216726744</v>
      </c>
      <c r="BO13" s="1">
        <f t="shared" si="13"/>
        <v>0.21039965216726744</v>
      </c>
      <c r="BP13" s="1">
        <f t="shared" si="14"/>
        <v>0.21039965216726744</v>
      </c>
      <c r="BQ13" s="1">
        <f t="shared" si="15"/>
        <v>0.21039965216726744</v>
      </c>
      <c r="BR13" s="1">
        <f t="shared" si="16"/>
        <v>0.21039965216726744</v>
      </c>
      <c r="BS13" s="1">
        <f t="shared" si="17"/>
        <v>0.21142540234388785</v>
      </c>
      <c r="BV13" s="1" t="s">
        <v>23</v>
      </c>
      <c r="BW13" s="1">
        <f>((AJ13-AI13)/BE$154)*$BD13</f>
        <v>3.6890254777068909E-5</v>
      </c>
      <c r="BX13" s="1">
        <f>((AK13-AJ13)/BF$154)*$BD13</f>
        <v>9.8652016796354448E-6</v>
      </c>
      <c r="BY13" s="1">
        <f>((AL13-AK13)/BG$154)*$BD13</f>
        <v>0</v>
      </c>
      <c r="BZ13" s="1">
        <f>((AM13-AL13)/BH$154)*$BD13</f>
        <v>0</v>
      </c>
      <c r="CA13" s="1">
        <f>((AN13-AM13)/BI$154)*$BD13</f>
        <v>0</v>
      </c>
      <c r="CB13" s="1">
        <f>((AO13-AN13)/BJ$154)*$BD13</f>
        <v>1.1985242276999432E-7</v>
      </c>
      <c r="CC13" s="1">
        <f>((AP13-AO13)/BK$154)*$BD13</f>
        <v>0</v>
      </c>
      <c r="CD13" s="1">
        <f>((AQ13-AP13)/BL$154)*$BD13</f>
        <v>0</v>
      </c>
      <c r="CE13" s="1">
        <f>((AR13-AQ13)/BM$154)*$BD13</f>
        <v>0</v>
      </c>
      <c r="CF13" s="1">
        <f>((AS13-AR13)/BN$154)*$BD13</f>
        <v>0</v>
      </c>
      <c r="CG13" s="1">
        <f>((AT13-AS13)/BO$154)*$BD13</f>
        <v>0</v>
      </c>
      <c r="CH13" s="1">
        <f>((AU13-AT13)/BP$154)*$BD13</f>
        <v>0</v>
      </c>
      <c r="CI13" s="1">
        <f>((AV13-AU13)/BQ$154)*$BD13</f>
        <v>0</v>
      </c>
      <c r="CJ13" s="1">
        <f>((AW13-AV13)/BR$154)*$BD13</f>
        <v>1.0128092995065045E-5</v>
      </c>
    </row>
    <row r="14" spans="1:88" x14ac:dyDescent="0.35">
      <c r="A14" s="1" t="s">
        <v>24</v>
      </c>
      <c r="B14" s="1">
        <v>0.99811215532966369</v>
      </c>
      <c r="C14" s="1">
        <v>1</v>
      </c>
      <c r="D14" s="1">
        <v>1.0014714668274294</v>
      </c>
      <c r="E14" s="1">
        <v>1.0033585076317566</v>
      </c>
      <c r="F14" s="1">
        <v>0.99769807878879091</v>
      </c>
      <c r="G14" s="1">
        <v>0.99885120179350528</v>
      </c>
      <c r="H14" s="1">
        <v>0.99166694447757087</v>
      </c>
      <c r="I14" s="1">
        <v>1.004814328526386</v>
      </c>
      <c r="J14" s="1">
        <v>1.0086280102320786</v>
      </c>
      <c r="K14" s="1">
        <v>0.99670435290688186</v>
      </c>
      <c r="L14" s="1">
        <v>1.0031561656291048</v>
      </c>
      <c r="M14" s="1">
        <v>0.96941412478557265</v>
      </c>
      <c r="N14" s="1">
        <v>1.0216463201477335</v>
      </c>
      <c r="O14" s="1">
        <v>1.0130317532808712</v>
      </c>
      <c r="P14" s="1">
        <v>0.99983611966222152</v>
      </c>
      <c r="Q14" s="1">
        <v>0.99736835235315036</v>
      </c>
      <c r="S14" s="1">
        <f t="shared" si="0"/>
        <v>100</v>
      </c>
      <c r="T14" s="1">
        <f t="shared" si="18"/>
        <v>100.14714668274294</v>
      </c>
      <c r="U14" s="1">
        <f t="shared" si="19"/>
        <v>100.48349163917558</v>
      </c>
      <c r="V14" s="1">
        <f t="shared" si="20"/>
        <v>100.25218655839501</v>
      </c>
      <c r="W14" s="1">
        <f t="shared" si="21"/>
        <v>100.13701702627955</v>
      </c>
      <c r="X14" s="1">
        <f t="shared" si="22"/>
        <v>99.302569703549139</v>
      </c>
      <c r="Y14" s="1">
        <f t="shared" si="23"/>
        <v>99.780644897616369</v>
      </c>
      <c r="Z14" s="1">
        <f t="shared" si="24"/>
        <v>100.64155332275641</v>
      </c>
      <c r="AA14" s="1">
        <f t="shared" si="25"/>
        <v>100.30987428010137</v>
      </c>
      <c r="AB14" s="1">
        <f t="shared" si="26"/>
        <v>100.62646885756405</v>
      </c>
      <c r="AC14" s="1">
        <f t="shared" si="27"/>
        <v>97.548720237818131</v>
      </c>
      <c r="AD14" s="1">
        <f t="shared" si="28"/>
        <v>99.660291066087638</v>
      </c>
      <c r="AE14" s="1">
        <f t="shared" si="29"/>
        <v>99.907497022673851</v>
      </c>
      <c r="AF14" s="1">
        <f t="shared" si="30"/>
        <v>1.0009258862456054</v>
      </c>
      <c r="AH14" s="1" t="str">
        <f t="shared" si="31"/>
        <v>C1030.21439</v>
      </c>
      <c r="AI14" s="1">
        <f t="shared" si="32"/>
        <v>100.09258862456053</v>
      </c>
      <c r="AJ14" s="1">
        <f t="shared" si="33"/>
        <v>100.23987154839313</v>
      </c>
      <c r="AK14" s="1">
        <f t="shared" si="34"/>
        <v>100.5765279219947</v>
      </c>
      <c r="AL14" s="1">
        <f t="shared" si="35"/>
        <v>100.34500867902129</v>
      </c>
      <c r="AM14" s="1">
        <f t="shared" si="36"/>
        <v>100.22973251302014</v>
      </c>
      <c r="AN14" s="1">
        <f t="shared" si="37"/>
        <v>99.394512586990928</v>
      </c>
      <c r="AO14" s="1">
        <f t="shared" si="38"/>
        <v>99.873030424304716</v>
      </c>
      <c r="AP14" s="1">
        <f t="shared" si="39"/>
        <v>100.73473595271432</v>
      </c>
      <c r="AQ14" s="1">
        <f t="shared" si="40"/>
        <v>100.40274981299572</v>
      </c>
      <c r="AR14" s="1">
        <f t="shared" si="41"/>
        <v>100.7196375210231</v>
      </c>
      <c r="AS14" s="1">
        <f t="shared" si="42"/>
        <v>97.639039256162732</v>
      </c>
      <c r="AT14" s="1">
        <f t="shared" si="43"/>
        <v>99.752565158818754</v>
      </c>
      <c r="AU14" s="1">
        <f t="shared" ref="AU14:AW14" si="57">AT14*O14</f>
        <v>101.05251597710252</v>
      </c>
      <c r="AV14" s="1">
        <f t="shared" si="57"/>
        <v>101.03595545665083</v>
      </c>
      <c r="AW14" s="1">
        <f t="shared" si="57"/>
        <v>100.77006442222613</v>
      </c>
      <c r="AX14" s="1" t="b">
        <f t="shared" si="45"/>
        <v>1</v>
      </c>
      <c r="AY14" s="1" t="s">
        <v>24</v>
      </c>
      <c r="AZ14" s="1" t="str">
        <f t="shared" si="46"/>
        <v>C10</v>
      </c>
      <c r="BA14" s="1" t="str">
        <f t="shared" si="47"/>
        <v>C1030</v>
      </c>
      <c r="BB14" s="1" t="s">
        <v>179</v>
      </c>
      <c r="BC14" s="1" t="s">
        <v>180</v>
      </c>
      <c r="BD14" s="1">
        <v>2.0992405491876117E-3</v>
      </c>
      <c r="BE14" s="1">
        <f t="shared" si="3"/>
        <v>0.21011842071383216</v>
      </c>
      <c r="BF14" s="1">
        <f t="shared" si="4"/>
        <v>0.21042760299974445</v>
      </c>
      <c r="BG14" s="1">
        <f t="shared" si="5"/>
        <v>0.21113432571035132</v>
      </c>
      <c r="BH14" s="1">
        <f t="shared" si="6"/>
        <v>0.21064831112758431</v>
      </c>
      <c r="BI14" s="1">
        <f t="shared" si="7"/>
        <v>0.21040631872555982</v>
      </c>
      <c r="BJ14" s="1">
        <f t="shared" si="8"/>
        <v>0.20865299118934982</v>
      </c>
      <c r="BK14" s="1">
        <f t="shared" si="9"/>
        <v>0.20965751523694848</v>
      </c>
      <c r="BL14" s="1">
        <f t="shared" si="10"/>
        <v>0.21146644242364504</v>
      </c>
      <c r="BM14" s="1">
        <f t="shared" si="11"/>
        <v>0.21076952365737953</v>
      </c>
      <c r="BN14" s="1">
        <f t="shared" si="12"/>
        <v>0.21143474718360972</v>
      </c>
      <c r="BO14" s="1">
        <f t="shared" si="13"/>
        <v>0.20496783039025782</v>
      </c>
      <c r="BP14" s="1">
        <f t="shared" si="14"/>
        <v>0.20940462966687171</v>
      </c>
      <c r="BQ14" s="1">
        <f t="shared" si="15"/>
        <v>0.21213353913656258</v>
      </c>
      <c r="BR14" s="1">
        <f t="shared" si="16"/>
        <v>0.21209877462051474</v>
      </c>
      <c r="BS14" s="1">
        <f t="shared" si="17"/>
        <v>0.21154060537938499</v>
      </c>
      <c r="BV14" s="1" t="s">
        <v>24</v>
      </c>
      <c r="BW14" s="1">
        <f>((AJ14-AI14)/BE$154)*$BD14</f>
        <v>3.1058740283227399E-6</v>
      </c>
      <c r="BX14" s="1">
        <f>((AK14-AJ14)/BF$154)*$BD14</f>
        <v>7.1032289979648214E-6</v>
      </c>
      <c r="BY14" s="1">
        <f>((AL14-AK14)/BG$154)*$BD14</f>
        <v>-4.8871297217025824E-6</v>
      </c>
      <c r="BZ14" s="1">
        <f>((AM14-AL14)/BH$154)*$BD14</f>
        <v>-2.4278846094040314E-6</v>
      </c>
      <c r="CA14" s="1">
        <f>((AN14-AM14)/BI$154)*$BD14</f>
        <v>-1.7572075212908378E-5</v>
      </c>
      <c r="CB14" s="1">
        <f>((AO14-AN14)/BJ$154)*$BD14</f>
        <v>1.006213997456166E-5</v>
      </c>
      <c r="CC14" s="1">
        <f>((AP14-AO14)/BK$154)*$BD14</f>
        <v>1.8114500554874781E-5</v>
      </c>
      <c r="CD14" s="1">
        <f>((AQ14-AP14)/BL$154)*$BD14</f>
        <v>-6.9687617999760269E-6</v>
      </c>
      <c r="CE14" s="1">
        <f>((AR14-AQ14)/BM$154)*$BD14</f>
        <v>6.6253222870420187E-6</v>
      </c>
      <c r="CF14" s="1">
        <f>((AS14-AR14)/BN$154)*$BD14</f>
        <v>-6.4354197409406504E-5</v>
      </c>
      <c r="CG14" s="1">
        <f>((AT14-AS14)/BO$154)*$BD14</f>
        <v>4.4050834110303688E-5</v>
      </c>
      <c r="CH14" s="1">
        <f>((AU14-AT14)/BP$154)*$BD14</f>
        <v>2.7087144804718797E-5</v>
      </c>
      <c r="CI14" s="1">
        <f>((AV14-AU14)/BQ$154)*$BD14</f>
        <v>-3.4387593405853236E-7</v>
      </c>
      <c r="CJ14" s="1">
        <f>((AW14-AV14)/BR$154)*$BD14</f>
        <v>-5.5112737097185502E-6</v>
      </c>
    </row>
    <row r="15" spans="1:88" x14ac:dyDescent="0.35">
      <c r="A15" s="1" t="s">
        <v>25</v>
      </c>
      <c r="B15" s="1">
        <v>0.9993091536308405</v>
      </c>
      <c r="C15" s="1">
        <v>1</v>
      </c>
      <c r="D15" s="1">
        <v>1</v>
      </c>
      <c r="E15" s="1">
        <v>1</v>
      </c>
      <c r="F15" s="1">
        <v>1.0154409544381231</v>
      </c>
      <c r="G15" s="1">
        <v>1.0003352891963451</v>
      </c>
      <c r="H15" s="1">
        <v>1.000335064509319</v>
      </c>
      <c r="I15" s="1">
        <v>1</v>
      </c>
      <c r="J15" s="1">
        <v>1</v>
      </c>
      <c r="K15" s="1">
        <v>0.99091654853579358</v>
      </c>
      <c r="L15" s="1">
        <v>1</v>
      </c>
      <c r="M15" s="1">
        <v>0.94671805287172905</v>
      </c>
      <c r="N15" s="1">
        <v>1</v>
      </c>
      <c r="O15" s="1">
        <v>1.0192799814617881</v>
      </c>
      <c r="P15" s="1">
        <v>1</v>
      </c>
      <c r="Q15" s="1">
        <v>1</v>
      </c>
      <c r="S15" s="1">
        <f t="shared" si="0"/>
        <v>100</v>
      </c>
      <c r="T15" s="1">
        <f t="shared" si="18"/>
        <v>100</v>
      </c>
      <c r="U15" s="1">
        <f t="shared" si="19"/>
        <v>100</v>
      </c>
      <c r="V15" s="1">
        <f t="shared" si="20"/>
        <v>101.54409544381231</v>
      </c>
      <c r="W15" s="1">
        <f t="shared" si="21"/>
        <v>101.57814208196726</v>
      </c>
      <c r="X15" s="1">
        <f t="shared" si="22"/>
        <v>101.61217731230148</v>
      </c>
      <c r="Y15" s="1">
        <f t="shared" si="23"/>
        <v>101.61217731230148</v>
      </c>
      <c r="Z15" s="1">
        <f t="shared" si="24"/>
        <v>101.61217731230148</v>
      </c>
      <c r="AA15" s="1">
        <f t="shared" si="25"/>
        <v>100.68918803151286</v>
      </c>
      <c r="AB15" s="1">
        <f t="shared" si="26"/>
        <v>100.68918803151286</v>
      </c>
      <c r="AC15" s="1">
        <f t="shared" si="27"/>
        <v>95.324272038429257</v>
      </c>
      <c r="AD15" s="1">
        <f t="shared" si="28"/>
        <v>95.324272038429257</v>
      </c>
      <c r="AE15" s="1">
        <f t="shared" si="29"/>
        <v>99.998807466880677</v>
      </c>
      <c r="AF15" s="1">
        <f t="shared" si="30"/>
        <v>1.0000119254734083</v>
      </c>
      <c r="AH15" s="1" t="str">
        <f t="shared" si="31"/>
        <v>C1030.21491</v>
      </c>
      <c r="AI15" s="1">
        <f t="shared" si="32"/>
        <v>100.00119254734084</v>
      </c>
      <c r="AJ15" s="1">
        <f t="shared" si="33"/>
        <v>100.00119254734084</v>
      </c>
      <c r="AK15" s="1">
        <f t="shared" si="34"/>
        <v>100.00119254734084</v>
      </c>
      <c r="AL15" s="1">
        <f t="shared" si="35"/>
        <v>101.54530640522231</v>
      </c>
      <c r="AM15" s="1">
        <f t="shared" si="36"/>
        <v>101.57935344939952</v>
      </c>
      <c r="AN15" s="1">
        <f t="shared" si="37"/>
        <v>101.61338908561999</v>
      </c>
      <c r="AO15" s="1">
        <f t="shared" si="38"/>
        <v>101.61338908561999</v>
      </c>
      <c r="AP15" s="1">
        <f t="shared" si="39"/>
        <v>101.61338908561999</v>
      </c>
      <c r="AQ15" s="1">
        <f t="shared" si="40"/>
        <v>100.69038879774723</v>
      </c>
      <c r="AR15" s="1">
        <f t="shared" si="41"/>
        <v>100.69038879774723</v>
      </c>
      <c r="AS15" s="1">
        <f t="shared" si="42"/>
        <v>95.325408825500617</v>
      </c>
      <c r="AT15" s="1">
        <f t="shared" si="43"/>
        <v>95.325408825500617</v>
      </c>
      <c r="AU15" s="1">
        <f t="shared" ref="AU15:AW15" si="58">AT15*O15</f>
        <v>97.163280940493635</v>
      </c>
      <c r="AV15" s="1">
        <f t="shared" si="58"/>
        <v>97.163280940493635</v>
      </c>
      <c r="AW15" s="1">
        <f t="shared" si="58"/>
        <v>97.163280940493635</v>
      </c>
      <c r="AX15" s="1" t="b">
        <f t="shared" si="45"/>
        <v>1</v>
      </c>
      <c r="AY15" s="1" t="s">
        <v>25</v>
      </c>
      <c r="AZ15" s="1" t="str">
        <f t="shared" si="46"/>
        <v>C10</v>
      </c>
      <c r="BA15" s="1" t="str">
        <f t="shared" si="47"/>
        <v>C1030</v>
      </c>
      <c r="BB15" s="1" t="s">
        <v>184</v>
      </c>
      <c r="BC15" s="1" t="s">
        <v>185</v>
      </c>
      <c r="BD15" s="1">
        <v>5.8597004907606038E-4</v>
      </c>
      <c r="BE15" s="1">
        <f t="shared" si="3"/>
        <v>5.8597703704629876E-2</v>
      </c>
      <c r="BF15" s="1">
        <f t="shared" si="4"/>
        <v>5.8597703704629876E-2</v>
      </c>
      <c r="BG15" s="1">
        <f t="shared" si="5"/>
        <v>5.8597703704629876E-2</v>
      </c>
      <c r="BH15" s="1">
        <f t="shared" si="6"/>
        <v>5.9502508177711702E-2</v>
      </c>
      <c r="BI15" s="1">
        <f t="shared" si="7"/>
        <v>5.9522458725859123E-2</v>
      </c>
      <c r="BJ15" s="1">
        <f t="shared" si="8"/>
        <v>5.9542402589285559E-2</v>
      </c>
      <c r="BK15" s="1">
        <f t="shared" si="9"/>
        <v>5.9542402589285559E-2</v>
      </c>
      <c r="BL15" s="1">
        <f t="shared" si="10"/>
        <v>5.9542402589285559E-2</v>
      </c>
      <c r="BM15" s="1">
        <f t="shared" si="11"/>
        <v>5.9001552065303546E-2</v>
      </c>
      <c r="BN15" s="1">
        <f t="shared" si="12"/>
        <v>5.9001552065303546E-2</v>
      </c>
      <c r="BO15" s="1">
        <f t="shared" si="13"/>
        <v>5.5857834487674118E-2</v>
      </c>
      <c r="BP15" s="1">
        <f t="shared" si="14"/>
        <v>5.5857834487674118E-2</v>
      </c>
      <c r="BQ15" s="1">
        <f t="shared" si="15"/>
        <v>5.69347725010921E-2</v>
      </c>
      <c r="BR15" s="1">
        <f t="shared" si="16"/>
        <v>5.69347725010921E-2</v>
      </c>
      <c r="BS15" s="1">
        <f t="shared" si="17"/>
        <v>5.69347725010921E-2</v>
      </c>
      <c r="BV15" s="1" t="s">
        <v>25</v>
      </c>
      <c r="BW15" s="1">
        <f>((AJ15-AI15)/BE$154)*$BD15</f>
        <v>0</v>
      </c>
      <c r="BX15" s="1">
        <f>((AK15-AJ15)/BF$154)*$BD15</f>
        <v>0</v>
      </c>
      <c r="BY15" s="1">
        <f>((AL15-AK15)/BG$154)*$BD15</f>
        <v>9.0982801535558663E-6</v>
      </c>
      <c r="BZ15" s="1">
        <f>((AM15-AL15)/BH$154)*$BD15</f>
        <v>2.0016177529153791E-7</v>
      </c>
      <c r="CA15" s="1">
        <f>((AN15-AM15)/BI$154)*$BD15</f>
        <v>1.9987997731612973E-7</v>
      </c>
      <c r="CB15" s="1">
        <f>((AO15-AN15)/BJ$154)*$BD15</f>
        <v>0</v>
      </c>
      <c r="CC15" s="1">
        <f>((AP15-AO15)/BK$154)*$BD15</f>
        <v>0</v>
      </c>
      <c r="CD15" s="1">
        <f>((AQ15-AP15)/BL$154)*$BD15</f>
        <v>-5.408174744984282E-6</v>
      </c>
      <c r="CE15" s="1">
        <f>((AR15-AQ15)/BM$154)*$BD15</f>
        <v>0</v>
      </c>
      <c r="CF15" s="1">
        <f>((AS15-AR15)/BN$154)*$BD15</f>
        <v>-3.1284061331694498E-5</v>
      </c>
      <c r="CG15" s="1">
        <f>((AT15-AS15)/BO$154)*$BD15</f>
        <v>0</v>
      </c>
      <c r="CH15" s="1">
        <f>((AU15-AT15)/BP$154)*$BD15</f>
        <v>1.0689682541379202E-5</v>
      </c>
      <c r="CI15" s="1">
        <f>((AV15-AU15)/BQ$154)*$BD15</f>
        <v>0</v>
      </c>
      <c r="CJ15" s="1">
        <f>((AW15-AV15)/BR$154)*$BD15</f>
        <v>0</v>
      </c>
    </row>
    <row r="16" spans="1:88" x14ac:dyDescent="0.35">
      <c r="A16" s="1" t="s">
        <v>26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1.012356095879738</v>
      </c>
      <c r="N16" s="1">
        <v>1</v>
      </c>
      <c r="O16" s="1">
        <v>1</v>
      </c>
      <c r="P16" s="1">
        <v>1</v>
      </c>
      <c r="Q16" s="1">
        <v>1</v>
      </c>
      <c r="S16" s="1">
        <f t="shared" si="0"/>
        <v>100</v>
      </c>
      <c r="T16" s="1">
        <f t="shared" si="18"/>
        <v>100</v>
      </c>
      <c r="U16" s="1">
        <f t="shared" si="19"/>
        <v>100</v>
      </c>
      <c r="V16" s="1">
        <f t="shared" si="20"/>
        <v>100</v>
      </c>
      <c r="W16" s="1">
        <f t="shared" si="21"/>
        <v>100</v>
      </c>
      <c r="X16" s="1">
        <f t="shared" si="22"/>
        <v>100</v>
      </c>
      <c r="Y16" s="1">
        <f t="shared" si="23"/>
        <v>100</v>
      </c>
      <c r="Z16" s="1">
        <f t="shared" si="24"/>
        <v>100</v>
      </c>
      <c r="AA16" s="1">
        <f t="shared" si="25"/>
        <v>100</v>
      </c>
      <c r="AB16" s="1">
        <f t="shared" si="26"/>
        <v>100</v>
      </c>
      <c r="AC16" s="1">
        <f t="shared" si="27"/>
        <v>101.2356095879738</v>
      </c>
      <c r="AD16" s="1">
        <f t="shared" si="28"/>
        <v>101.2356095879738</v>
      </c>
      <c r="AE16" s="1">
        <f t="shared" si="29"/>
        <v>100.20593493132897</v>
      </c>
      <c r="AF16" s="1">
        <f t="shared" si="30"/>
        <v>0.99794488289071803</v>
      </c>
      <c r="AH16" s="1" t="str">
        <f t="shared" si="31"/>
        <v>C1030.21492</v>
      </c>
      <c r="AI16" s="1">
        <f t="shared" si="32"/>
        <v>99.794488289071808</v>
      </c>
      <c r="AJ16" s="1">
        <f t="shared" si="33"/>
        <v>99.794488289071808</v>
      </c>
      <c r="AK16" s="1">
        <f t="shared" si="34"/>
        <v>99.794488289071808</v>
      </c>
      <c r="AL16" s="1">
        <f t="shared" si="35"/>
        <v>99.794488289071808</v>
      </c>
      <c r="AM16" s="1">
        <f t="shared" si="36"/>
        <v>99.794488289071808</v>
      </c>
      <c r="AN16" s="1">
        <f t="shared" si="37"/>
        <v>99.794488289071808</v>
      </c>
      <c r="AO16" s="1">
        <f t="shared" si="38"/>
        <v>99.794488289071808</v>
      </c>
      <c r="AP16" s="1">
        <f t="shared" si="39"/>
        <v>99.794488289071808</v>
      </c>
      <c r="AQ16" s="1">
        <f t="shared" si="40"/>
        <v>99.794488289071808</v>
      </c>
      <c r="AR16" s="1">
        <f t="shared" si="41"/>
        <v>99.794488289071808</v>
      </c>
      <c r="AS16" s="1">
        <f t="shared" si="42"/>
        <v>101.02755855464096</v>
      </c>
      <c r="AT16" s="1">
        <f t="shared" si="43"/>
        <v>101.02755855464096</v>
      </c>
      <c r="AU16" s="1">
        <f t="shared" ref="AU16:AW16" si="59">AT16*O16</f>
        <v>101.02755855464096</v>
      </c>
      <c r="AV16" s="1">
        <f t="shared" si="59"/>
        <v>101.02755855464096</v>
      </c>
      <c r="AW16" s="1">
        <f t="shared" si="59"/>
        <v>101.02755855464096</v>
      </c>
      <c r="AX16" s="1" t="b">
        <f t="shared" si="45"/>
        <v>1</v>
      </c>
      <c r="AY16" s="1" t="s">
        <v>26</v>
      </c>
      <c r="AZ16" s="1" t="str">
        <f t="shared" si="46"/>
        <v>C10</v>
      </c>
      <c r="BA16" s="1" t="str">
        <f t="shared" si="47"/>
        <v>C1030</v>
      </c>
      <c r="BB16" s="1" t="s">
        <v>186</v>
      </c>
      <c r="BC16" s="1" t="s">
        <v>187</v>
      </c>
      <c r="BD16" s="1">
        <v>5.8597004907606038E-4</v>
      </c>
      <c r="BE16" s="1">
        <f t="shared" si="3"/>
        <v>5.847658120026774E-2</v>
      </c>
      <c r="BF16" s="1">
        <f t="shared" si="4"/>
        <v>5.847658120026774E-2</v>
      </c>
      <c r="BG16" s="1">
        <f t="shared" si="5"/>
        <v>5.847658120026774E-2</v>
      </c>
      <c r="BH16" s="1">
        <f t="shared" si="6"/>
        <v>5.847658120026774E-2</v>
      </c>
      <c r="BI16" s="1">
        <f t="shared" si="7"/>
        <v>5.847658120026774E-2</v>
      </c>
      <c r="BJ16" s="1">
        <f t="shared" si="8"/>
        <v>5.847658120026774E-2</v>
      </c>
      <c r="BK16" s="1">
        <f t="shared" si="9"/>
        <v>5.847658120026774E-2</v>
      </c>
      <c r="BL16" s="1">
        <f t="shared" si="10"/>
        <v>5.847658120026774E-2</v>
      </c>
      <c r="BM16" s="1">
        <f t="shared" si="11"/>
        <v>5.847658120026774E-2</v>
      </c>
      <c r="BN16" s="1">
        <f t="shared" si="12"/>
        <v>5.847658120026774E-2</v>
      </c>
      <c r="BO16" s="1">
        <f t="shared" si="13"/>
        <v>5.9199123444297529E-2</v>
      </c>
      <c r="BP16" s="1">
        <f t="shared" si="14"/>
        <v>5.9199123444297529E-2</v>
      </c>
      <c r="BQ16" s="1">
        <f t="shared" si="15"/>
        <v>5.9199123444297529E-2</v>
      </c>
      <c r="BR16" s="1">
        <f t="shared" si="16"/>
        <v>5.9199123444297529E-2</v>
      </c>
      <c r="BS16" s="1">
        <f t="shared" si="17"/>
        <v>5.9199123444297529E-2</v>
      </c>
      <c r="BV16" s="1" t="s">
        <v>26</v>
      </c>
      <c r="BW16" s="1">
        <f>((AJ16-AI16)/BE$154)*$BD16</f>
        <v>0</v>
      </c>
      <c r="BX16" s="1">
        <f>((AK16-AJ16)/BF$154)*$BD16</f>
        <v>0</v>
      </c>
      <c r="BY16" s="1">
        <f>((AL16-AK16)/BG$154)*$BD16</f>
        <v>0</v>
      </c>
      <c r="BZ16" s="1">
        <f>((AM16-AL16)/BH$154)*$BD16</f>
        <v>0</v>
      </c>
      <c r="CA16" s="1">
        <f>((AN16-AM16)/BI$154)*$BD16</f>
        <v>0</v>
      </c>
      <c r="CB16" s="1">
        <f>((AO16-AN16)/BJ$154)*$BD16</f>
        <v>0</v>
      </c>
      <c r="CC16" s="1">
        <f>((AP16-AO16)/BK$154)*$BD16</f>
        <v>0</v>
      </c>
      <c r="CD16" s="1">
        <f>((AQ16-AP16)/BL$154)*$BD16</f>
        <v>0</v>
      </c>
      <c r="CE16" s="1">
        <f>((AR16-AQ16)/BM$154)*$BD16</f>
        <v>0</v>
      </c>
      <c r="CF16" s="1">
        <f>((AS16-AR16)/BN$154)*$BD16</f>
        <v>7.1902310938544939E-6</v>
      </c>
      <c r="CG16" s="1">
        <f>((AT16-AS16)/BO$154)*$BD16</f>
        <v>0</v>
      </c>
      <c r="CH16" s="1">
        <f>((AU16-AT16)/BP$154)*$BD16</f>
        <v>0</v>
      </c>
      <c r="CI16" s="1">
        <f>((AV16-AU16)/BQ$154)*$BD16</f>
        <v>0</v>
      </c>
      <c r="CJ16" s="1">
        <f>((AW16-AV16)/BR$154)*$BD16</f>
        <v>0</v>
      </c>
    </row>
    <row r="17" spans="1:88" x14ac:dyDescent="0.35">
      <c r="A17" s="1" t="s">
        <v>27</v>
      </c>
      <c r="B17" s="1">
        <v>0.99963687344523211</v>
      </c>
      <c r="C17" s="1">
        <v>1</v>
      </c>
      <c r="D17" s="1">
        <v>0.99951312723074826</v>
      </c>
      <c r="E17" s="1">
        <v>0.99950714508589322</v>
      </c>
      <c r="F17" s="1">
        <v>0.99848408577755776</v>
      </c>
      <c r="G17" s="1">
        <v>0.999249130433569</v>
      </c>
      <c r="H17" s="1">
        <v>0.99982139165602824</v>
      </c>
      <c r="I17" s="1">
        <v>0.99936287045281602</v>
      </c>
      <c r="J17" s="1">
        <v>0.99887264723360536</v>
      </c>
      <c r="K17" s="1">
        <v>0.99946199448596795</v>
      </c>
      <c r="L17" s="1">
        <v>0.99987345842561004</v>
      </c>
      <c r="M17" s="1">
        <v>0.99945470357035093</v>
      </c>
      <c r="N17" s="1">
        <v>0.9995675978591243</v>
      </c>
      <c r="O17" s="1">
        <v>1.0003366526597475</v>
      </c>
      <c r="P17" s="1">
        <v>0.99970919379046175</v>
      </c>
      <c r="Q17" s="1">
        <v>1</v>
      </c>
      <c r="S17" s="1">
        <f t="shared" si="0"/>
        <v>100</v>
      </c>
      <c r="T17" s="1">
        <f t="shared" si="18"/>
        <v>99.951312723074821</v>
      </c>
      <c r="U17" s="1">
        <f t="shared" si="19"/>
        <v>99.902051227427833</v>
      </c>
      <c r="V17" s="1">
        <f t="shared" si="20"/>
        <v>99.750608287121025</v>
      </c>
      <c r="W17" s="1">
        <f t="shared" si="21"/>
        <v>99.675708591125243</v>
      </c>
      <c r="X17" s="1">
        <f t="shared" si="22"/>
        <v>99.657905677879569</v>
      </c>
      <c r="Y17" s="1">
        <f t="shared" si="23"/>
        <v>99.594410681561712</v>
      </c>
      <c r="Z17" s="1">
        <f t="shared" si="24"/>
        <v>99.482132647162416</v>
      </c>
      <c r="AA17" s="1">
        <f t="shared" si="25"/>
        <v>99.42861071125057</v>
      </c>
      <c r="AB17" s="1">
        <f t="shared" si="26"/>
        <v>99.416028858311762</v>
      </c>
      <c r="AC17" s="1">
        <f t="shared" si="27"/>
        <v>99.361817652725435</v>
      </c>
      <c r="AD17" s="1">
        <f t="shared" si="28"/>
        <v>99.318853390051089</v>
      </c>
      <c r="AE17" s="1">
        <f t="shared" si="29"/>
        <v>99.628286703974297</v>
      </c>
      <c r="AF17" s="1">
        <f t="shared" si="30"/>
        <v>1.0037310015892391</v>
      </c>
      <c r="AH17" s="1" t="str">
        <f t="shared" si="31"/>
        <v>C1030.21493</v>
      </c>
      <c r="AI17" s="1">
        <f t="shared" si="32"/>
        <v>100.3731001589239</v>
      </c>
      <c r="AJ17" s="1">
        <f t="shared" si="33"/>
        <v>100.32423122969115</v>
      </c>
      <c r="AK17" s="1">
        <f t="shared" si="34"/>
        <v>100.27478593932561</v>
      </c>
      <c r="AL17" s="1">
        <f t="shared" si="35"/>
        <v>100.12277796516784</v>
      </c>
      <c r="AM17" s="1">
        <f t="shared" si="36"/>
        <v>100.04759881828727</v>
      </c>
      <c r="AN17" s="1">
        <f t="shared" si="37"/>
        <v>100.02972948234398</v>
      </c>
      <c r="AO17" s="1">
        <f t="shared" si="38"/>
        <v>99.965997586093948</v>
      </c>
      <c r="AP17" s="1">
        <f t="shared" si="39"/>
        <v>99.85330064216987</v>
      </c>
      <c r="AQ17" s="1">
        <f t="shared" si="40"/>
        <v>99.799579015830076</v>
      </c>
      <c r="AR17" s="1">
        <f t="shared" si="41"/>
        <v>99.786950219977967</v>
      </c>
      <c r="AS17" s="1">
        <f t="shared" si="42"/>
        <v>99.732536752297435</v>
      </c>
      <c r="AT17" s="1">
        <f t="shared" si="43"/>
        <v>99.689412189890774</v>
      </c>
      <c r="AU17" s="1">
        <f t="shared" ref="AU17:AW17" si="60">AT17*O17</f>
        <v>99.722972895653157</v>
      </c>
      <c r="AV17" s="1">
        <f t="shared" si="60"/>
        <v>99.693972835901491</v>
      </c>
      <c r="AW17" s="1">
        <f t="shared" si="60"/>
        <v>99.693972835901491</v>
      </c>
      <c r="AX17" s="1" t="b">
        <f t="shared" si="45"/>
        <v>1</v>
      </c>
      <c r="AY17" s="1" t="s">
        <v>27</v>
      </c>
      <c r="AZ17" s="1" t="str">
        <f t="shared" si="46"/>
        <v>C10</v>
      </c>
      <c r="BA17" s="1" t="str">
        <f t="shared" si="47"/>
        <v>C1030</v>
      </c>
      <c r="BB17" s="1" t="s">
        <v>188</v>
      </c>
      <c r="BC17" s="1" t="s">
        <v>189</v>
      </c>
      <c r="BD17" s="1">
        <v>5.8597004907606038E-4</v>
      </c>
      <c r="BE17" s="1">
        <f t="shared" si="3"/>
        <v>5.8815630426040967E-2</v>
      </c>
      <c r="BF17" s="1">
        <f t="shared" si="4"/>
        <v>5.8786994697180156E-2</v>
      </c>
      <c r="BG17" s="1">
        <f t="shared" si="5"/>
        <v>5.8758021237958077E-2</v>
      </c>
      <c r="BH17" s="1">
        <f t="shared" si="6"/>
        <v>5.8668949117880898E-2</v>
      </c>
      <c r="BI17" s="1">
        <f t="shared" si="7"/>
        <v>5.8624896389493794E-2</v>
      </c>
      <c r="BJ17" s="1">
        <f t="shared" si="8"/>
        <v>5.8614425493834145E-2</v>
      </c>
      <c r="BK17" s="1">
        <f t="shared" si="9"/>
        <v>5.8577080511460808E-2</v>
      </c>
      <c r="BL17" s="1">
        <f t="shared" si="10"/>
        <v>5.8511043477698893E-2</v>
      </c>
      <c r="BM17" s="1">
        <f t="shared" si="11"/>
        <v>5.8479564213676116E-2</v>
      </c>
      <c r="BN17" s="1">
        <f t="shared" si="12"/>
        <v>5.8472164117550886E-2</v>
      </c>
      <c r="BO17" s="1">
        <f t="shared" si="13"/>
        <v>5.8440279455223725E-2</v>
      </c>
      <c r="BP17" s="1">
        <f t="shared" si="14"/>
        <v>5.8415009753273912E-2</v>
      </c>
      <c r="BQ17" s="1">
        <f t="shared" si="15"/>
        <v>5.8434675321676517E-2</v>
      </c>
      <c r="BR17" s="1">
        <f t="shared" si="16"/>
        <v>5.8417682155240624E-2</v>
      </c>
      <c r="BS17" s="1">
        <f t="shared" si="17"/>
        <v>5.8417682155240624E-2</v>
      </c>
      <c r="BV17" s="1" t="s">
        <v>27</v>
      </c>
      <c r="BW17" s="1">
        <f>((AJ17-AI17)/BE$154)*$BD17</f>
        <v>-2.8765867452094822E-7</v>
      </c>
      <c r="BX17" s="1">
        <f>((AK17-AJ17)/BF$154)*$BD17</f>
        <v>-2.9121055914684141E-7</v>
      </c>
      <c r="BY17" s="1">
        <f>((AL17-AK17)/BG$154)*$BD17</f>
        <v>-8.9566655166177843E-7</v>
      </c>
      <c r="BZ17" s="1">
        <f>((AM17-AL17)/BH$154)*$BD17</f>
        <v>-4.4197644371693902E-7</v>
      </c>
      <c r="CA17" s="1">
        <f>((AN17-AM17)/BI$154)*$BD17</f>
        <v>-1.0494066982802831E-7</v>
      </c>
      <c r="CB17" s="1">
        <f>((AO17-AN17)/BJ$154)*$BD17</f>
        <v>-3.7407809289025443E-7</v>
      </c>
      <c r="CC17" s="1">
        <f>((AP17-AO17)/BK$154)*$BD17</f>
        <v>-6.6129134081234404E-7</v>
      </c>
      <c r="CD17" s="1">
        <f>((AQ17-AP17)/BL$154)*$BD17</f>
        <v>-3.1477340435066975E-7</v>
      </c>
      <c r="CE17" s="1">
        <f>((AR17-AQ17)/BM$154)*$BD17</f>
        <v>-7.3701575262366153E-8</v>
      </c>
      <c r="CF17" s="1">
        <f>((AS17-AR17)/BN$154)*$BD17</f>
        <v>-3.1729368403869874E-7</v>
      </c>
      <c r="CG17" s="1">
        <f>((AT17-AS17)/BO$154)*$BD17</f>
        <v>-2.5089064868799834E-7</v>
      </c>
      <c r="CH17" s="1">
        <f>((AU17-AT17)/BP$154)*$BD17</f>
        <v>1.9520035563838742E-7</v>
      </c>
      <c r="CI17" s="1">
        <f>((AV17-AU17)/BQ$154)*$BD17</f>
        <v>-1.6808923710352659E-7</v>
      </c>
      <c r="CJ17" s="1">
        <f>((AW17-AV17)/BR$154)*$BD17</f>
        <v>0</v>
      </c>
    </row>
    <row r="18" spans="1:88" x14ac:dyDescent="0.35">
      <c r="A18" s="1" t="s">
        <v>28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0.9886768937954552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0.96666274218843073</v>
      </c>
      <c r="O18" s="1">
        <v>1</v>
      </c>
      <c r="P18" s="1">
        <v>1.0029806435588851</v>
      </c>
      <c r="Q18" s="1">
        <v>1</v>
      </c>
      <c r="S18" s="1">
        <f t="shared" si="0"/>
        <v>100</v>
      </c>
      <c r="T18" s="1">
        <f t="shared" si="18"/>
        <v>100</v>
      </c>
      <c r="U18" s="1">
        <f t="shared" si="19"/>
        <v>100</v>
      </c>
      <c r="V18" s="1">
        <f t="shared" si="20"/>
        <v>100</v>
      </c>
      <c r="W18" s="1">
        <f t="shared" si="21"/>
        <v>100</v>
      </c>
      <c r="X18" s="1">
        <f t="shared" si="22"/>
        <v>98.867689379545524</v>
      </c>
      <c r="Y18" s="1">
        <f t="shared" si="23"/>
        <v>98.867689379545524</v>
      </c>
      <c r="Z18" s="1">
        <f t="shared" si="24"/>
        <v>98.867689379545524</v>
      </c>
      <c r="AA18" s="1">
        <f t="shared" si="25"/>
        <v>98.867689379545524</v>
      </c>
      <c r="AB18" s="1">
        <f t="shared" si="26"/>
        <v>98.867689379545524</v>
      </c>
      <c r="AC18" s="1">
        <f t="shared" si="27"/>
        <v>98.867689379545524</v>
      </c>
      <c r="AD18" s="1">
        <f t="shared" si="28"/>
        <v>95.571711729465463</v>
      </c>
      <c r="AE18" s="1">
        <f t="shared" si="29"/>
        <v>99.064820667228204</v>
      </c>
      <c r="AF18" s="1">
        <f t="shared" si="30"/>
        <v>1.0094400749577208</v>
      </c>
      <c r="AH18" s="1" t="str">
        <f t="shared" si="31"/>
        <v>C1030.21494</v>
      </c>
      <c r="AI18" s="1">
        <f t="shared" si="32"/>
        <v>100.94400749577208</v>
      </c>
      <c r="AJ18" s="1">
        <f t="shared" si="33"/>
        <v>100.94400749577208</v>
      </c>
      <c r="AK18" s="1">
        <f t="shared" si="34"/>
        <v>100.94400749577208</v>
      </c>
      <c r="AL18" s="1">
        <f t="shared" si="35"/>
        <v>100.94400749577208</v>
      </c>
      <c r="AM18" s="1">
        <f t="shared" si="36"/>
        <v>100.94400749577208</v>
      </c>
      <c r="AN18" s="1">
        <f t="shared" si="37"/>
        <v>99.801007778185095</v>
      </c>
      <c r="AO18" s="1">
        <f t="shared" si="38"/>
        <v>99.801007778185095</v>
      </c>
      <c r="AP18" s="1">
        <f t="shared" si="39"/>
        <v>99.801007778185095</v>
      </c>
      <c r="AQ18" s="1">
        <f t="shared" si="40"/>
        <v>99.801007778185095</v>
      </c>
      <c r="AR18" s="1">
        <f t="shared" si="41"/>
        <v>99.801007778185095</v>
      </c>
      <c r="AS18" s="1">
        <f t="shared" si="42"/>
        <v>99.801007778185095</v>
      </c>
      <c r="AT18" s="1">
        <f t="shared" si="43"/>
        <v>96.473915852029307</v>
      </c>
      <c r="AU18" s="1">
        <f t="shared" ref="AU18:AW18" si="61">AT18*O18</f>
        <v>96.473915852029307</v>
      </c>
      <c r="AV18" s="1">
        <f t="shared" si="61"/>
        <v>96.761470207914073</v>
      </c>
      <c r="AW18" s="1">
        <f t="shared" si="61"/>
        <v>96.761470207914073</v>
      </c>
      <c r="AX18" s="1" t="b">
        <f t="shared" si="45"/>
        <v>1</v>
      </c>
      <c r="AY18" s="1" t="s">
        <v>28</v>
      </c>
      <c r="AZ18" s="1" t="str">
        <f t="shared" si="46"/>
        <v>C10</v>
      </c>
      <c r="BA18" s="1" t="str">
        <f t="shared" si="47"/>
        <v>C1030</v>
      </c>
      <c r="BB18" s="1" t="s">
        <v>190</v>
      </c>
      <c r="BC18" s="1" t="s">
        <v>191</v>
      </c>
      <c r="BD18" s="1">
        <v>5.8597004907606038E-4</v>
      </c>
      <c r="BE18" s="1">
        <f t="shared" si="3"/>
        <v>5.9150165026231778E-2</v>
      </c>
      <c r="BF18" s="1">
        <f t="shared" si="4"/>
        <v>5.9150165026231778E-2</v>
      </c>
      <c r="BG18" s="1">
        <f t="shared" si="5"/>
        <v>5.9150165026231778E-2</v>
      </c>
      <c r="BH18" s="1">
        <f t="shared" si="6"/>
        <v>5.9150165026231778E-2</v>
      </c>
      <c r="BI18" s="1">
        <f t="shared" si="7"/>
        <v>5.9150165026231778E-2</v>
      </c>
      <c r="BJ18" s="1">
        <f t="shared" si="8"/>
        <v>5.8480401425623406E-2</v>
      </c>
      <c r="BK18" s="1">
        <f t="shared" si="9"/>
        <v>5.8480401425623406E-2</v>
      </c>
      <c r="BL18" s="1">
        <f t="shared" si="10"/>
        <v>5.8480401425623406E-2</v>
      </c>
      <c r="BM18" s="1">
        <f t="shared" si="11"/>
        <v>5.8480401425623406E-2</v>
      </c>
      <c r="BN18" s="1">
        <f t="shared" si="12"/>
        <v>5.8480401425623406E-2</v>
      </c>
      <c r="BO18" s="1">
        <f t="shared" si="13"/>
        <v>5.8480401425623406E-2</v>
      </c>
      <c r="BP18" s="1">
        <f t="shared" si="14"/>
        <v>5.6530825206373335E-2</v>
      </c>
      <c r="BQ18" s="1">
        <f t="shared" si="15"/>
        <v>5.6530825206373335E-2</v>
      </c>
      <c r="BR18" s="1">
        <f t="shared" si="16"/>
        <v>5.6699323446403167E-2</v>
      </c>
      <c r="BS18" s="1">
        <f t="shared" si="17"/>
        <v>5.6699323446403167E-2</v>
      </c>
      <c r="BV18" s="1" t="s">
        <v>28</v>
      </c>
      <c r="BW18" s="1">
        <f>((AJ18-AI18)/BE$154)*$BD18</f>
        <v>0</v>
      </c>
      <c r="BX18" s="1">
        <f>((AK18-AJ18)/BF$154)*$BD18</f>
        <v>0</v>
      </c>
      <c r="BY18" s="1">
        <f>((AL18-AK18)/BG$154)*$BD18</f>
        <v>0</v>
      </c>
      <c r="BZ18" s="1">
        <f>((AM18-AL18)/BH$154)*$BD18</f>
        <v>0</v>
      </c>
      <c r="CA18" s="1">
        <f>((AN18-AM18)/BI$154)*$BD18</f>
        <v>-6.7124573827197462E-6</v>
      </c>
      <c r="CB18" s="1">
        <f>((AO18-AN18)/BJ$154)*$BD18</f>
        <v>0</v>
      </c>
      <c r="CC18" s="1">
        <f>((AP18-AO18)/BK$154)*$BD18</f>
        <v>0</v>
      </c>
      <c r="CD18" s="1">
        <f>((AQ18-AP18)/BL$154)*$BD18</f>
        <v>0</v>
      </c>
      <c r="CE18" s="1">
        <f>((AR18-AQ18)/BM$154)*$BD18</f>
        <v>0</v>
      </c>
      <c r="CF18" s="1">
        <f>((AS18-AR18)/BN$154)*$BD18</f>
        <v>0</v>
      </c>
      <c r="CG18" s="1">
        <f>((AT18-AS18)/BO$154)*$BD18</f>
        <v>-1.9356399346765406E-5</v>
      </c>
      <c r="CH18" s="1">
        <f>((AU18-AT18)/BP$154)*$BD18</f>
        <v>0</v>
      </c>
      <c r="CI18" s="1">
        <f>((AV18-AU18)/BQ$154)*$BD18</f>
        <v>1.666713541984629E-6</v>
      </c>
      <c r="CJ18" s="1">
        <f>((AW18-AV18)/BR$154)*$BD18</f>
        <v>0</v>
      </c>
    </row>
    <row r="19" spans="1:88" x14ac:dyDescent="0.35">
      <c r="A19" s="1" t="s">
        <v>29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0.98201773606228882</v>
      </c>
      <c r="O19" s="1">
        <v>1</v>
      </c>
      <c r="P19" s="1">
        <v>1.0218536249909764</v>
      </c>
      <c r="Q19" s="1">
        <v>1.0237749328928014</v>
      </c>
      <c r="S19" s="1">
        <f t="shared" si="0"/>
        <v>100</v>
      </c>
      <c r="T19" s="1">
        <f t="shared" si="18"/>
        <v>100</v>
      </c>
      <c r="U19" s="1">
        <f t="shared" si="19"/>
        <v>100</v>
      </c>
      <c r="V19" s="1">
        <f t="shared" si="20"/>
        <v>100</v>
      </c>
      <c r="W19" s="1">
        <f t="shared" si="21"/>
        <v>100</v>
      </c>
      <c r="X19" s="1">
        <f t="shared" si="22"/>
        <v>100</v>
      </c>
      <c r="Y19" s="1">
        <f t="shared" si="23"/>
        <v>100</v>
      </c>
      <c r="Z19" s="1">
        <f t="shared" si="24"/>
        <v>100</v>
      </c>
      <c r="AA19" s="1">
        <f t="shared" si="25"/>
        <v>100</v>
      </c>
      <c r="AB19" s="1">
        <f t="shared" si="26"/>
        <v>100</v>
      </c>
      <c r="AC19" s="1">
        <f t="shared" si="27"/>
        <v>100</v>
      </c>
      <c r="AD19" s="1">
        <f t="shared" si="28"/>
        <v>98.201773606228883</v>
      </c>
      <c r="AE19" s="1">
        <f t="shared" si="29"/>
        <v>99.850147800519082</v>
      </c>
      <c r="AF19" s="1">
        <f t="shared" si="30"/>
        <v>1.0015007709330614</v>
      </c>
      <c r="AH19" s="1" t="str">
        <f t="shared" si="31"/>
        <v>C1030.21495</v>
      </c>
      <c r="AI19" s="1">
        <f t="shared" si="32"/>
        <v>100.15007709330615</v>
      </c>
      <c r="AJ19" s="1">
        <f t="shared" si="33"/>
        <v>100.15007709330615</v>
      </c>
      <c r="AK19" s="1">
        <f t="shared" si="34"/>
        <v>100.15007709330615</v>
      </c>
      <c r="AL19" s="1">
        <f t="shared" si="35"/>
        <v>100.15007709330615</v>
      </c>
      <c r="AM19" s="1">
        <f t="shared" si="36"/>
        <v>100.15007709330615</v>
      </c>
      <c r="AN19" s="1">
        <f t="shared" si="37"/>
        <v>100.15007709330615</v>
      </c>
      <c r="AO19" s="1">
        <f t="shared" si="38"/>
        <v>100.15007709330615</v>
      </c>
      <c r="AP19" s="1">
        <f t="shared" si="39"/>
        <v>100.15007709330615</v>
      </c>
      <c r="AQ19" s="1">
        <f t="shared" si="40"/>
        <v>100.15007709330615</v>
      </c>
      <c r="AR19" s="1">
        <f t="shared" si="41"/>
        <v>100.15007709330615</v>
      </c>
      <c r="AS19" s="1">
        <f t="shared" si="42"/>
        <v>100.15007709330615</v>
      </c>
      <c r="AT19" s="1">
        <f t="shared" si="43"/>
        <v>98.349151973632189</v>
      </c>
      <c r="AU19" s="1">
        <f t="shared" ref="AU19:AW19" si="62">AT19*O19</f>
        <v>98.349151973632189</v>
      </c>
      <c r="AV19" s="1">
        <f t="shared" si="62"/>
        <v>100.4984374590445</v>
      </c>
      <c r="AW19" s="1">
        <f t="shared" si="62"/>
        <v>102.88778106546468</v>
      </c>
      <c r="AX19" s="1" t="b">
        <f t="shared" si="45"/>
        <v>1</v>
      </c>
      <c r="AY19" s="1" t="s">
        <v>29</v>
      </c>
      <c r="AZ19" s="1" t="str">
        <f t="shared" si="46"/>
        <v>C10</v>
      </c>
      <c r="BA19" s="1" t="str">
        <f t="shared" si="47"/>
        <v>C1030</v>
      </c>
      <c r="BB19" s="1" t="s">
        <v>192</v>
      </c>
      <c r="BC19" s="1" t="s">
        <v>193</v>
      </c>
      <c r="BD19" s="1">
        <v>5.8597004907606038E-4</v>
      </c>
      <c r="BE19" s="1">
        <f t="shared" si="3"/>
        <v>5.8684945589335839E-2</v>
      </c>
      <c r="BF19" s="1">
        <f t="shared" si="4"/>
        <v>5.8684945589335839E-2</v>
      </c>
      <c r="BG19" s="1">
        <f t="shared" si="5"/>
        <v>5.8684945589335839E-2</v>
      </c>
      <c r="BH19" s="1">
        <f t="shared" si="6"/>
        <v>5.8684945589335839E-2</v>
      </c>
      <c r="BI19" s="1">
        <f t="shared" si="7"/>
        <v>5.8684945589335839E-2</v>
      </c>
      <c r="BJ19" s="1">
        <f t="shared" si="8"/>
        <v>5.8684945589335839E-2</v>
      </c>
      <c r="BK19" s="1">
        <f t="shared" si="9"/>
        <v>5.8684945589335839E-2</v>
      </c>
      <c r="BL19" s="1">
        <f t="shared" si="10"/>
        <v>5.8684945589335839E-2</v>
      </c>
      <c r="BM19" s="1">
        <f t="shared" si="11"/>
        <v>5.8684945589335839E-2</v>
      </c>
      <c r="BN19" s="1">
        <f t="shared" si="12"/>
        <v>5.8684945589335839E-2</v>
      </c>
      <c r="BO19" s="1">
        <f t="shared" si="13"/>
        <v>5.8684945589335839E-2</v>
      </c>
      <c r="BP19" s="1">
        <f t="shared" si="14"/>
        <v>5.7629657408578172E-2</v>
      </c>
      <c r="BQ19" s="1">
        <f t="shared" si="15"/>
        <v>5.7629657408578172E-2</v>
      </c>
      <c r="BR19" s="1">
        <f t="shared" si="16"/>
        <v>5.888907432994369E-2</v>
      </c>
      <c r="BS19" s="1">
        <f t="shared" si="17"/>
        <v>6.0289158120257293E-2</v>
      </c>
      <c r="BV19" s="1" t="s">
        <v>29</v>
      </c>
      <c r="BW19" s="1">
        <f>((AJ19-AI19)/BE$154)*$BD19</f>
        <v>0</v>
      </c>
      <c r="BX19" s="1">
        <f>((AK19-AJ19)/BF$154)*$BD19</f>
        <v>0</v>
      </c>
      <c r="BY19" s="1">
        <f>((AL19-AK19)/BG$154)*$BD19</f>
        <v>0</v>
      </c>
      <c r="BZ19" s="1">
        <f>((AM19-AL19)/BH$154)*$BD19</f>
        <v>0</v>
      </c>
      <c r="CA19" s="1">
        <f>((AN19-AM19)/BI$154)*$BD19</f>
        <v>0</v>
      </c>
      <c r="CB19" s="1">
        <f>((AO19-AN19)/BJ$154)*$BD19</f>
        <v>0</v>
      </c>
      <c r="CC19" s="1">
        <f>((AP19-AO19)/BK$154)*$BD19</f>
        <v>0</v>
      </c>
      <c r="CD19" s="1">
        <f>((AQ19-AP19)/BL$154)*$BD19</f>
        <v>0</v>
      </c>
      <c r="CE19" s="1">
        <f>((AR19-AQ19)/BM$154)*$BD19</f>
        <v>0</v>
      </c>
      <c r="CF19" s="1">
        <f>((AS19-AR19)/BN$154)*$BD19</f>
        <v>0</v>
      </c>
      <c r="CG19" s="1">
        <f>((AT19-AS19)/BO$154)*$BD19</f>
        <v>-1.0477445944906012E-5</v>
      </c>
      <c r="CH19" s="1">
        <f>((AU19-AT19)/BP$154)*$BD19</f>
        <v>0</v>
      </c>
      <c r="CI19" s="1">
        <f>((AV19-AU19)/BQ$154)*$BD19</f>
        <v>1.2457621144724542E-5</v>
      </c>
      <c r="CJ19" s="1">
        <f>((AW19-AV19)/BR$154)*$BD19</f>
        <v>1.3824203156269205E-5</v>
      </c>
    </row>
    <row r="20" spans="1:88" x14ac:dyDescent="0.35">
      <c r="A20" s="1" t="s">
        <v>30</v>
      </c>
      <c r="B20" s="1">
        <v>0.94491105747277915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S20" s="1">
        <f t="shared" si="0"/>
        <v>100</v>
      </c>
      <c r="T20" s="1">
        <f t="shared" si="18"/>
        <v>100</v>
      </c>
      <c r="U20" s="1">
        <f t="shared" si="19"/>
        <v>100</v>
      </c>
      <c r="V20" s="1">
        <f t="shared" si="20"/>
        <v>100</v>
      </c>
      <c r="W20" s="1">
        <f t="shared" si="21"/>
        <v>100</v>
      </c>
      <c r="X20" s="1">
        <f t="shared" si="22"/>
        <v>100</v>
      </c>
      <c r="Y20" s="1">
        <f t="shared" si="23"/>
        <v>100</v>
      </c>
      <c r="Z20" s="1">
        <f t="shared" si="24"/>
        <v>100</v>
      </c>
      <c r="AA20" s="1">
        <f t="shared" si="25"/>
        <v>100</v>
      </c>
      <c r="AB20" s="1">
        <f t="shared" si="26"/>
        <v>100</v>
      </c>
      <c r="AC20" s="1">
        <f t="shared" si="27"/>
        <v>100</v>
      </c>
      <c r="AD20" s="1">
        <f t="shared" si="28"/>
        <v>100</v>
      </c>
      <c r="AE20" s="1">
        <f t="shared" si="29"/>
        <v>100</v>
      </c>
      <c r="AF20" s="1">
        <f t="shared" si="30"/>
        <v>1</v>
      </c>
      <c r="AH20" s="1" t="str">
        <f t="shared" si="31"/>
        <v>C1030.21499</v>
      </c>
      <c r="AI20" s="1">
        <f t="shared" si="32"/>
        <v>100</v>
      </c>
      <c r="AJ20" s="1">
        <f t="shared" si="33"/>
        <v>100</v>
      </c>
      <c r="AK20" s="1">
        <f t="shared" si="34"/>
        <v>100</v>
      </c>
      <c r="AL20" s="1">
        <f t="shared" si="35"/>
        <v>100</v>
      </c>
      <c r="AM20" s="1">
        <f t="shared" si="36"/>
        <v>100</v>
      </c>
      <c r="AN20" s="1">
        <f t="shared" si="37"/>
        <v>100</v>
      </c>
      <c r="AO20" s="1">
        <f t="shared" si="38"/>
        <v>100</v>
      </c>
      <c r="AP20" s="1">
        <f t="shared" si="39"/>
        <v>100</v>
      </c>
      <c r="AQ20" s="1">
        <f t="shared" si="40"/>
        <v>100</v>
      </c>
      <c r="AR20" s="1">
        <f t="shared" si="41"/>
        <v>100</v>
      </c>
      <c r="AS20" s="1">
        <f t="shared" si="42"/>
        <v>100</v>
      </c>
      <c r="AT20" s="1">
        <f t="shared" si="43"/>
        <v>100</v>
      </c>
      <c r="AU20" s="1">
        <f t="shared" ref="AU20:AW20" si="63">AT20*O20</f>
        <v>100</v>
      </c>
      <c r="AV20" s="1">
        <f t="shared" si="63"/>
        <v>100</v>
      </c>
      <c r="AW20" s="1">
        <f t="shared" si="63"/>
        <v>100</v>
      </c>
      <c r="AX20" s="1" t="b">
        <f t="shared" si="45"/>
        <v>1</v>
      </c>
      <c r="AY20" s="1" t="s">
        <v>30</v>
      </c>
      <c r="AZ20" s="1" t="str">
        <f t="shared" si="46"/>
        <v>C10</v>
      </c>
      <c r="BA20" s="1" t="str">
        <f t="shared" si="47"/>
        <v>C1030</v>
      </c>
      <c r="BB20" s="1" t="s">
        <v>194</v>
      </c>
      <c r="BC20" s="1" t="s">
        <v>195</v>
      </c>
      <c r="BD20" s="1">
        <v>5.8597004907606038E-4</v>
      </c>
      <c r="BE20" s="1">
        <f t="shared" si="3"/>
        <v>5.859700490760604E-2</v>
      </c>
      <c r="BF20" s="1">
        <f t="shared" si="4"/>
        <v>5.859700490760604E-2</v>
      </c>
      <c r="BG20" s="1">
        <f t="shared" si="5"/>
        <v>5.859700490760604E-2</v>
      </c>
      <c r="BH20" s="1">
        <f t="shared" si="6"/>
        <v>5.859700490760604E-2</v>
      </c>
      <c r="BI20" s="1">
        <f t="shared" si="7"/>
        <v>5.859700490760604E-2</v>
      </c>
      <c r="BJ20" s="1">
        <f t="shared" si="8"/>
        <v>5.859700490760604E-2</v>
      </c>
      <c r="BK20" s="1">
        <f t="shared" si="9"/>
        <v>5.859700490760604E-2</v>
      </c>
      <c r="BL20" s="1">
        <f t="shared" si="10"/>
        <v>5.859700490760604E-2</v>
      </c>
      <c r="BM20" s="1">
        <f t="shared" si="11"/>
        <v>5.859700490760604E-2</v>
      </c>
      <c r="BN20" s="1">
        <f t="shared" si="12"/>
        <v>5.859700490760604E-2</v>
      </c>
      <c r="BO20" s="1">
        <f t="shared" si="13"/>
        <v>5.859700490760604E-2</v>
      </c>
      <c r="BP20" s="1">
        <f t="shared" si="14"/>
        <v>5.859700490760604E-2</v>
      </c>
      <c r="BQ20" s="1">
        <f t="shared" si="15"/>
        <v>5.859700490760604E-2</v>
      </c>
      <c r="BR20" s="1">
        <f t="shared" si="16"/>
        <v>5.859700490760604E-2</v>
      </c>
      <c r="BS20" s="1">
        <f t="shared" si="17"/>
        <v>5.859700490760604E-2</v>
      </c>
      <c r="BV20" s="1" t="s">
        <v>30</v>
      </c>
      <c r="BW20" s="1">
        <f>((AJ20-AI20)/BE$154)*$BD20</f>
        <v>0</v>
      </c>
      <c r="BX20" s="1">
        <f>((AK20-AJ20)/BF$154)*$BD20</f>
        <v>0</v>
      </c>
      <c r="BY20" s="1">
        <f>((AL20-AK20)/BG$154)*$BD20</f>
        <v>0</v>
      </c>
      <c r="BZ20" s="1">
        <f>((AM20-AL20)/BH$154)*$BD20</f>
        <v>0</v>
      </c>
      <c r="CA20" s="1">
        <f>((AN20-AM20)/BI$154)*$BD20</f>
        <v>0</v>
      </c>
      <c r="CB20" s="1">
        <f>((AO20-AN20)/BJ$154)*$BD20</f>
        <v>0</v>
      </c>
      <c r="CC20" s="1">
        <f>((AP20-AO20)/BK$154)*$BD20</f>
        <v>0</v>
      </c>
      <c r="CD20" s="1">
        <f>((AQ20-AP20)/BL$154)*$BD20</f>
        <v>0</v>
      </c>
      <c r="CE20" s="1">
        <f>((AR20-AQ20)/BM$154)*$BD20</f>
        <v>0</v>
      </c>
      <c r="CF20" s="1">
        <f>((AS20-AR20)/BN$154)*$BD20</f>
        <v>0</v>
      </c>
      <c r="CG20" s="1">
        <f>((AT20-AS20)/BO$154)*$BD20</f>
        <v>0</v>
      </c>
      <c r="CH20" s="1">
        <f>((AU20-AT20)/BP$154)*$BD20</f>
        <v>0</v>
      </c>
      <c r="CI20" s="1">
        <f>((AV20-AU20)/BQ$154)*$BD20</f>
        <v>0</v>
      </c>
      <c r="CJ20" s="1">
        <f>((AW20-AV20)/BR$154)*$BD20</f>
        <v>0</v>
      </c>
    </row>
    <row r="21" spans="1:88" x14ac:dyDescent="0.35">
      <c r="A21" s="1" t="s">
        <v>31</v>
      </c>
      <c r="B21" s="1">
        <v>0.93891373671143641</v>
      </c>
      <c r="C21" s="1">
        <v>1</v>
      </c>
      <c r="D21" s="1">
        <v>1.0752318447401019</v>
      </c>
      <c r="E21" s="1">
        <v>1.0089257089727111</v>
      </c>
      <c r="F21" s="1">
        <v>1.0555556814035061</v>
      </c>
      <c r="G21" s="1">
        <v>0.97678241908420915</v>
      </c>
      <c r="H21" s="1">
        <v>0.98802952184387227</v>
      </c>
      <c r="I21" s="1">
        <v>1.0211574494842921</v>
      </c>
      <c r="J21" s="1">
        <v>1.016711235870922</v>
      </c>
      <c r="K21" s="1">
        <v>1.037722572043474</v>
      </c>
      <c r="L21" s="1">
        <v>1.0717049337512681</v>
      </c>
      <c r="M21" s="1">
        <v>1</v>
      </c>
      <c r="N21" s="1">
        <v>1.0433929269835329</v>
      </c>
      <c r="O21" s="1">
        <v>1.005110124669877</v>
      </c>
      <c r="P21" s="1">
        <v>0.92701976457589985</v>
      </c>
      <c r="Q21" s="1">
        <v>1.0156827699605859</v>
      </c>
      <c r="S21" s="1">
        <f t="shared" si="0"/>
        <v>100</v>
      </c>
      <c r="T21" s="1">
        <f t="shared" si="18"/>
        <v>107.52318447401019</v>
      </c>
      <c r="U21" s="1">
        <f t="shared" si="19"/>
        <v>108.48290512644434</v>
      </c>
      <c r="V21" s="1">
        <f t="shared" si="20"/>
        <v>114.50974684137586</v>
      </c>
      <c r="W21" s="1">
        <f t="shared" si="21"/>
        <v>111.85110752843948</v>
      </c>
      <c r="X21" s="1">
        <f t="shared" si="22"/>
        <v>110.51219628903161</v>
      </c>
      <c r="Y21" s="1">
        <f t="shared" si="23"/>
        <v>112.85035249941497</v>
      </c>
      <c r="Z21" s="1">
        <f t="shared" si="24"/>
        <v>114.73622135814939</v>
      </c>
      <c r="AA21" s="1">
        <f t="shared" si="25"/>
        <v>119.06436673432816</v>
      </c>
      <c r="AB21" s="1">
        <f t="shared" si="26"/>
        <v>127.60186926314985</v>
      </c>
      <c r="AC21" s="1">
        <f t="shared" si="27"/>
        <v>127.60186926314985</v>
      </c>
      <c r="AD21" s="1">
        <f t="shared" si="28"/>
        <v>133.13888785904803</v>
      </c>
      <c r="AE21" s="1">
        <f t="shared" si="29"/>
        <v>115.65605893637847</v>
      </c>
      <c r="AF21" s="1">
        <f t="shared" si="30"/>
        <v>0.86463260913126261</v>
      </c>
      <c r="AH21" s="1" t="str">
        <f t="shared" si="31"/>
        <v>C1040.21535</v>
      </c>
      <c r="AI21" s="1">
        <f t="shared" si="32"/>
        <v>86.463260913126263</v>
      </c>
      <c r="AJ21" s="1">
        <f t="shared" si="33"/>
        <v>92.968051533865506</v>
      </c>
      <c r="AK21" s="1">
        <f t="shared" si="34"/>
        <v>93.797857305616787</v>
      </c>
      <c r="AL21" s="1">
        <f t="shared" si="35"/>
        <v>99.008861182419167</v>
      </c>
      <c r="AM21" s="1">
        <f t="shared" si="36"/>
        <v>96.710114936536044</v>
      </c>
      <c r="AN21" s="1">
        <f t="shared" si="37"/>
        <v>95.552448618211642</v>
      </c>
      <c r="AO21" s="1">
        <f t="shared" si="38"/>
        <v>97.57409472295187</v>
      </c>
      <c r="AP21" s="1">
        <f t="shared" si="39"/>
        <v>99.204678434758804</v>
      </c>
      <c r="AQ21" s="1">
        <f t="shared" si="40"/>
        <v>102.94693406406367</v>
      </c>
      <c r="AR21" s="1">
        <f t="shared" si="41"/>
        <v>110.32873715102352</v>
      </c>
      <c r="AS21" s="1">
        <f t="shared" si="42"/>
        <v>110.32873715102352</v>
      </c>
      <c r="AT21" s="1">
        <f t="shared" si="43"/>
        <v>115.11622398640327</v>
      </c>
      <c r="AU21" s="1">
        <f t="shared" ref="AU21:AW21" si="64">AT21*O21</f>
        <v>115.70448224249928</v>
      </c>
      <c r="AV21" s="1">
        <f t="shared" si="64"/>
        <v>107.26034188881808</v>
      </c>
      <c r="AW21" s="1">
        <f t="shared" si="64"/>
        <v>108.94248115655421</v>
      </c>
      <c r="AX21" s="1" t="b">
        <f t="shared" si="45"/>
        <v>1</v>
      </c>
      <c r="AY21" s="1" t="s">
        <v>31</v>
      </c>
      <c r="AZ21" s="1" t="str">
        <f t="shared" si="46"/>
        <v>C10</v>
      </c>
      <c r="BA21" s="1" t="str">
        <f t="shared" si="47"/>
        <v>C1040</v>
      </c>
      <c r="BB21" s="1" t="s">
        <v>196</v>
      </c>
      <c r="BC21" s="1" t="s">
        <v>197</v>
      </c>
      <c r="BD21" s="1">
        <v>1.4418600783660212E-2</v>
      </c>
      <c r="BE21" s="1">
        <f t="shared" si="3"/>
        <v>1.2466792415598196</v>
      </c>
      <c r="BF21" s="1">
        <f t="shared" si="4"/>
        <v>1.3404692207015561</v>
      </c>
      <c r="BG21" s="1">
        <f t="shared" si="5"/>
        <v>1.352433858852415</v>
      </c>
      <c r="BH21" s="1">
        <f t="shared" si="6"/>
        <v>1.427569243434134</v>
      </c>
      <c r="BI21" s="1">
        <f t="shared" si="7"/>
        <v>1.3944245390118077</v>
      </c>
      <c r="BJ21" s="1">
        <f t="shared" si="8"/>
        <v>1.3777326105271985</v>
      </c>
      <c r="BK21" s="1">
        <f t="shared" si="9"/>
        <v>1.4068819186372896</v>
      </c>
      <c r="BL21" s="1">
        <f t="shared" si="10"/>
        <v>1.4303926542221725</v>
      </c>
      <c r="BM21" s="1">
        <f t="shared" si="11"/>
        <v>1.4843507441715245</v>
      </c>
      <c r="BN21" s="1">
        <f t="shared" si="12"/>
        <v>1.5907860159459892</v>
      </c>
      <c r="BO21" s="1">
        <f t="shared" si="13"/>
        <v>1.5907860159459892</v>
      </c>
      <c r="BP21" s="1">
        <f t="shared" si="14"/>
        <v>1.6598148773823587</v>
      </c>
      <c r="BQ21" s="1">
        <f t="shared" si="15"/>
        <v>1.6682967383346992</v>
      </c>
      <c r="BR21" s="1">
        <f t="shared" si="16"/>
        <v>1.5465440496137746</v>
      </c>
      <c r="BS21" s="1">
        <f t="shared" si="17"/>
        <v>1.5707981441777803</v>
      </c>
      <c r="BV21" s="1" t="s">
        <v>31</v>
      </c>
      <c r="BW21" s="1">
        <f>((AJ21-AI21)/BE$154)*$BD21</f>
        <v>9.4216219235758881E-4</v>
      </c>
      <c r="BX21" s="1">
        <f>((AK21-AJ21)/BF$154)*$BD21</f>
        <v>1.2025588450434347E-4</v>
      </c>
      <c r="BY21" s="1">
        <f>((AL21-AK21)/BG$154)*$BD21</f>
        <v>7.5552541870316161E-4</v>
      </c>
      <c r="BZ21" s="1">
        <f>((AM21-AL21)/BH$154)*$BD21</f>
        <v>-3.3253737339267571E-4</v>
      </c>
      <c r="CA21" s="1">
        <f>((AN21-AM21)/BI$154)*$BD21</f>
        <v>-1.6728866496562651E-4</v>
      </c>
      <c r="CB21" s="1">
        <f>((AO21-AN21)/BJ$154)*$BD21</f>
        <v>2.9198347124343295E-4</v>
      </c>
      <c r="CC21" s="1">
        <f>((AP21-AO21)/BK$154)*$BD21</f>
        <v>2.3543525462493687E-4</v>
      </c>
      <c r="CD21" s="1">
        <f>((AQ21-AP21)/BL$154)*$BD21</f>
        <v>5.3954792759224382E-4</v>
      </c>
      <c r="CE21" s="1">
        <f>((AR21-AQ21)/BM$154)*$BD21</f>
        <v>1.0600466616249994E-3</v>
      </c>
      <c r="CF21" s="1">
        <f>((AS21-AR21)/BN$154)*$BD21</f>
        <v>0</v>
      </c>
      <c r="CG21" s="1">
        <f>((AT21-AS21)/BO$154)*$BD21</f>
        <v>6.8535417862701866E-4</v>
      </c>
      <c r="CH21" s="1">
        <f>((AU21-AT21)/BP$154)*$BD21</f>
        <v>8.4190918893166044E-5</v>
      </c>
      <c r="CI21" s="1">
        <f>((AV21-AU21)/BQ$154)*$BD21</f>
        <v>-1.2043262590058995E-3</v>
      </c>
      <c r="CJ21" s="1">
        <f>((AW21-AV21)/BR$154)*$BD21</f>
        <v>2.3948104602302292E-4</v>
      </c>
    </row>
    <row r="22" spans="1:88" x14ac:dyDescent="0.35">
      <c r="A22" s="1" t="s">
        <v>32</v>
      </c>
      <c r="B22" s="1">
        <v>1.000704341753093</v>
      </c>
      <c r="C22" s="1">
        <v>1</v>
      </c>
      <c r="D22" s="1">
        <v>1.0024201791980309</v>
      </c>
      <c r="E22" s="1">
        <v>1.0160872809988619</v>
      </c>
      <c r="F22" s="1">
        <v>1.018755302078779</v>
      </c>
      <c r="G22" s="1">
        <v>1</v>
      </c>
      <c r="H22" s="1">
        <v>0.96401033965109328</v>
      </c>
      <c r="I22" s="1">
        <v>0.93780717550231762</v>
      </c>
      <c r="J22" s="1">
        <v>1</v>
      </c>
      <c r="K22" s="1">
        <v>1.040408823806912</v>
      </c>
      <c r="L22" s="1">
        <v>1.02201595353518</v>
      </c>
      <c r="M22" s="1">
        <v>1.021908810317518</v>
      </c>
      <c r="N22" s="1">
        <v>1.078827917087861</v>
      </c>
      <c r="O22" s="1">
        <v>1.074058900075278</v>
      </c>
      <c r="P22" s="1">
        <v>1</v>
      </c>
      <c r="Q22" s="1">
        <v>1.0791667744810649</v>
      </c>
      <c r="S22" s="1">
        <f t="shared" si="0"/>
        <v>100</v>
      </c>
      <c r="T22" s="1">
        <f t="shared" si="18"/>
        <v>100.24201791980309</v>
      </c>
      <c r="U22" s="1">
        <f t="shared" si="19"/>
        <v>101.85463942997191</v>
      </c>
      <c r="V22" s="1">
        <f t="shared" si="20"/>
        <v>103.76495396060615</v>
      </c>
      <c r="W22" s="1">
        <f t="shared" si="21"/>
        <v>103.76495396060615</v>
      </c>
      <c r="X22" s="1">
        <f t="shared" si="22"/>
        <v>100.03048851144399</v>
      </c>
      <c r="Y22" s="1">
        <f t="shared" si="23"/>
        <v>93.809309895034318</v>
      </c>
      <c r="Z22" s="1">
        <f t="shared" si="24"/>
        <v>93.809309895034318</v>
      </c>
      <c r="AA22" s="1">
        <f t="shared" si="25"/>
        <v>97.600033770030763</v>
      </c>
      <c r="AB22" s="1">
        <f t="shared" si="26"/>
        <v>99.748791578543759</v>
      </c>
      <c r="AC22" s="1">
        <f t="shared" si="27"/>
        <v>101.93416893263971</v>
      </c>
      <c r="AD22" s="1">
        <f t="shared" si="28"/>
        <v>109.96942714968185</v>
      </c>
      <c r="AE22" s="1">
        <f t="shared" si="29"/>
        <v>100.54400791694967</v>
      </c>
      <c r="AF22" s="1">
        <f t="shared" si="30"/>
        <v>0.99458935516675417</v>
      </c>
      <c r="AH22" s="1" t="str">
        <f t="shared" si="31"/>
        <v>C1040.21539</v>
      </c>
      <c r="AI22" s="1">
        <f t="shared" si="32"/>
        <v>99.45893551667541</v>
      </c>
      <c r="AJ22" s="1">
        <f t="shared" si="33"/>
        <v>99.699643963471175</v>
      </c>
      <c r="AK22" s="1">
        <f t="shared" si="34"/>
        <v>101.30354015139801</v>
      </c>
      <c r="AL22" s="1">
        <f t="shared" si="35"/>
        <v>103.20351864858721</v>
      </c>
      <c r="AM22" s="1">
        <f t="shared" si="36"/>
        <v>103.20351864858721</v>
      </c>
      <c r="AN22" s="1">
        <f t="shared" si="37"/>
        <v>99.489259065612487</v>
      </c>
      <c r="AO22" s="1">
        <f t="shared" si="38"/>
        <v>93.301741037140388</v>
      </c>
      <c r="AP22" s="1">
        <f t="shared" si="39"/>
        <v>93.301741037140388</v>
      </c>
      <c r="AQ22" s="1">
        <f t="shared" si="40"/>
        <v>97.071954651588328</v>
      </c>
      <c r="AR22" s="1">
        <f t="shared" si="41"/>
        <v>99.209086294766792</v>
      </c>
      <c r="AS22" s="1">
        <f t="shared" si="42"/>
        <v>101.38263934817311</v>
      </c>
      <c r="AT22" s="1">
        <f t="shared" si="43"/>
        <v>109.37442163685942</v>
      </c>
      <c r="AU22" s="1">
        <f t="shared" ref="AU22:AW22" si="65">AT22*O22</f>
        <v>117.47457099965493</v>
      </c>
      <c r="AV22" s="1">
        <f t="shared" si="65"/>
        <v>117.47457099965493</v>
      </c>
      <c r="AW22" s="1">
        <f t="shared" si="65"/>
        <v>126.77465386924446</v>
      </c>
      <c r="AX22" s="1" t="b">
        <f t="shared" si="45"/>
        <v>1</v>
      </c>
      <c r="AY22" s="1" t="s">
        <v>32</v>
      </c>
      <c r="AZ22" s="1" t="str">
        <f t="shared" si="46"/>
        <v>C10</v>
      </c>
      <c r="BA22" s="1" t="str">
        <f t="shared" si="47"/>
        <v>C1040</v>
      </c>
      <c r="BB22" s="1" t="s">
        <v>198</v>
      </c>
      <c r="BC22" s="1" t="s">
        <v>199</v>
      </c>
      <c r="BD22" s="1">
        <v>1.4418600783660212E-2</v>
      </c>
      <c r="BE22" s="1">
        <f t="shared" si="3"/>
        <v>1.4340586855827466</v>
      </c>
      <c r="BF22" s="1">
        <f t="shared" si="4"/>
        <v>1.4375293645823495</v>
      </c>
      <c r="BG22" s="1">
        <f t="shared" si="5"/>
        <v>1.4606553034145011</v>
      </c>
      <c r="BH22" s="1">
        <f t="shared" si="6"/>
        <v>1.4880503348630107</v>
      </c>
      <c r="BI22" s="1">
        <f t="shared" si="7"/>
        <v>1.4880503348630107</v>
      </c>
      <c r="BJ22" s="1">
        <f t="shared" si="8"/>
        <v>1.434495908729214</v>
      </c>
      <c r="BK22" s="1">
        <f t="shared" si="9"/>
        <v>1.3452805564349746</v>
      </c>
      <c r="BL22" s="1">
        <f t="shared" si="10"/>
        <v>1.3452805564349746</v>
      </c>
      <c r="BM22" s="1">
        <f t="shared" si="11"/>
        <v>1.3996417614108201</v>
      </c>
      <c r="BN22" s="1">
        <f t="shared" si="12"/>
        <v>1.4304562093959381</v>
      </c>
      <c r="BO22" s="1">
        <f t="shared" si="13"/>
        <v>1.4617958031551095</v>
      </c>
      <c r="BP22" s="1">
        <f t="shared" si="14"/>
        <v>1.5770261215256036</v>
      </c>
      <c r="BQ22" s="1">
        <f t="shared" si="15"/>
        <v>1.6938189414757718</v>
      </c>
      <c r="BR22" s="1">
        <f t="shared" si="16"/>
        <v>1.6938189414757718</v>
      </c>
      <c r="BS22" s="1">
        <f t="shared" si="17"/>
        <v>1.8279131236273403</v>
      </c>
      <c r="BV22" s="1" t="s">
        <v>32</v>
      </c>
      <c r="BW22" s="1">
        <f>((AJ22-AI22)/BE$154)*$BD22</f>
        <v>3.4864519271231242E-5</v>
      </c>
      <c r="BX22" s="1">
        <f>((AK22-AJ22)/BF$154)*$BD22</f>
        <v>2.3243747066885637E-4</v>
      </c>
      <c r="BY22" s="1">
        <f>((AL22-AK22)/BG$154)*$BD22</f>
        <v>2.7547130717099432E-4</v>
      </c>
      <c r="BZ22" s="1">
        <f>((AM22-AL22)/BH$154)*$BD22</f>
        <v>0</v>
      </c>
      <c r="CA22" s="1">
        <f>((AN22-AM22)/BI$154)*$BD22</f>
        <v>-5.3672938146025358E-4</v>
      </c>
      <c r="CB22" s="1">
        <f>((AO22-AN22)/BJ$154)*$BD22</f>
        <v>-8.9365442749771108E-4</v>
      </c>
      <c r="CC22" s="1">
        <f>((AP22-AO22)/BK$154)*$BD22</f>
        <v>0</v>
      </c>
      <c r="CD22" s="1">
        <f>((AQ22-AP22)/BL$154)*$BD22</f>
        <v>5.4357883152768749E-4</v>
      </c>
      <c r="CE22" s="1">
        <f>((AR22-AQ22)/BM$154)*$BD22</f>
        <v>3.068978184756071E-4</v>
      </c>
      <c r="CF22" s="1">
        <f>((AS22-AR22)/BN$154)*$BD22</f>
        <v>3.1186954586792697E-4</v>
      </c>
      <c r="CG22" s="1">
        <f>((AT22-AS22)/BO$154)*$BD22</f>
        <v>1.1440660986787024E-3</v>
      </c>
      <c r="CH22" s="1">
        <f>((AU22-AT22)/BP$154)*$BD22</f>
        <v>1.1592850775295233E-3</v>
      </c>
      <c r="CI22" s="1">
        <f>((AV22-AU22)/BQ$154)*$BD22</f>
        <v>0</v>
      </c>
      <c r="CJ22" s="1">
        <f>((AW22-AV22)/BR$154)*$BD22</f>
        <v>1.3240244826503056E-3</v>
      </c>
    </row>
    <row r="23" spans="1:88" x14ac:dyDescent="0.35">
      <c r="A23" s="1" t="s">
        <v>33</v>
      </c>
      <c r="B23" s="1">
        <v>0.99033691510817456</v>
      </c>
      <c r="C23" s="1">
        <v>1</v>
      </c>
      <c r="D23" s="1">
        <v>1.0292293574015901</v>
      </c>
      <c r="E23" s="1">
        <v>1.020397226223027</v>
      </c>
      <c r="F23" s="1">
        <v>1</v>
      </c>
      <c r="G23" s="1">
        <v>0.98921891563370501</v>
      </c>
      <c r="H23" s="1">
        <v>0.98683314823087365</v>
      </c>
      <c r="I23" s="1">
        <v>0.95464230894822233</v>
      </c>
      <c r="J23" s="1">
        <v>1.02092909827294</v>
      </c>
      <c r="K23" s="1">
        <v>1.0308590105962701</v>
      </c>
      <c r="L23" s="1">
        <v>0.97796229805154378</v>
      </c>
      <c r="M23" s="1">
        <v>1.0034603709375329</v>
      </c>
      <c r="N23" s="1">
        <v>1</v>
      </c>
      <c r="O23" s="1">
        <v>1</v>
      </c>
      <c r="P23" s="1">
        <v>1</v>
      </c>
      <c r="Q23" s="1">
        <v>1.0678009768054939</v>
      </c>
      <c r="S23" s="1">
        <f t="shared" si="0"/>
        <v>100</v>
      </c>
      <c r="T23" s="1">
        <f t="shared" si="18"/>
        <v>102.92293574015901</v>
      </c>
      <c r="U23" s="1">
        <f t="shared" si="19"/>
        <v>105.0222781439891</v>
      </c>
      <c r="V23" s="1">
        <f t="shared" si="20"/>
        <v>105.0222781439891</v>
      </c>
      <c r="W23" s="1">
        <f t="shared" si="21"/>
        <v>103.89002410297826</v>
      </c>
      <c r="X23" s="1">
        <f t="shared" si="22"/>
        <v>102.52211955532339</v>
      </c>
      <c r="Y23" s="1">
        <f t="shared" si="23"/>
        <v>97.871952930559615</v>
      </c>
      <c r="Z23" s="1">
        <f t="shared" si="24"/>
        <v>99.920324651607856</v>
      </c>
      <c r="AA23" s="1">
        <f t="shared" si="25"/>
        <v>103.00376700881456</v>
      </c>
      <c r="AB23" s="1">
        <f t="shared" si="26"/>
        <v>100.73380069190608</v>
      </c>
      <c r="AC23" s="1">
        <f t="shared" si="27"/>
        <v>101.08237700824759</v>
      </c>
      <c r="AD23" s="1">
        <f t="shared" si="28"/>
        <v>101.08237700824759</v>
      </c>
      <c r="AE23" s="1">
        <f t="shared" si="29"/>
        <v>101.92285291548517</v>
      </c>
      <c r="AF23" s="1">
        <f t="shared" si="30"/>
        <v>0.98113423181865211</v>
      </c>
      <c r="AH23" s="1" t="str">
        <f t="shared" si="31"/>
        <v>C1040.21545</v>
      </c>
      <c r="AI23" s="1">
        <f t="shared" si="32"/>
        <v>98.113423181865215</v>
      </c>
      <c r="AJ23" s="1">
        <f t="shared" si="33"/>
        <v>100.98121549394141</v>
      </c>
      <c r="AK23" s="1">
        <f t="shared" si="34"/>
        <v>103.04095219064756</v>
      </c>
      <c r="AL23" s="1">
        <f t="shared" si="35"/>
        <v>103.04095219064756</v>
      </c>
      <c r="AM23" s="1">
        <f t="shared" si="36"/>
        <v>101.93005899189683</v>
      </c>
      <c r="AN23" s="1">
        <f t="shared" si="37"/>
        <v>100.58796101433222</v>
      </c>
      <c r="AO23" s="1">
        <f t="shared" si="38"/>
        <v>96.02552335511588</v>
      </c>
      <c r="AP23" s="1">
        <f t="shared" si="39"/>
        <v>98.035250970125603</v>
      </c>
      <c r="AQ23" s="1">
        <f t="shared" si="40"/>
        <v>101.0605218186207</v>
      </c>
      <c r="AR23" s="1">
        <f t="shared" si="41"/>
        <v>98.833380160026479</v>
      </c>
      <c r="AS23" s="1">
        <f t="shared" si="42"/>
        <v>99.175380316390388</v>
      </c>
      <c r="AT23" s="1">
        <f t="shared" si="43"/>
        <v>99.175380316390388</v>
      </c>
      <c r="AU23" s="1">
        <f t="shared" ref="AU23:AW23" si="66">AT23*O23</f>
        <v>99.175380316390388</v>
      </c>
      <c r="AV23" s="1">
        <f t="shared" si="66"/>
        <v>99.175380316390388</v>
      </c>
      <c r="AW23" s="1">
        <f t="shared" si="66"/>
        <v>105.89956797689801</v>
      </c>
      <c r="AX23" s="1" t="b">
        <f t="shared" si="45"/>
        <v>1</v>
      </c>
      <c r="AY23" s="1" t="s">
        <v>33</v>
      </c>
      <c r="AZ23" s="1" t="str">
        <f t="shared" si="46"/>
        <v>C10</v>
      </c>
      <c r="BA23" s="1" t="str">
        <f t="shared" si="47"/>
        <v>C1040</v>
      </c>
      <c r="BB23" s="1" t="s">
        <v>200</v>
      </c>
      <c r="BC23" s="1" t="s">
        <v>201</v>
      </c>
      <c r="BD23" s="1">
        <v>1.4418600783660212E-2</v>
      </c>
      <c r="BE23" s="1">
        <f t="shared" si="3"/>
        <v>1.4146582803776278</v>
      </c>
      <c r="BF23" s="1">
        <f t="shared" si="4"/>
        <v>1.4560078328559043</v>
      </c>
      <c r="BG23" s="1">
        <f t="shared" si="5"/>
        <v>1.4857063540051654</v>
      </c>
      <c r="BH23" s="1">
        <f t="shared" si="6"/>
        <v>1.4857063540051654</v>
      </c>
      <c r="BI23" s="1">
        <f t="shared" si="7"/>
        <v>1.4696888284590952</v>
      </c>
      <c r="BJ23" s="1">
        <f t="shared" si="8"/>
        <v>1.4503376535080335</v>
      </c>
      <c r="BK23" s="1">
        <f t="shared" si="9"/>
        <v>1.3845536862994559</v>
      </c>
      <c r="BL23" s="1">
        <f t="shared" si="10"/>
        <v>1.4135311464641784</v>
      </c>
      <c r="BM23" s="1">
        <f t="shared" si="11"/>
        <v>1.4571513190910743</v>
      </c>
      <c r="BN23" s="1">
        <f t="shared" si="12"/>
        <v>1.4250390526271455</v>
      </c>
      <c r="BO23" s="1">
        <f t="shared" si="13"/>
        <v>1.4299702163497059</v>
      </c>
      <c r="BP23" s="1">
        <f t="shared" si="14"/>
        <v>1.4299702163497059</v>
      </c>
      <c r="BQ23" s="1">
        <f t="shared" si="15"/>
        <v>1.4299702163497059</v>
      </c>
      <c r="BR23" s="1">
        <f t="shared" si="16"/>
        <v>1.4299702163497059</v>
      </c>
      <c r="BS23" s="1">
        <f t="shared" si="17"/>
        <v>1.5269235938209795</v>
      </c>
      <c r="BV23" s="1" t="s">
        <v>33</v>
      </c>
      <c r="BW23" s="1">
        <f>((AJ23-AI23)/BE$154)*$BD23</f>
        <v>4.1537470604470885E-4</v>
      </c>
      <c r="BX23" s="1">
        <f>((AK23-AJ23)/BF$154)*$BD23</f>
        <v>2.9849811454757511E-4</v>
      </c>
      <c r="BY23" s="1">
        <f>((AL23-AK23)/BG$154)*$BD23</f>
        <v>0</v>
      </c>
      <c r="BZ23" s="1">
        <f>((AM23-AL23)/BH$154)*$BD23</f>
        <v>-1.6070216845114882E-4</v>
      </c>
      <c r="CA23" s="1">
        <f>((AN23-AM23)/BI$154)*$BD23</f>
        <v>-1.9393997680161904E-4</v>
      </c>
      <c r="CB23" s="1">
        <f>((AO23-AN23)/BJ$154)*$BD23</f>
        <v>-6.5894638134052967E-4</v>
      </c>
      <c r="CC23" s="1">
        <f>((AP23-AO23)/BK$154)*$BD23</f>
        <v>2.9017874356309319E-4</v>
      </c>
      <c r="CD23" s="1">
        <f>((AQ23-AP23)/BL$154)*$BD23</f>
        <v>4.361750715073304E-4</v>
      </c>
      <c r="CE23" s="1">
        <f>((AR23-AQ23)/BM$154)*$BD23</f>
        <v>-3.1982349736872748E-4</v>
      </c>
      <c r="CF23" s="1">
        <f>((AS23-AR23)/BN$154)*$BD23</f>
        <v>4.9071465398472363E-5</v>
      </c>
      <c r="CG23" s="1">
        <f>((AT23-AS23)/BO$154)*$BD23</f>
        <v>0</v>
      </c>
      <c r="CH23" s="1">
        <f>((AU23-AT23)/BP$154)*$BD23</f>
        <v>0</v>
      </c>
      <c r="CI23" s="1">
        <f>((AV23-AU23)/BQ$154)*$BD23</f>
        <v>0</v>
      </c>
      <c r="CJ23" s="1">
        <f>((AW23-AV23)/BR$154)*$BD23</f>
        <v>9.5730212443151266E-4</v>
      </c>
    </row>
    <row r="24" spans="1:88" x14ac:dyDescent="0.35">
      <c r="A24" s="1" t="s">
        <v>34</v>
      </c>
      <c r="B24" s="1">
        <v>0.98413861216935383</v>
      </c>
      <c r="C24" s="1">
        <v>1</v>
      </c>
      <c r="D24" s="1">
        <v>0.99964350043994454</v>
      </c>
      <c r="E24" s="1">
        <v>0.99975766775442165</v>
      </c>
      <c r="F24" s="1">
        <v>0.999167942357712</v>
      </c>
      <c r="G24" s="1">
        <v>1.000090171017191</v>
      </c>
      <c r="H24" s="1">
        <v>0.99969481500535928</v>
      </c>
      <c r="I24" s="1">
        <v>0.99992330095615156</v>
      </c>
      <c r="J24" s="1">
        <v>0.99959990798546572</v>
      </c>
      <c r="K24" s="1">
        <v>1.001214614762137</v>
      </c>
      <c r="L24" s="1">
        <v>0.99756829358728183</v>
      </c>
      <c r="M24" s="1">
        <v>0.99340761649805609</v>
      </c>
      <c r="N24" s="1">
        <v>1.0079785591136541</v>
      </c>
      <c r="O24" s="1">
        <v>1.025809261509121</v>
      </c>
      <c r="P24" s="1">
        <v>1.002869708878493</v>
      </c>
      <c r="Q24" s="1">
        <v>1.025942441905358</v>
      </c>
      <c r="S24" s="1">
        <f t="shared" si="0"/>
        <v>100</v>
      </c>
      <c r="T24" s="1">
        <f t="shared" si="18"/>
        <v>99.964350043994457</v>
      </c>
      <c r="U24" s="1">
        <f t="shared" si="19"/>
        <v>99.94012545857052</v>
      </c>
      <c r="V24" s="1">
        <f t="shared" si="20"/>
        <v>99.856969513411499</v>
      </c>
      <c r="W24" s="1">
        <f t="shared" si="21"/>
        <v>99.865973717926138</v>
      </c>
      <c r="X24" s="1">
        <f t="shared" si="22"/>
        <v>99.835496121272243</v>
      </c>
      <c r="Y24" s="1">
        <f t="shared" si="23"/>
        <v>99.827838834177612</v>
      </c>
      <c r="Z24" s="1">
        <f t="shared" si="24"/>
        <v>99.787898513031848</v>
      </c>
      <c r="AA24" s="1">
        <f t="shared" si="25"/>
        <v>99.909102367648401</v>
      </c>
      <c r="AB24" s="1">
        <f t="shared" si="26"/>
        <v>99.666152762732068</v>
      </c>
      <c r="AC24" s="1">
        <f t="shared" si="27"/>
        <v>99.009115261556815</v>
      </c>
      <c r="AD24" s="1">
        <f t="shared" si="28"/>
        <v>99.799065340461738</v>
      </c>
      <c r="AE24" s="1">
        <f t="shared" si="29"/>
        <v>99.788507327898614</v>
      </c>
      <c r="AF24" s="1">
        <f t="shared" si="30"/>
        <v>1.002119409115986</v>
      </c>
      <c r="AH24" s="1" t="str">
        <f t="shared" si="31"/>
        <v>C1040.21549</v>
      </c>
      <c r="AI24" s="1">
        <f t="shared" si="32"/>
        <v>100.21194091159859</v>
      </c>
      <c r="AJ24" s="1">
        <f t="shared" si="33"/>
        <v>100.17621539875131</v>
      </c>
      <c r="AK24" s="1">
        <f t="shared" si="34"/>
        <v>100.15193947152019</v>
      </c>
      <c r="AL24" s="1">
        <f t="shared" si="35"/>
        <v>100.06860728489296</v>
      </c>
      <c r="AM24" s="1">
        <f t="shared" si="36"/>
        <v>100.07763057300073</v>
      </c>
      <c r="AN24" s="1">
        <f t="shared" si="37"/>
        <v>100.04708838185064</v>
      </c>
      <c r="AO24" s="1">
        <f t="shared" si="38"/>
        <v>100.03941486583194</v>
      </c>
      <c r="AP24" s="1">
        <f t="shared" si="39"/>
        <v>99.999389894805446</v>
      </c>
      <c r="AQ24" s="1">
        <f t="shared" si="40"/>
        <v>100.12085062997637</v>
      </c>
      <c r="AR24" s="1">
        <f t="shared" si="41"/>
        <v>99.877386115452651</v>
      </c>
      <c r="AS24" s="1">
        <f t="shared" si="42"/>
        <v>99.218956083007868</v>
      </c>
      <c r="AT24" s="1">
        <f t="shared" si="43"/>
        <v>100.01058038931119</v>
      </c>
      <c r="AU24" s="1">
        <f t="shared" ref="AU24:AW24" si="67">AT24*O24</f>
        <v>102.59177961225788</v>
      </c>
      <c r="AV24" s="1">
        <f t="shared" si="67"/>
        <v>102.88618815307157</v>
      </c>
      <c r="AW24" s="1">
        <f t="shared" si="67"/>
        <v>105.55530711209636</v>
      </c>
      <c r="AX24" s="1" t="b">
        <f t="shared" si="45"/>
        <v>1</v>
      </c>
      <c r="AY24" s="1" t="s">
        <v>34</v>
      </c>
      <c r="AZ24" s="1" t="str">
        <f t="shared" si="46"/>
        <v>C10</v>
      </c>
      <c r="BA24" s="1" t="str">
        <f t="shared" si="47"/>
        <v>C1040</v>
      </c>
      <c r="BB24" s="1" t="s">
        <v>202</v>
      </c>
      <c r="BC24" s="1" t="s">
        <v>203</v>
      </c>
      <c r="BD24" s="1">
        <v>1.4418600783660212E-2</v>
      </c>
      <c r="BE24" s="1">
        <f t="shared" si="3"/>
        <v>1.4449159697600862</v>
      </c>
      <c r="BF24" s="1">
        <f t="shared" si="4"/>
        <v>1.4444008578525498</v>
      </c>
      <c r="BG24" s="1">
        <f t="shared" si="5"/>
        <v>1.444050832949151</v>
      </c>
      <c r="BH24" s="1">
        <f t="shared" si="6"/>
        <v>1.4428492994177435</v>
      </c>
      <c r="BI24" s="1">
        <f t="shared" si="7"/>
        <v>1.4429794026067255</v>
      </c>
      <c r="BJ24" s="1">
        <f t="shared" si="8"/>
        <v>1.4425390269454741</v>
      </c>
      <c r="BK24" s="1">
        <f t="shared" si="9"/>
        <v>1.4424283855813935</v>
      </c>
      <c r="BL24" s="1">
        <f t="shared" si="10"/>
        <v>1.4418512815027849</v>
      </c>
      <c r="BM24" s="1">
        <f t="shared" si="11"/>
        <v>1.4436025753541044</v>
      </c>
      <c r="BN24" s="1">
        <f t="shared" si="12"/>
        <v>1.4400921577141992</v>
      </c>
      <c r="BO24" s="1">
        <f t="shared" si="13"/>
        <v>1.4305985179324054</v>
      </c>
      <c r="BP24" s="1">
        <f t="shared" si="14"/>
        <v>1.4420126327756349</v>
      </c>
      <c r="BQ24" s="1">
        <f t="shared" si="15"/>
        <v>1.4792299139143972</v>
      </c>
      <c r="BR24" s="1">
        <f t="shared" si="16"/>
        <v>1.4834748731316898</v>
      </c>
      <c r="BS24" s="1">
        <f t="shared" si="17"/>
        <v>1.5219598338459668</v>
      </c>
      <c r="BV24" s="1" t="s">
        <v>34</v>
      </c>
      <c r="BW24" s="1">
        <f>((AJ24-AI24)/BE$154)*$BD24</f>
        <v>-5.1745289694606696E-6</v>
      </c>
      <c r="BX24" s="1">
        <f>((AK24-AJ24)/BF$154)*$BD24</f>
        <v>-3.5180800142903341E-6</v>
      </c>
      <c r="BY24" s="1">
        <f>((AL24-AK24)/BG$154)*$BD24</f>
        <v>-1.2082045356608488E-5</v>
      </c>
      <c r="BZ24" s="1">
        <f>((AM24-AL24)/BH$154)*$BD24</f>
        <v>1.3053117681418263E-6</v>
      </c>
      <c r="CA24" s="1">
        <f>((AN24-AM24)/BI$154)*$BD24</f>
        <v>-4.4135018025045341E-6</v>
      </c>
      <c r="CB24" s="1">
        <f>((AO24-AN24)/BJ$154)*$BD24</f>
        <v>-1.1082750034876001E-6</v>
      </c>
      <c r="CC24" s="1">
        <f>((AP24-AO24)/BK$154)*$BD24</f>
        <v>-5.7790895228167509E-6</v>
      </c>
      <c r="CD24" s="1">
        <f>((AQ24-AP24)/BL$154)*$BD24</f>
        <v>1.7511868358783783E-5</v>
      </c>
      <c r="CE24" s="1">
        <f>((AR24-AQ24)/BM$154)*$BD24</f>
        <v>-3.49621552898011E-5</v>
      </c>
      <c r="CF24" s="1">
        <f>((AS24-AR24)/BN$154)*$BD24</f>
        <v>-9.4474011058782379E-5</v>
      </c>
      <c r="CG24" s="1">
        <f>((AT24-AS24)/BO$154)*$BD24</f>
        <v>1.1332522571514482E-4</v>
      </c>
      <c r="CH24" s="1">
        <f>((AU24-AT24)/BP$154)*$BD24</f>
        <v>3.694185881357861E-4</v>
      </c>
      <c r="CI24" s="1">
        <f>((AV24-AU24)/BQ$154)*$BD24</f>
        <v>4.1989346662501555E-5</v>
      </c>
      <c r="CJ24" s="1">
        <f>((AW24-AV24)/BR$154)*$BD24</f>
        <v>3.799943396645121E-4</v>
      </c>
    </row>
    <row r="25" spans="1:88" x14ac:dyDescent="0.35">
      <c r="A25" s="1" t="s">
        <v>35</v>
      </c>
      <c r="B25" s="1">
        <v>0.998120930269082</v>
      </c>
      <c r="C25" s="1">
        <v>1</v>
      </c>
      <c r="D25" s="1">
        <v>1</v>
      </c>
      <c r="E25" s="1">
        <v>0.99040736019000675</v>
      </c>
      <c r="F25" s="1">
        <v>1.0146081822867363</v>
      </c>
      <c r="G25" s="1">
        <v>1</v>
      </c>
      <c r="H25" s="1">
        <v>0.99294224141337928</v>
      </c>
      <c r="I25" s="1">
        <v>1.0047082463369683</v>
      </c>
      <c r="J25" s="1">
        <v>1.008538040509162</v>
      </c>
      <c r="K25" s="1">
        <v>0.99322988595988981</v>
      </c>
      <c r="L25" s="1">
        <v>1.004492367282956</v>
      </c>
      <c r="M25" s="1">
        <v>0.99782713543821755</v>
      </c>
      <c r="N25" s="1">
        <v>1.0011147027400211</v>
      </c>
      <c r="O25" s="1">
        <v>0.9966196066587456</v>
      </c>
      <c r="P25" s="1">
        <v>1.0030148607447658</v>
      </c>
      <c r="Q25" s="1">
        <v>1.0024186187760011</v>
      </c>
      <c r="S25" s="1">
        <f t="shared" si="0"/>
        <v>100</v>
      </c>
      <c r="T25" s="1">
        <f t="shared" si="18"/>
        <v>100</v>
      </c>
      <c r="U25" s="1">
        <f t="shared" si="19"/>
        <v>99.040736019000676</v>
      </c>
      <c r="V25" s="1">
        <f t="shared" si="20"/>
        <v>100.48754114457877</v>
      </c>
      <c r="W25" s="1">
        <f t="shared" si="21"/>
        <v>100.48754114457877</v>
      </c>
      <c r="X25" s="1">
        <f t="shared" si="22"/>
        <v>99.778324338217217</v>
      </c>
      <c r="Y25" s="1">
        <f t="shared" si="23"/>
        <v>100.24810526829147</v>
      </c>
      <c r="Z25" s="1">
        <f t="shared" si="24"/>
        <v>101.10402765203887</v>
      </c>
      <c r="AA25" s="1">
        <f t="shared" si="25"/>
        <v>100.41954185492011</v>
      </c>
      <c r="AB25" s="1">
        <f t="shared" si="26"/>
        <v>100.87066331931858</v>
      </c>
      <c r="AC25" s="1">
        <f t="shared" si="27"/>
        <v>100.65148502966855</v>
      </c>
      <c r="AD25" s="1">
        <f t="shared" si="28"/>
        <v>100.76368151581832</v>
      </c>
      <c r="AE25" s="1">
        <f t="shared" si="29"/>
        <v>100.32097060720263</v>
      </c>
      <c r="AF25" s="1">
        <f t="shared" si="30"/>
        <v>0.99680056317976273</v>
      </c>
      <c r="AH25" s="1" t="str">
        <f t="shared" si="31"/>
        <v>C1050.22110</v>
      </c>
      <c r="AI25" s="1">
        <f t="shared" si="32"/>
        <v>99.680056317976266</v>
      </c>
      <c r="AJ25" s="1">
        <f t="shared" si="33"/>
        <v>99.680056317976266</v>
      </c>
      <c r="AK25" s="1">
        <f t="shared" si="34"/>
        <v>98.723861441478078</v>
      </c>
      <c r="AL25" s="1">
        <f t="shared" si="35"/>
        <v>100.1660376054657</v>
      </c>
      <c r="AM25" s="1">
        <f t="shared" si="36"/>
        <v>100.1660376054657</v>
      </c>
      <c r="AN25" s="1">
        <f t="shared" si="37"/>
        <v>99.459089893467947</v>
      </c>
      <c r="AO25" s="1">
        <f t="shared" si="38"/>
        <v>99.92736778913708</v>
      </c>
      <c r="AP25" s="1">
        <f t="shared" si="39"/>
        <v>100.78055170329465</v>
      </c>
      <c r="AQ25" s="1">
        <f t="shared" si="40"/>
        <v>100.09825587523812</v>
      </c>
      <c r="AR25" s="1">
        <f t="shared" si="41"/>
        <v>100.54793400501299</v>
      </c>
      <c r="AS25" s="1">
        <f t="shared" si="42"/>
        <v>100.32945696245307</v>
      </c>
      <c r="AT25" s="1">
        <f t="shared" si="43"/>
        <v>100.44129448303394</v>
      </c>
      <c r="AU25" s="1">
        <f t="shared" ref="AU25:AW25" si="68">AT25*O25</f>
        <v>100.10176339997652</v>
      </c>
      <c r="AV25" s="1">
        <f t="shared" si="68"/>
        <v>100.40355627693293</v>
      </c>
      <c r="AW25" s="1">
        <f t="shared" si="68"/>
        <v>100.64639420332161</v>
      </c>
      <c r="AX25" s="1" t="b">
        <f t="shared" si="45"/>
        <v>1</v>
      </c>
      <c r="AY25" s="1" t="s">
        <v>35</v>
      </c>
      <c r="AZ25" s="1" t="str">
        <f t="shared" si="46"/>
        <v>C10</v>
      </c>
      <c r="BA25" s="1" t="str">
        <f t="shared" si="47"/>
        <v>C1050</v>
      </c>
      <c r="BB25" s="1" t="s">
        <v>212</v>
      </c>
      <c r="BC25" s="1" t="s">
        <v>213</v>
      </c>
      <c r="BD25" s="1">
        <v>3.2766524750225986E-3</v>
      </c>
      <c r="BE25" s="1">
        <f t="shared" si="3"/>
        <v>0.32661690324468895</v>
      </c>
      <c r="BF25" s="1">
        <f t="shared" si="4"/>
        <v>0.32661690324468895</v>
      </c>
      <c r="BG25" s="1">
        <f t="shared" si="5"/>
        <v>0.32348378493600721</v>
      </c>
      <c r="BH25" s="1">
        <f t="shared" si="6"/>
        <v>0.32820929503315588</v>
      </c>
      <c r="BI25" s="1">
        <f t="shared" si="7"/>
        <v>0.32820929503315588</v>
      </c>
      <c r="BJ25" s="1">
        <f t="shared" si="8"/>
        <v>0.32589287306292686</v>
      </c>
      <c r="BK25" s="1">
        <f t="shared" si="9"/>
        <v>0.32742725698876951</v>
      </c>
      <c r="BL25" s="1">
        <f t="shared" si="10"/>
        <v>0.33022284417274339</v>
      </c>
      <c r="BM25" s="1">
        <f t="shared" si="11"/>
        <v>0.3279871978590444</v>
      </c>
      <c r="BN25" s="1">
        <f t="shared" si="12"/>
        <v>0.32946063681593474</v>
      </c>
      <c r="BO25" s="1">
        <f t="shared" si="13"/>
        <v>0.32874476347369513</v>
      </c>
      <c r="BP25" s="1">
        <f t="shared" si="14"/>
        <v>0.32911121616230687</v>
      </c>
      <c r="BQ25" s="1">
        <f t="shared" si="15"/>
        <v>0.32799869079865962</v>
      </c>
      <c r="BR25" s="1">
        <f t="shared" si="16"/>
        <v>0.32898756117588307</v>
      </c>
      <c r="BS25" s="1">
        <f t="shared" si="17"/>
        <v>0.32978325666841385</v>
      </c>
      <c r="BV25" s="1" t="s">
        <v>35</v>
      </c>
      <c r="BW25" s="1">
        <f>((AJ25-AI25)/BE$154)*$BD25</f>
        <v>0</v>
      </c>
      <c r="BX25" s="1">
        <f>((AK25-AJ25)/BF$154)*$BD25</f>
        <v>-3.1490790504201586E-5</v>
      </c>
      <c r="BY25" s="1">
        <f>((AL25-AK25)/BG$154)*$BD25</f>
        <v>4.7517464835109246E-5</v>
      </c>
      <c r="BZ25" s="1">
        <f>((AM25-AL25)/BH$154)*$BD25</f>
        <v>0</v>
      </c>
      <c r="CA25" s="1">
        <f>((AN25-AM25)/BI$154)*$BD25</f>
        <v>-2.3215480419411159E-5</v>
      </c>
      <c r="CB25" s="1">
        <f>((AO25-AN25)/BJ$154)*$BD25</f>
        <v>1.536965279572324E-5</v>
      </c>
      <c r="CC25" s="1">
        <f>((AP25-AO25)/BK$154)*$BD25</f>
        <v>2.7994861245783156E-5</v>
      </c>
      <c r="CD25" s="1">
        <f>((AQ25-AP25)/BL$154)*$BD25</f>
        <v>-2.2355097011732244E-5</v>
      </c>
      <c r="CE25" s="1">
        <f>((AR25-AQ25)/BM$154)*$BD25</f>
        <v>1.4674778589089518E-5</v>
      </c>
      <c r="CF25" s="1">
        <f>((AS25-AR25)/BN$154)*$BD25</f>
        <v>-7.1238668841354078E-6</v>
      </c>
      <c r="CG25" s="1">
        <f>((AT25-AS25)/BO$154)*$BD25</f>
        <v>3.6383315063172394E-6</v>
      </c>
      <c r="CH25" s="1">
        <f>((AU25-AT25)/BP$154)*$BD25</f>
        <v>-1.1042922441633025E-5</v>
      </c>
      <c r="CI25" s="1">
        <f>((AV25-AU25)/BQ$154)*$BD25</f>
        <v>9.781488807799594E-6</v>
      </c>
      <c r="CJ25" s="1">
        <f>((AW25-AV25)/BR$154)*$BD25</f>
        <v>7.8565698820137432E-6</v>
      </c>
    </row>
    <row r="26" spans="1:88" x14ac:dyDescent="0.35">
      <c r="A26" s="1" t="s">
        <v>36</v>
      </c>
      <c r="B26" s="1">
        <v>1.0018204320228314</v>
      </c>
      <c r="C26" s="1">
        <v>1</v>
      </c>
      <c r="D26" s="1">
        <v>1</v>
      </c>
      <c r="E26" s="1">
        <v>1.0027382542774002</v>
      </c>
      <c r="F26" s="1">
        <v>0.99624114174207568</v>
      </c>
      <c r="G26" s="1">
        <v>1.0000002254333769</v>
      </c>
      <c r="H26" s="1">
        <v>0.99997871827104956</v>
      </c>
      <c r="I26" s="1">
        <v>0.99971012294414274</v>
      </c>
      <c r="J26" s="1">
        <v>0.99933060975263399</v>
      </c>
      <c r="K26" s="1">
        <v>1.0006305537191795</v>
      </c>
      <c r="L26" s="1">
        <v>0.99988086194216041</v>
      </c>
      <c r="M26" s="1">
        <v>1.0000411759904002</v>
      </c>
      <c r="N26" s="1">
        <v>1</v>
      </c>
      <c r="O26" s="1">
        <v>0.99995882570499228</v>
      </c>
      <c r="P26" s="1">
        <v>1</v>
      </c>
      <c r="Q26" s="1">
        <v>1.0075508058610789</v>
      </c>
      <c r="S26" s="1">
        <f t="shared" si="0"/>
        <v>100</v>
      </c>
      <c r="T26" s="1">
        <f t="shared" si="18"/>
        <v>100</v>
      </c>
      <c r="U26" s="1">
        <f t="shared" si="19"/>
        <v>100.27382542774002</v>
      </c>
      <c r="V26" s="1">
        <f t="shared" si="20"/>
        <v>99.896910330977292</v>
      </c>
      <c r="W26" s="1">
        <f t="shared" si="21"/>
        <v>99.896932851075121</v>
      </c>
      <c r="X26" s="1">
        <f t="shared" si="22"/>
        <v>99.89480687162721</v>
      </c>
      <c r="Y26" s="1">
        <f t="shared" si="23"/>
        <v>99.865849659115838</v>
      </c>
      <c r="Z26" s="1">
        <f t="shared" si="24"/>
        <v>99.799000433309104</v>
      </c>
      <c r="AA26" s="1">
        <f t="shared" si="25"/>
        <v>99.861929064202727</v>
      </c>
      <c r="AB26" s="1">
        <f t="shared" si="26"/>
        <v>99.8500317079219</v>
      </c>
      <c r="AC26" s="1">
        <f t="shared" si="27"/>
        <v>99.854143131868966</v>
      </c>
      <c r="AD26" s="1">
        <f t="shared" si="28"/>
        <v>99.854143131868966</v>
      </c>
      <c r="AE26" s="1">
        <f t="shared" si="29"/>
        <v>99.920631050808922</v>
      </c>
      <c r="AF26" s="1">
        <f t="shared" si="30"/>
        <v>1.0007943199352967</v>
      </c>
      <c r="AH26" s="1" t="str">
        <f t="shared" si="31"/>
        <v>C1050.22120</v>
      </c>
      <c r="AI26" s="1">
        <f t="shared" si="32"/>
        <v>100.07943199352967</v>
      </c>
      <c r="AJ26" s="1">
        <f t="shared" si="33"/>
        <v>100.07943199352967</v>
      </c>
      <c r="AK26" s="1">
        <f t="shared" si="34"/>
        <v>100.35347492626573</v>
      </c>
      <c r="AL26" s="1">
        <f t="shared" si="35"/>
        <v>99.976260438327728</v>
      </c>
      <c r="AM26" s="1">
        <f t="shared" si="36"/>
        <v>99.976282976313726</v>
      </c>
      <c r="AN26" s="1">
        <f t="shared" si="37"/>
        <v>99.974155308157947</v>
      </c>
      <c r="AO26" s="1">
        <f t="shared" si="38"/>
        <v>99.94517509435542</v>
      </c>
      <c r="AP26" s="1">
        <f t="shared" si="39"/>
        <v>99.878272768875959</v>
      </c>
      <c r="AQ26" s="1">
        <f t="shared" si="40"/>
        <v>99.941251385235603</v>
      </c>
      <c r="AR26" s="1">
        <f t="shared" si="41"/>
        <v>99.929344578647502</v>
      </c>
      <c r="AS26" s="1">
        <f t="shared" si="42"/>
        <v>99.933459268380574</v>
      </c>
      <c r="AT26" s="1">
        <f t="shared" si="43"/>
        <v>99.933459268380574</v>
      </c>
      <c r="AU26" s="1">
        <f t="shared" ref="AU26:AW26" si="69">AT26*O26</f>
        <v>99.929344578647516</v>
      </c>
      <c r="AV26" s="1">
        <f t="shared" si="69"/>
        <v>99.929344578647516</v>
      </c>
      <c r="AW26" s="1">
        <f t="shared" si="69"/>
        <v>100.68389165938574</v>
      </c>
      <c r="AX26" s="1" t="b">
        <f t="shared" si="45"/>
        <v>1</v>
      </c>
      <c r="AY26" s="1" t="s">
        <v>36</v>
      </c>
      <c r="AZ26" s="1" t="str">
        <f t="shared" si="46"/>
        <v>C10</v>
      </c>
      <c r="BA26" s="1" t="str">
        <f t="shared" si="47"/>
        <v>C1050</v>
      </c>
      <c r="BB26" s="1" t="s">
        <v>214</v>
      </c>
      <c r="BC26" s="1" t="s">
        <v>215</v>
      </c>
      <c r="BD26" s="1">
        <v>3.2766524750225986E-3</v>
      </c>
      <c r="BE26" s="1">
        <f t="shared" si="3"/>
        <v>0.32792551854045482</v>
      </c>
      <c r="BF26" s="1">
        <f t="shared" si="4"/>
        <v>0.32792551854045482</v>
      </c>
      <c r="BG26" s="1">
        <f t="shared" si="5"/>
        <v>0.32882346199426693</v>
      </c>
      <c r="BH26" s="1">
        <f t="shared" si="6"/>
        <v>0.32758746120875049</v>
      </c>
      <c r="BI26" s="1">
        <f t="shared" si="7"/>
        <v>0.32758753505789806</v>
      </c>
      <c r="BJ26" s="1">
        <f t="shared" si="8"/>
        <v>0.3275805634287694</v>
      </c>
      <c r="BK26" s="1">
        <f t="shared" si="9"/>
        <v>0.32748560533948667</v>
      </c>
      <c r="BL26" s="1">
        <f t="shared" si="10"/>
        <v>0.32726638966911964</v>
      </c>
      <c r="BM26" s="1">
        <f t="shared" si="11"/>
        <v>0.32747274870828796</v>
      </c>
      <c r="BN26" s="1">
        <f t="shared" si="12"/>
        <v>0.32743373424101141</v>
      </c>
      <c r="BO26" s="1">
        <f t="shared" si="13"/>
        <v>0.32744721664930926</v>
      </c>
      <c r="BP26" s="1">
        <f t="shared" si="14"/>
        <v>0.32744721664930926</v>
      </c>
      <c r="BQ26" s="1">
        <f t="shared" si="15"/>
        <v>0.32743373424101146</v>
      </c>
      <c r="BR26" s="1">
        <f t="shared" si="16"/>
        <v>0.32743373424101146</v>
      </c>
      <c r="BS26" s="1">
        <f t="shared" si="17"/>
        <v>0.32990612280063347</v>
      </c>
      <c r="BV26" s="1" t="s">
        <v>36</v>
      </c>
      <c r="BW26" s="1">
        <f>((AJ26-AI26)/BE$154)*$BD26</f>
        <v>0</v>
      </c>
      <c r="BX26" s="1">
        <f>((AK26-AJ26)/BF$154)*$BD26</f>
        <v>9.025177603495359E-6</v>
      </c>
      <c r="BY26" s="1">
        <f>((AL26-AK26)/BG$154)*$BD26</f>
        <v>-1.2428631545488293E-5</v>
      </c>
      <c r="BZ26" s="1">
        <f>((AM26-AL26)/BH$154)*$BD26</f>
        <v>7.4092081976317322E-10</v>
      </c>
      <c r="CA26" s="1">
        <f>((AN26-AM26)/BI$154)*$BD26</f>
        <v>-6.9870568319566419E-8</v>
      </c>
      <c r="CB26" s="1">
        <f>((AO26-AN26)/BJ$154)*$BD26</f>
        <v>-9.5117840967956789E-7</v>
      </c>
      <c r="CC26" s="1">
        <f>((AP26-AO26)/BK$154)*$BD26</f>
        <v>-2.19521405378001E-6</v>
      </c>
      <c r="CD26" s="1">
        <f>((AQ26-AP26)/BL$154)*$BD26</f>
        <v>2.0634642928929971E-6</v>
      </c>
      <c r="CE26" s="1">
        <f>((AR26-AQ26)/BM$154)*$BD26</f>
        <v>-3.8856626287556608E-7</v>
      </c>
      <c r="CF26" s="1">
        <f>((AS26-AR26)/BN$154)*$BD26</f>
        <v>1.3416742365451568E-7</v>
      </c>
      <c r="CG26" s="1">
        <f>((AT26-AS26)/BO$154)*$BD26</f>
        <v>0</v>
      </c>
      <c r="CH26" s="1">
        <f>((AU26-AT26)/BP$154)*$BD26</f>
        <v>-1.3382633243583028E-7</v>
      </c>
      <c r="CI26" s="1">
        <f>((AV26-AU26)/BQ$154)*$BD26</f>
        <v>0</v>
      </c>
      <c r="CJ26" s="1">
        <f>((AW26-AV26)/BR$154)*$BD26</f>
        <v>2.4411968744952123E-5</v>
      </c>
    </row>
    <row r="27" spans="1:88" x14ac:dyDescent="0.35">
      <c r="A27" s="1" t="s">
        <v>37</v>
      </c>
      <c r="B27" s="1">
        <v>1.0001559568327605</v>
      </c>
      <c r="C27" s="1">
        <v>1</v>
      </c>
      <c r="D27" s="1">
        <v>0.99942603589708456</v>
      </c>
      <c r="E27" s="1">
        <v>1.0059855817016587</v>
      </c>
      <c r="F27" s="1">
        <v>0.99466377796021554</v>
      </c>
      <c r="G27" s="1">
        <v>0.9994403990316405</v>
      </c>
      <c r="H27" s="1">
        <v>1.0004885092993014</v>
      </c>
      <c r="I27" s="1">
        <v>1.0000343367579911</v>
      </c>
      <c r="J27" s="1">
        <v>1.0001578005984606</v>
      </c>
      <c r="K27" s="1">
        <v>1.0003579682856263</v>
      </c>
      <c r="L27" s="1">
        <v>1.0027279271718454</v>
      </c>
      <c r="M27" s="1">
        <v>0.9990609132523206</v>
      </c>
      <c r="N27" s="1">
        <v>0.9998273258413285</v>
      </c>
      <c r="O27" s="1">
        <v>1.0000414003190541</v>
      </c>
      <c r="P27" s="1">
        <v>0.9999719186396292</v>
      </c>
      <c r="Q27" s="1">
        <v>1.0202994123543594</v>
      </c>
      <c r="S27" s="1">
        <f t="shared" si="0"/>
        <v>100</v>
      </c>
      <c r="T27" s="1">
        <f t="shared" si="18"/>
        <v>99.942603589708455</v>
      </c>
      <c r="U27" s="1">
        <f t="shared" si="19"/>
        <v>100.54081820897115</v>
      </c>
      <c r="V27" s="1">
        <f t="shared" si="20"/>
        <v>100.00431007894647</v>
      </c>
      <c r="W27" s="1">
        <f t="shared" si="21"/>
        <v>99.948347570186172</v>
      </c>
      <c r="X27" s="1">
        <f t="shared" si="22"/>
        <v>99.997173267424017</v>
      </c>
      <c r="Y27" s="1">
        <f t="shared" si="23"/>
        <v>100.0006068461623</v>
      </c>
      <c r="Z27" s="1">
        <f t="shared" si="24"/>
        <v>100.01638700176905</v>
      </c>
      <c r="AA27" s="1">
        <f t="shared" si="25"/>
        <v>100.05218969635861</v>
      </c>
      <c r="AB27" s="1">
        <f t="shared" si="26"/>
        <v>100.32512478323395</v>
      </c>
      <c r="AC27" s="1">
        <f t="shared" si="27"/>
        <v>100.23091078809072</v>
      </c>
      <c r="AD27" s="1">
        <f t="shared" si="28"/>
        <v>100.21360349989752</v>
      </c>
      <c r="AE27" s="1">
        <f t="shared" si="29"/>
        <v>100.10600627756237</v>
      </c>
      <c r="AF27" s="1">
        <f t="shared" si="30"/>
        <v>0.99894105976749836</v>
      </c>
      <c r="AH27" s="1" t="str">
        <f t="shared" si="31"/>
        <v>C1050.22251</v>
      </c>
      <c r="AI27" s="1">
        <f t="shared" si="32"/>
        <v>99.894105976749842</v>
      </c>
      <c r="AJ27" s="1">
        <f t="shared" si="33"/>
        <v>99.836770345826352</v>
      </c>
      <c r="AK27" s="1">
        <f t="shared" si="34"/>
        <v>100.43435149156103</v>
      </c>
      <c r="AL27" s="1">
        <f t="shared" si="35"/>
        <v>99.898411491580305</v>
      </c>
      <c r="AM27" s="1">
        <f t="shared" si="36"/>
        <v>99.842508243772045</v>
      </c>
      <c r="AN27" s="1">
        <f t="shared" si="37"/>
        <v>99.891282237514702</v>
      </c>
      <c r="AO27" s="1">
        <f t="shared" si="38"/>
        <v>99.894712180298313</v>
      </c>
      <c r="AP27" s="1">
        <f t="shared" si="39"/>
        <v>99.910475625663423</v>
      </c>
      <c r="AQ27" s="1">
        <f t="shared" si="40"/>
        <v>99.946240407339246</v>
      </c>
      <c r="AR27" s="1">
        <f t="shared" si="41"/>
        <v>100.21888647227023</v>
      </c>
      <c r="AS27" s="1">
        <f t="shared" si="42"/>
        <v>100.12477224411694</v>
      </c>
      <c r="AT27" s="1">
        <f t="shared" si="43"/>
        <v>100.1074832833075</v>
      </c>
      <c r="AU27" s="1">
        <f t="shared" ref="AU27:AW27" si="70">AT27*O27</f>
        <v>100.11162776505513</v>
      </c>
      <c r="AV27" s="1">
        <f t="shared" si="70"/>
        <v>100.10881649435855</v>
      </c>
      <c r="AW27" s="1">
        <f t="shared" si="70"/>
        <v>102.14096664068443</v>
      </c>
      <c r="AX27" s="1" t="b">
        <f t="shared" si="45"/>
        <v>1</v>
      </c>
      <c r="AY27" s="1" t="s">
        <v>37</v>
      </c>
      <c r="AZ27" s="1" t="str">
        <f t="shared" si="46"/>
        <v>C10</v>
      </c>
      <c r="BA27" s="1" t="str">
        <f t="shared" si="47"/>
        <v>C1050</v>
      </c>
      <c r="BB27" s="1" t="s">
        <v>204</v>
      </c>
      <c r="BC27" s="1" t="s">
        <v>205</v>
      </c>
      <c r="BD27" s="1">
        <v>3.2766524750225986E-3</v>
      </c>
      <c r="BE27" s="1">
        <f t="shared" si="3"/>
        <v>0.32731826958888716</v>
      </c>
      <c r="BF27" s="1">
        <f t="shared" si="4"/>
        <v>0.32713040065191468</v>
      </c>
      <c r="BG27" s="1">
        <f t="shared" si="5"/>
        <v>0.32908846639211309</v>
      </c>
      <c r="BH27" s="1">
        <f t="shared" si="6"/>
        <v>0.32733237726471259</v>
      </c>
      <c r="BI27" s="1">
        <f t="shared" si="7"/>
        <v>0.32714920174941986</v>
      </c>
      <c r="BJ27" s="1">
        <f t="shared" si="8"/>
        <v>0.3273090171767335</v>
      </c>
      <c r="BK27" s="1">
        <f t="shared" si="9"/>
        <v>0.32732025590724462</v>
      </c>
      <c r="BL27" s="1">
        <f t="shared" si="10"/>
        <v>0.32737190723951509</v>
      </c>
      <c r="BM27" s="1">
        <f t="shared" si="11"/>
        <v>0.32748909599991177</v>
      </c>
      <c r="BN27" s="1">
        <f t="shared" si="12"/>
        <v>0.32838246240337304</v>
      </c>
      <c r="BO27" s="1">
        <f t="shared" si="13"/>
        <v>0.32807408278475975</v>
      </c>
      <c r="BP27" s="1">
        <f t="shared" si="14"/>
        <v>0.32801743286853297</v>
      </c>
      <c r="BQ27" s="1">
        <f t="shared" si="15"/>
        <v>0.32803101289490899</v>
      </c>
      <c r="BR27" s="1">
        <f t="shared" si="16"/>
        <v>0.3280218013378231</v>
      </c>
      <c r="BS27" s="1">
        <f t="shared" si="17"/>
        <v>0.33468045114439932</v>
      </c>
      <c r="BV27" s="1" t="s">
        <v>37</v>
      </c>
      <c r="BW27" s="1">
        <f>((AJ27-AI27)/BE$154)*$BD27</f>
        <v>-1.8872273045966839E-6</v>
      </c>
      <c r="BX27" s="1">
        <f>((AK27-AJ27)/BF$154)*$BD27</f>
        <v>1.9680405252231249E-5</v>
      </c>
      <c r="BY27" s="1">
        <f>((AL27-AK27)/BG$154)*$BD27</f>
        <v>-1.7658390659014624E-5</v>
      </c>
      <c r="BZ27" s="1">
        <f>((AM27-AL27)/BH$154)*$BD27</f>
        <v>-1.8377809000542954E-6</v>
      </c>
      <c r="CA27" s="1">
        <f>((AN27-AM27)/BI$154)*$BD27</f>
        <v>1.6016908711810424E-6</v>
      </c>
      <c r="CB27" s="1">
        <f>((AO27-AN27)/BJ$154)*$BD27</f>
        <v>1.125763786436697E-7</v>
      </c>
      <c r="CC27" s="1">
        <f>((AP27-AO27)/BK$154)*$BD27</f>
        <v>5.1723369185583905E-7</v>
      </c>
      <c r="CD27" s="1">
        <f>((AQ27-AP27)/BL$154)*$BD27</f>
        <v>1.1718159940151538E-6</v>
      </c>
      <c r="CE27" s="1">
        <f>((AR27-AQ27)/BM$154)*$BD27</f>
        <v>8.8975210736884273E-6</v>
      </c>
      <c r="CF27" s="1">
        <f>((AS27-AR27)/BN$154)*$BD27</f>
        <v>-3.0687765882004397E-6</v>
      </c>
      <c r="CG27" s="1">
        <f>((AT27-AS27)/BO$154)*$BD27</f>
        <v>-5.6244961885553165E-7</v>
      </c>
      <c r="CH27" s="1">
        <f>((AU27-AT27)/BP$154)*$BD27</f>
        <v>1.3479528910201604E-7</v>
      </c>
      <c r="CI27" s="1">
        <f>((AV27-AU27)/BQ$154)*$BD27</f>
        <v>-9.1116838580293738E-8</v>
      </c>
      <c r="CJ27" s="1">
        <f>((AW27-AV27)/BR$154)*$BD27</f>
        <v>6.5746441969693662E-5</v>
      </c>
    </row>
    <row r="28" spans="1:88" x14ac:dyDescent="0.35">
      <c r="A28" s="1" t="s">
        <v>38</v>
      </c>
      <c r="B28" s="1">
        <v>1</v>
      </c>
      <c r="C28" s="1">
        <v>1</v>
      </c>
      <c r="D28" s="1">
        <v>0.98975947808111975</v>
      </c>
      <c r="E28" s="1">
        <v>1</v>
      </c>
      <c r="F28" s="1">
        <v>1.0210999054770771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S28" s="1">
        <f t="shared" si="0"/>
        <v>100</v>
      </c>
      <c r="T28" s="1">
        <f t="shared" si="18"/>
        <v>98.975947808111968</v>
      </c>
      <c r="U28" s="1">
        <f t="shared" si="19"/>
        <v>98.975947808111968</v>
      </c>
      <c r="V28" s="1">
        <f t="shared" si="20"/>
        <v>101.06433095136724</v>
      </c>
      <c r="W28" s="1">
        <f t="shared" si="21"/>
        <v>101.06433095136724</v>
      </c>
      <c r="X28" s="1">
        <f t="shared" si="22"/>
        <v>101.06433095136724</v>
      </c>
      <c r="Y28" s="1">
        <f t="shared" si="23"/>
        <v>101.06433095136724</v>
      </c>
      <c r="Z28" s="1">
        <f t="shared" si="24"/>
        <v>101.06433095136724</v>
      </c>
      <c r="AA28" s="1">
        <f t="shared" si="25"/>
        <v>101.06433095136724</v>
      </c>
      <c r="AB28" s="1">
        <f t="shared" si="26"/>
        <v>101.06433095136724</v>
      </c>
      <c r="AC28" s="1">
        <f t="shared" si="27"/>
        <v>101.06433095136724</v>
      </c>
      <c r="AD28" s="1">
        <f t="shared" si="28"/>
        <v>101.06433095136724</v>
      </c>
      <c r="AE28" s="1">
        <f t="shared" si="29"/>
        <v>100.62757284821076</v>
      </c>
      <c r="AF28" s="1">
        <f t="shared" si="30"/>
        <v>0.99376341065924934</v>
      </c>
      <c r="AH28" s="1" t="str">
        <f t="shared" si="31"/>
        <v>C1050.22260</v>
      </c>
      <c r="AI28" s="1">
        <f t="shared" si="32"/>
        <v>99.376341065924933</v>
      </c>
      <c r="AJ28" s="1">
        <f t="shared" si="33"/>
        <v>98.3586754670212</v>
      </c>
      <c r="AK28" s="1">
        <f t="shared" si="34"/>
        <v>98.3586754670212</v>
      </c>
      <c r="AL28" s="1">
        <f t="shared" si="35"/>
        <v>100.43403422222585</v>
      </c>
      <c r="AM28" s="1">
        <f t="shared" si="36"/>
        <v>100.43403422222585</v>
      </c>
      <c r="AN28" s="1">
        <f t="shared" si="37"/>
        <v>100.43403422222585</v>
      </c>
      <c r="AO28" s="1">
        <f t="shared" si="38"/>
        <v>100.43403422222585</v>
      </c>
      <c r="AP28" s="1">
        <f t="shared" si="39"/>
        <v>100.43403422222585</v>
      </c>
      <c r="AQ28" s="1">
        <f t="shared" si="40"/>
        <v>100.43403422222585</v>
      </c>
      <c r="AR28" s="1">
        <f t="shared" si="41"/>
        <v>100.43403422222585</v>
      </c>
      <c r="AS28" s="1">
        <f t="shared" si="42"/>
        <v>100.43403422222585</v>
      </c>
      <c r="AT28" s="1">
        <f t="shared" si="43"/>
        <v>100.43403422222585</v>
      </c>
      <c r="AU28" s="1">
        <f t="shared" ref="AU28:AW28" si="71">AT28*O28</f>
        <v>100.43403422222585</v>
      </c>
      <c r="AV28" s="1">
        <f t="shared" si="71"/>
        <v>100.43403422222585</v>
      </c>
      <c r="AW28" s="1">
        <f t="shared" si="71"/>
        <v>100.43403422222585</v>
      </c>
      <c r="AX28" s="1" t="b">
        <f t="shared" si="45"/>
        <v>1</v>
      </c>
      <c r="AY28" s="1" t="s">
        <v>38</v>
      </c>
      <c r="AZ28" s="1" t="str">
        <f t="shared" si="46"/>
        <v>C10</v>
      </c>
      <c r="BA28" s="1" t="str">
        <f t="shared" si="47"/>
        <v>C1050</v>
      </c>
      <c r="BB28" s="1" t="s">
        <v>206</v>
      </c>
      <c r="BC28" s="1" t="s">
        <v>207</v>
      </c>
      <c r="BD28" s="1">
        <v>3.2766524750225986E-3</v>
      </c>
      <c r="BE28" s="1">
        <f t="shared" si="3"/>
        <v>0.32562173391235283</v>
      </c>
      <c r="BF28" s="1">
        <f t="shared" si="4"/>
        <v>0.32228719740895956</v>
      </c>
      <c r="BG28" s="1">
        <f t="shared" si="5"/>
        <v>0.32228719740895956</v>
      </c>
      <c r="BH28" s="1">
        <f t="shared" si="6"/>
        <v>0.3290874268107607</v>
      </c>
      <c r="BI28" s="1">
        <f t="shared" si="7"/>
        <v>0.3290874268107607</v>
      </c>
      <c r="BJ28" s="1">
        <f t="shared" si="8"/>
        <v>0.3290874268107607</v>
      </c>
      <c r="BK28" s="1">
        <f t="shared" si="9"/>
        <v>0.3290874268107607</v>
      </c>
      <c r="BL28" s="1">
        <f t="shared" si="10"/>
        <v>0.3290874268107607</v>
      </c>
      <c r="BM28" s="1">
        <f t="shared" si="11"/>
        <v>0.3290874268107607</v>
      </c>
      <c r="BN28" s="1">
        <f t="shared" si="12"/>
        <v>0.3290874268107607</v>
      </c>
      <c r="BO28" s="1">
        <f t="shared" si="13"/>
        <v>0.3290874268107607</v>
      </c>
      <c r="BP28" s="1">
        <f t="shared" si="14"/>
        <v>0.3290874268107607</v>
      </c>
      <c r="BQ28" s="1">
        <f t="shared" si="15"/>
        <v>0.3290874268107607</v>
      </c>
      <c r="BR28" s="1">
        <f t="shared" si="16"/>
        <v>0.3290874268107607</v>
      </c>
      <c r="BS28" s="1">
        <f t="shared" si="17"/>
        <v>0.3290874268107607</v>
      </c>
      <c r="BV28" s="1" t="s">
        <v>38</v>
      </c>
      <c r="BW28" s="1">
        <f>((AJ28-AI28)/BE$154)*$BD28</f>
        <v>-3.3496907145972183E-5</v>
      </c>
      <c r="BX28" s="1">
        <f>((AK28-AJ28)/BF$154)*$BD28</f>
        <v>0</v>
      </c>
      <c r="BY28" s="1">
        <f>((AL28-AK28)/BG$154)*$BD28</f>
        <v>6.83798478529833E-5</v>
      </c>
      <c r="BZ28" s="1">
        <f>((AM28-AL28)/BH$154)*$BD28</f>
        <v>0</v>
      </c>
      <c r="CA28" s="1">
        <f>((AN28-AM28)/BI$154)*$BD28</f>
        <v>0</v>
      </c>
      <c r="CB28" s="1">
        <f>((AO28-AN28)/BJ$154)*$BD28</f>
        <v>0</v>
      </c>
      <c r="CC28" s="1">
        <f>((AP28-AO28)/BK$154)*$BD28</f>
        <v>0</v>
      </c>
      <c r="CD28" s="1">
        <f>((AQ28-AP28)/BL$154)*$BD28</f>
        <v>0</v>
      </c>
      <c r="CE28" s="1">
        <f>((AR28-AQ28)/BM$154)*$BD28</f>
        <v>0</v>
      </c>
      <c r="CF28" s="1">
        <f>((AS28-AR28)/BN$154)*$BD28</f>
        <v>0</v>
      </c>
      <c r="CG28" s="1">
        <f>((AT28-AS28)/BO$154)*$BD28</f>
        <v>0</v>
      </c>
      <c r="CH28" s="1">
        <f>((AU28-AT28)/BP$154)*$BD28</f>
        <v>0</v>
      </c>
      <c r="CI28" s="1">
        <f>((AV28-AU28)/BQ$154)*$BD28</f>
        <v>0</v>
      </c>
      <c r="CJ28" s="1">
        <f>((AW28-AV28)/BR$154)*$BD28</f>
        <v>0</v>
      </c>
    </row>
    <row r="29" spans="1:88" x14ac:dyDescent="0.35">
      <c r="A29" s="1" t="s">
        <v>39</v>
      </c>
      <c r="B29" s="1">
        <v>0.99992436132565743</v>
      </c>
      <c r="C29" s="1">
        <v>1</v>
      </c>
      <c r="D29" s="1">
        <v>0.99945123555569604</v>
      </c>
      <c r="E29" s="1">
        <v>0.98449091480402284</v>
      </c>
      <c r="F29" s="1">
        <v>1.0136971380677888</v>
      </c>
      <c r="G29" s="1">
        <v>1</v>
      </c>
      <c r="H29" s="1">
        <v>1</v>
      </c>
      <c r="I29" s="1">
        <v>1</v>
      </c>
      <c r="J29" s="1">
        <v>1.0180280678180942</v>
      </c>
      <c r="K29" s="1">
        <v>1</v>
      </c>
      <c r="L29" s="1">
        <v>0.99972364214170373</v>
      </c>
      <c r="M29" s="1">
        <v>1.0002764342530743</v>
      </c>
      <c r="N29" s="1">
        <v>1</v>
      </c>
      <c r="O29" s="1">
        <v>1</v>
      </c>
      <c r="P29" s="1">
        <v>1</v>
      </c>
      <c r="Q29" s="1">
        <v>1</v>
      </c>
      <c r="S29" s="1">
        <f t="shared" si="0"/>
        <v>100</v>
      </c>
      <c r="T29" s="1">
        <f t="shared" si="18"/>
        <v>99.945123555569609</v>
      </c>
      <c r="U29" s="1">
        <f t="shared" si="19"/>
        <v>98.395066119423817</v>
      </c>
      <c r="V29" s="1">
        <f t="shared" si="20"/>
        <v>99.742796925250772</v>
      </c>
      <c r="W29" s="1">
        <f t="shared" si="21"/>
        <v>99.742796925250772</v>
      </c>
      <c r="X29" s="1">
        <f t="shared" si="22"/>
        <v>99.742796925250772</v>
      </c>
      <c r="Y29" s="1">
        <f t="shared" si="23"/>
        <v>99.742796925250772</v>
      </c>
      <c r="Z29" s="1">
        <f t="shared" si="24"/>
        <v>101.5409668325856</v>
      </c>
      <c r="AA29" s="1">
        <f t="shared" si="25"/>
        <v>101.5409668325856</v>
      </c>
      <c r="AB29" s="1">
        <f t="shared" si="26"/>
        <v>101.51290518846241</v>
      </c>
      <c r="AC29" s="1">
        <f t="shared" si="27"/>
        <v>101.5409668325856</v>
      </c>
      <c r="AD29" s="1">
        <f t="shared" si="28"/>
        <v>101.5409668325856</v>
      </c>
      <c r="AE29" s="1">
        <f t="shared" si="29"/>
        <v>100.41567915790012</v>
      </c>
      <c r="AF29" s="1">
        <f t="shared" si="30"/>
        <v>0.99586041580970164</v>
      </c>
      <c r="AH29" s="1" t="str">
        <f t="shared" si="31"/>
        <v>C1050.22270</v>
      </c>
      <c r="AI29" s="1">
        <f t="shared" si="32"/>
        <v>99.586041580970161</v>
      </c>
      <c r="AJ29" s="1">
        <f t="shared" si="33"/>
        <v>99.531392302201553</v>
      </c>
      <c r="AK29" s="1">
        <f t="shared" si="34"/>
        <v>97.987751459312491</v>
      </c>
      <c r="AL29" s="1">
        <f t="shared" si="35"/>
        <v>99.329903220002862</v>
      </c>
      <c r="AM29" s="1">
        <f t="shared" si="36"/>
        <v>99.329903220002862</v>
      </c>
      <c r="AN29" s="1">
        <f t="shared" si="37"/>
        <v>99.329903220002862</v>
      </c>
      <c r="AO29" s="1">
        <f t="shared" si="38"/>
        <v>99.329903220002862</v>
      </c>
      <c r="AP29" s="1">
        <f t="shared" si="39"/>
        <v>101.12062945161782</v>
      </c>
      <c r="AQ29" s="1">
        <f t="shared" si="40"/>
        <v>101.12062945161782</v>
      </c>
      <c r="AR29" s="1">
        <f t="shared" si="41"/>
        <v>101.092683971033</v>
      </c>
      <c r="AS29" s="1">
        <f t="shared" si="42"/>
        <v>101.12062945161782</v>
      </c>
      <c r="AT29" s="1">
        <f t="shared" si="43"/>
        <v>101.12062945161782</v>
      </c>
      <c r="AU29" s="1">
        <f t="shared" ref="AU29:AW29" si="72">AT29*O29</f>
        <v>101.12062945161782</v>
      </c>
      <c r="AV29" s="1">
        <f t="shared" si="72"/>
        <v>101.12062945161782</v>
      </c>
      <c r="AW29" s="1">
        <f t="shared" si="72"/>
        <v>101.12062945161782</v>
      </c>
      <c r="AX29" s="1" t="b">
        <f t="shared" si="45"/>
        <v>1</v>
      </c>
      <c r="AY29" s="1" t="s">
        <v>39</v>
      </c>
      <c r="AZ29" s="1" t="str">
        <f t="shared" si="46"/>
        <v>C10</v>
      </c>
      <c r="BA29" s="1" t="str">
        <f t="shared" si="47"/>
        <v>C1050</v>
      </c>
      <c r="BB29" s="1" t="s">
        <v>208</v>
      </c>
      <c r="BC29" s="1" t="s">
        <v>209</v>
      </c>
      <c r="BD29" s="1">
        <v>3.2766524750225986E-3</v>
      </c>
      <c r="BE29" s="1">
        <f t="shared" si="3"/>
        <v>0.32630884962398932</v>
      </c>
      <c r="BF29" s="1">
        <f t="shared" si="4"/>
        <v>0.32612978292945394</v>
      </c>
      <c r="BG29" s="1">
        <f t="shared" si="5"/>
        <v>0.32107180834105553</v>
      </c>
      <c r="BH29" s="1">
        <f t="shared" si="6"/>
        <v>0.32546957322957759</v>
      </c>
      <c r="BI29" s="1">
        <f t="shared" si="7"/>
        <v>0.32546957322957759</v>
      </c>
      <c r="BJ29" s="1">
        <f t="shared" si="8"/>
        <v>0.32546957322957759</v>
      </c>
      <c r="BK29" s="1">
        <f t="shared" si="9"/>
        <v>0.32546957322957759</v>
      </c>
      <c r="BL29" s="1">
        <f t="shared" si="10"/>
        <v>0.33133716076848657</v>
      </c>
      <c r="BM29" s="1">
        <f t="shared" si="11"/>
        <v>0.33133716076848657</v>
      </c>
      <c r="BN29" s="1">
        <f t="shared" si="12"/>
        <v>0.33124559314036267</v>
      </c>
      <c r="BO29" s="1">
        <f t="shared" si="13"/>
        <v>0.33133716076848657</v>
      </c>
      <c r="BP29" s="1">
        <f t="shared" si="14"/>
        <v>0.33133716076848657</v>
      </c>
      <c r="BQ29" s="1">
        <f t="shared" si="15"/>
        <v>0.33133716076848657</v>
      </c>
      <c r="BR29" s="1">
        <f t="shared" si="16"/>
        <v>0.33133716076848657</v>
      </c>
      <c r="BS29" s="1">
        <f t="shared" si="17"/>
        <v>0.33133716076848657</v>
      </c>
      <c r="BV29" s="1" t="s">
        <v>39</v>
      </c>
      <c r="BW29" s="1">
        <f>((AJ29-AI29)/BE$154)*$BD29</f>
        <v>-1.7988048514938225E-6</v>
      </c>
      <c r="BX29" s="1">
        <f>((AK29-AJ29)/BF$154)*$BD29</f>
        <v>-5.0837409394172508E-5</v>
      </c>
      <c r="BY29" s="1">
        <f>((AL29-AK29)/BG$154)*$BD29</f>
        <v>4.4221816089127844E-5</v>
      </c>
      <c r="BZ29" s="1">
        <f>((AM29-AL29)/BH$154)*$BD29</f>
        <v>0</v>
      </c>
      <c r="CA29" s="1">
        <f>((AN29-AM29)/BI$154)*$BD29</f>
        <v>0</v>
      </c>
      <c r="CB29" s="1">
        <f>((AO29-AN29)/BJ$154)*$BD29</f>
        <v>0</v>
      </c>
      <c r="CC29" s="1">
        <f>((AP29-AO29)/BK$154)*$BD29</f>
        <v>5.8757709271563241E-5</v>
      </c>
      <c r="CD29" s="1">
        <f>((AQ29-AP29)/BL$154)*$BD29</f>
        <v>0</v>
      </c>
      <c r="CE29" s="1">
        <f>((AR29-AQ29)/BM$154)*$BD29</f>
        <v>-9.1197172598372272E-7</v>
      </c>
      <c r="CF29" s="1">
        <f>((AS29-AR29)/BN$154)*$BD29</f>
        <v>9.1121648923289335E-7</v>
      </c>
      <c r="CG29" s="1">
        <f>((AT29-AS29)/BO$154)*$BD29</f>
        <v>0</v>
      </c>
      <c r="CH29" s="1">
        <f>((AU29-AT29)/BP$154)*$BD29</f>
        <v>0</v>
      </c>
      <c r="CI29" s="1">
        <f>((AV29-AU29)/BQ$154)*$BD29</f>
        <v>0</v>
      </c>
      <c r="CJ29" s="1">
        <f>((AW29-AV29)/BR$154)*$BD29</f>
        <v>0</v>
      </c>
    </row>
    <row r="30" spans="1:88" x14ac:dyDescent="0.35">
      <c r="A30" s="1" t="s">
        <v>40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0.9920634920634912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1.0285714285714289</v>
      </c>
      <c r="Q30" s="1">
        <v>1</v>
      </c>
      <c r="S30" s="1">
        <f t="shared" si="0"/>
        <v>100</v>
      </c>
      <c r="T30" s="1">
        <f t="shared" si="18"/>
        <v>100</v>
      </c>
      <c r="U30" s="1">
        <f t="shared" si="19"/>
        <v>100</v>
      </c>
      <c r="V30" s="1">
        <f t="shared" si="20"/>
        <v>100</v>
      </c>
      <c r="W30" s="1">
        <f t="shared" si="21"/>
        <v>100</v>
      </c>
      <c r="X30" s="1">
        <f t="shared" si="22"/>
        <v>99.206349206349117</v>
      </c>
      <c r="Y30" s="1">
        <f t="shared" si="23"/>
        <v>99.206349206349117</v>
      </c>
      <c r="Z30" s="1">
        <f t="shared" si="24"/>
        <v>99.206349206349117</v>
      </c>
      <c r="AA30" s="1">
        <f t="shared" si="25"/>
        <v>99.206349206349117</v>
      </c>
      <c r="AB30" s="1">
        <f t="shared" si="26"/>
        <v>99.206349206349117</v>
      </c>
      <c r="AC30" s="1">
        <f t="shared" si="27"/>
        <v>99.206349206349117</v>
      </c>
      <c r="AD30" s="1">
        <f t="shared" si="28"/>
        <v>99.206349206349117</v>
      </c>
      <c r="AE30" s="1">
        <f t="shared" si="29"/>
        <v>99.53703703703701</v>
      </c>
      <c r="AF30" s="1">
        <f t="shared" si="30"/>
        <v>1.004651162790698</v>
      </c>
      <c r="AH30" s="1" t="str">
        <f t="shared" si="31"/>
        <v>C1050.22290</v>
      </c>
      <c r="AI30" s="1">
        <f t="shared" si="32"/>
        <v>100.4651162790698</v>
      </c>
      <c r="AJ30" s="1">
        <f t="shared" si="33"/>
        <v>100.4651162790698</v>
      </c>
      <c r="AK30" s="1">
        <f t="shared" si="34"/>
        <v>100.4651162790698</v>
      </c>
      <c r="AL30" s="1">
        <f t="shared" si="35"/>
        <v>100.4651162790698</v>
      </c>
      <c r="AM30" s="1">
        <f t="shared" si="36"/>
        <v>100.4651162790698</v>
      </c>
      <c r="AN30" s="1">
        <f t="shared" si="37"/>
        <v>99.667774086378685</v>
      </c>
      <c r="AO30" s="1">
        <f t="shared" si="38"/>
        <v>99.667774086378685</v>
      </c>
      <c r="AP30" s="1">
        <f t="shared" si="39"/>
        <v>99.667774086378685</v>
      </c>
      <c r="AQ30" s="1">
        <f t="shared" si="40"/>
        <v>99.667774086378685</v>
      </c>
      <c r="AR30" s="1">
        <f t="shared" si="41"/>
        <v>99.667774086378685</v>
      </c>
      <c r="AS30" s="1">
        <f t="shared" si="42"/>
        <v>99.667774086378685</v>
      </c>
      <c r="AT30" s="1">
        <f t="shared" si="43"/>
        <v>99.667774086378685</v>
      </c>
      <c r="AU30" s="1">
        <f t="shared" ref="AU30:AW30" si="73">AT30*O30</f>
        <v>99.667774086378685</v>
      </c>
      <c r="AV30" s="1">
        <f t="shared" si="73"/>
        <v>102.51542477456097</v>
      </c>
      <c r="AW30" s="1">
        <f t="shared" si="73"/>
        <v>102.51542477456097</v>
      </c>
      <c r="AX30" s="1" t="b">
        <f t="shared" si="45"/>
        <v>1</v>
      </c>
      <c r="AY30" s="1" t="s">
        <v>40</v>
      </c>
      <c r="AZ30" s="1" t="str">
        <f t="shared" si="46"/>
        <v>C10</v>
      </c>
      <c r="BA30" s="1" t="str">
        <f t="shared" si="47"/>
        <v>C1050</v>
      </c>
      <c r="BB30" s="1" t="s">
        <v>210</v>
      </c>
      <c r="BC30" s="1" t="s">
        <v>211</v>
      </c>
      <c r="BD30" s="1">
        <v>3.2766524750225986E-3</v>
      </c>
      <c r="BE30" s="1">
        <f t="shared" si="3"/>
        <v>0.32918927190924724</v>
      </c>
      <c r="BF30" s="1">
        <f t="shared" si="4"/>
        <v>0.32918927190924724</v>
      </c>
      <c r="BG30" s="1">
        <f t="shared" si="5"/>
        <v>0.32918927190924724</v>
      </c>
      <c r="BH30" s="1">
        <f t="shared" si="6"/>
        <v>0.32918927190924724</v>
      </c>
      <c r="BI30" s="1">
        <f t="shared" si="7"/>
        <v>0.32918927190924724</v>
      </c>
      <c r="BJ30" s="1">
        <f t="shared" si="8"/>
        <v>0.32657665864012592</v>
      </c>
      <c r="BK30" s="1">
        <f t="shared" si="9"/>
        <v>0.32657665864012592</v>
      </c>
      <c r="BL30" s="1">
        <f t="shared" si="10"/>
        <v>0.32657665864012592</v>
      </c>
      <c r="BM30" s="1">
        <f t="shared" si="11"/>
        <v>0.32657665864012592</v>
      </c>
      <c r="BN30" s="1">
        <f t="shared" si="12"/>
        <v>0.32657665864012592</v>
      </c>
      <c r="BO30" s="1">
        <f t="shared" si="13"/>
        <v>0.32657665864012592</v>
      </c>
      <c r="BP30" s="1">
        <f t="shared" si="14"/>
        <v>0.32657665864012592</v>
      </c>
      <c r="BQ30" s="1">
        <f t="shared" si="15"/>
        <v>0.32657665864012592</v>
      </c>
      <c r="BR30" s="1">
        <f t="shared" si="16"/>
        <v>0.3359074203155582</v>
      </c>
      <c r="BS30" s="1">
        <f t="shared" si="17"/>
        <v>0.3359074203155582</v>
      </c>
      <c r="BV30" s="1" t="s">
        <v>40</v>
      </c>
      <c r="BW30" s="1">
        <f>((AJ30-AI30)/BE$154)*$BD30</f>
        <v>0</v>
      </c>
      <c r="BX30" s="1">
        <f>((AK30-AJ30)/BF$154)*$BD30</f>
        <v>0</v>
      </c>
      <c r="BY30" s="1">
        <f>((AL30-AK30)/BG$154)*$BD30</f>
        <v>0</v>
      </c>
      <c r="BZ30" s="1">
        <f>((AM30-AL30)/BH$154)*$BD30</f>
        <v>0</v>
      </c>
      <c r="CA30" s="1">
        <f>((AN30-AM30)/BI$154)*$BD30</f>
        <v>-2.6183947904268441E-5</v>
      </c>
      <c r="CB30" s="1">
        <f>((AO30-AN30)/BJ$154)*$BD30</f>
        <v>0</v>
      </c>
      <c r="CC30" s="1">
        <f>((AP30-AO30)/BK$154)*$BD30</f>
        <v>0</v>
      </c>
      <c r="CD30" s="1">
        <f>((AQ30-AP30)/BL$154)*$BD30</f>
        <v>0</v>
      </c>
      <c r="CE30" s="1">
        <f>((AR30-AQ30)/BM$154)*$BD30</f>
        <v>0</v>
      </c>
      <c r="CF30" s="1">
        <f>((AS30-AR30)/BN$154)*$BD30</f>
        <v>0</v>
      </c>
      <c r="CG30" s="1">
        <f>((AT30-AS30)/BO$154)*$BD30</f>
        <v>0</v>
      </c>
      <c r="CH30" s="1">
        <f>((AU30-AT30)/BP$154)*$BD30</f>
        <v>0</v>
      </c>
      <c r="CI30" s="1">
        <f>((AV30-AU30)/BQ$154)*$BD30</f>
        <v>9.2295960116384071E-5</v>
      </c>
      <c r="CJ30" s="1">
        <f>((AW30-AV30)/BR$154)*$BD30</f>
        <v>0</v>
      </c>
    </row>
    <row r="31" spans="1:88" x14ac:dyDescent="0.35">
      <c r="A31" s="1" t="s">
        <v>41</v>
      </c>
      <c r="B31" s="1">
        <v>1.0104221084375222</v>
      </c>
      <c r="C31" s="1">
        <v>1</v>
      </c>
      <c r="D31" s="1">
        <v>0.98227784234837856</v>
      </c>
      <c r="E31" s="1">
        <v>1.000049298625024</v>
      </c>
      <c r="F31" s="1">
        <v>0.98825891571619706</v>
      </c>
      <c r="G31" s="1">
        <v>1</v>
      </c>
      <c r="H31" s="1">
        <v>0.96663569547426942</v>
      </c>
      <c r="I31" s="1">
        <v>0.99731603195272434</v>
      </c>
      <c r="J31" s="1">
        <v>1.0013294987018146</v>
      </c>
      <c r="K31" s="1">
        <v>1.0102547843654119</v>
      </c>
      <c r="L31" s="1">
        <v>0.9983501334219812</v>
      </c>
      <c r="M31" s="1">
        <v>0.99283172179322354</v>
      </c>
      <c r="N31" s="1">
        <v>1.0014001177705143</v>
      </c>
      <c r="O31" s="1">
        <v>0.99956262437402277</v>
      </c>
      <c r="P31" s="1">
        <v>1</v>
      </c>
      <c r="Q31" s="1">
        <v>1</v>
      </c>
      <c r="S31" s="1">
        <f t="shared" si="0"/>
        <v>100</v>
      </c>
      <c r="T31" s="1">
        <f t="shared" si="18"/>
        <v>98.227784234837856</v>
      </c>
      <c r="U31" s="1">
        <f t="shared" si="19"/>
        <v>98.232626729539788</v>
      </c>
      <c r="V31" s="1">
        <f t="shared" si="20"/>
        <v>97.079269179688907</v>
      </c>
      <c r="W31" s="1">
        <f t="shared" si="21"/>
        <v>97.079269179688907</v>
      </c>
      <c r="X31" s="1">
        <f t="shared" si="22"/>
        <v>93.840286879642392</v>
      </c>
      <c r="Y31" s="1">
        <f t="shared" si="23"/>
        <v>93.588422548110245</v>
      </c>
      <c r="Z31" s="1">
        <f t="shared" si="24"/>
        <v>93.712848234392837</v>
      </c>
      <c r="AA31" s="1">
        <f t="shared" si="25"/>
        <v>94.673853285305114</v>
      </c>
      <c r="AB31" s="1">
        <f t="shared" si="26"/>
        <v>94.517654058957433</v>
      </c>
      <c r="AC31" s="1">
        <f t="shared" si="27"/>
        <v>93.840125219210975</v>
      </c>
      <c r="AD31" s="1">
        <f t="shared" si="28"/>
        <v>93.971512446117686</v>
      </c>
      <c r="AE31" s="1">
        <f t="shared" si="29"/>
        <v>95.730304332957658</v>
      </c>
      <c r="AF31" s="1">
        <f t="shared" si="30"/>
        <v>1.0446012962853644</v>
      </c>
      <c r="AH31" s="1" t="str">
        <f t="shared" si="31"/>
        <v>C1061.23110</v>
      </c>
      <c r="AI31" s="1">
        <f t="shared" si="32"/>
        <v>104.46012962853644</v>
      </c>
      <c r="AJ31" s="1">
        <f t="shared" si="33"/>
        <v>102.6088707429507</v>
      </c>
      <c r="AK31" s="1">
        <f t="shared" si="34"/>
        <v>102.61392921919359</v>
      </c>
      <c r="AL31" s="1">
        <f t="shared" si="35"/>
        <v>101.40913042753886</v>
      </c>
      <c r="AM31" s="1">
        <f t="shared" si="36"/>
        <v>101.40913042753886</v>
      </c>
      <c r="AN31" s="1">
        <f t="shared" si="37"/>
        <v>98.025685318264905</v>
      </c>
      <c r="AO31" s="1">
        <f t="shared" si="38"/>
        <v>97.762587511058385</v>
      </c>
      <c r="AP31" s="1">
        <f t="shared" si="39"/>
        <v>97.892562744240379</v>
      </c>
      <c r="AQ31" s="1">
        <f t="shared" si="40"/>
        <v>98.896429866160119</v>
      </c>
      <c r="AR31" s="1">
        <f t="shared" si="41"/>
        <v>98.733263951838566</v>
      </c>
      <c r="AS31" s="1">
        <f t="shared" si="42"/>
        <v>98.025516447568691</v>
      </c>
      <c r="AT31" s="1">
        <f t="shared" si="43"/>
        <v>98.162763715110785</v>
      </c>
      <c r="AU31" s="1">
        <f t="shared" ref="AU31:AW31" si="74">AT31*O31</f>
        <v>98.119829714883238</v>
      </c>
      <c r="AV31" s="1">
        <f t="shared" si="74"/>
        <v>98.119829714883238</v>
      </c>
      <c r="AW31" s="1">
        <f t="shared" si="74"/>
        <v>98.119829714883238</v>
      </c>
      <c r="AX31" s="1" t="b">
        <f t="shared" si="45"/>
        <v>1</v>
      </c>
      <c r="AY31" s="1" t="s">
        <v>41</v>
      </c>
      <c r="AZ31" s="1" t="str">
        <f t="shared" si="46"/>
        <v>C10</v>
      </c>
      <c r="BA31" s="1" t="str">
        <f t="shared" si="47"/>
        <v>C1061</v>
      </c>
      <c r="BB31" s="1" t="s">
        <v>216</v>
      </c>
      <c r="BC31" s="1" t="s">
        <v>217</v>
      </c>
      <c r="BD31" s="1">
        <v>9.5533525192419855E-3</v>
      </c>
      <c r="BE31" s="1">
        <f t="shared" si="3"/>
        <v>0.99794444254712289</v>
      </c>
      <c r="BF31" s="1">
        <f t="shared" si="4"/>
        <v>0.9802587138087433</v>
      </c>
      <c r="BG31" s="1">
        <f t="shared" si="5"/>
        <v>0.98030703921550189</v>
      </c>
      <c r="BH31" s="1">
        <f t="shared" si="6"/>
        <v>0.96879717164406742</v>
      </c>
      <c r="BI31" s="1">
        <f t="shared" si="7"/>
        <v>0.96879717164406742</v>
      </c>
      <c r="BJ31" s="1">
        <f t="shared" si="8"/>
        <v>0.93647392778566818</v>
      </c>
      <c r="BK31" s="1">
        <f t="shared" si="9"/>
        <v>0.93396046168638469</v>
      </c>
      <c r="BL31" s="1">
        <f t="shared" si="10"/>
        <v>0.935202160907743</v>
      </c>
      <c r="BM31" s="1">
        <f t="shared" si="11"/>
        <v>0.94479245740591911</v>
      </c>
      <c r="BN31" s="1">
        <f t="shared" si="12"/>
        <v>0.94323367590728091</v>
      </c>
      <c r="BO31" s="1">
        <f t="shared" si="13"/>
        <v>0.93647231450437707</v>
      </c>
      <c r="BP31" s="1">
        <f t="shared" si="14"/>
        <v>0.93778348603350936</v>
      </c>
      <c r="BQ31" s="1">
        <f t="shared" si="15"/>
        <v>0.9373733223942744</v>
      </c>
      <c r="BR31" s="1">
        <f t="shared" si="16"/>
        <v>0.9373733223942744</v>
      </c>
      <c r="BS31" s="1">
        <f t="shared" si="17"/>
        <v>0.9373733223942744</v>
      </c>
      <c r="BV31" s="1" t="s">
        <v>41</v>
      </c>
      <c r="BW31" s="1">
        <f>((AJ31-AI31)/BE$154)*$BD31</f>
        <v>-1.7766103707531801E-4</v>
      </c>
      <c r="BX31" s="1">
        <f>((AK31-AJ31)/BF$154)*$BD31</f>
        <v>4.8571586206873769E-7</v>
      </c>
      <c r="BY31" s="1">
        <f>((AL31-AK31)/BG$154)*$BD31</f>
        <v>-1.1573771219162388E-4</v>
      </c>
      <c r="BZ31" s="1">
        <f>((AM31-AL31)/BH$154)*$BD31</f>
        <v>0</v>
      </c>
      <c r="CA31" s="1">
        <f>((AN31-AM31)/BI$154)*$BD31</f>
        <v>-3.2394772823378647E-4</v>
      </c>
      <c r="CB31" s="1">
        <f>((AO31-AN31)/BJ$154)*$BD31</f>
        <v>-2.5176946010166596E-5</v>
      </c>
      <c r="CC31" s="1">
        <f>((AP31-AO31)/BK$154)*$BD31</f>
        <v>1.2434309904622446E-5</v>
      </c>
      <c r="CD31" s="1">
        <f>((AQ31-AP31)/BL$154)*$BD31</f>
        <v>9.5897104687046826E-5</v>
      </c>
      <c r="CE31" s="1">
        <f>((AR31-AQ31)/BM$154)*$BD31</f>
        <v>-1.5524751299885334E-5</v>
      </c>
      <c r="CF31" s="1">
        <f>((AS31-AR31)/BN$154)*$BD31</f>
        <v>-6.7284302610191139E-5</v>
      </c>
      <c r="CG31" s="1">
        <f>((AT31-AS31)/BO$154)*$BD31</f>
        <v>1.3017987950097779E-5</v>
      </c>
      <c r="CH31" s="1">
        <f>((AU31-AT31)/BP$154)*$BD31</f>
        <v>-4.0712826911207592E-6</v>
      </c>
      <c r="CI31" s="1">
        <f>((AV31-AU31)/BQ$154)*$BD31</f>
        <v>0</v>
      </c>
      <c r="CJ31" s="1">
        <f>((AW31-AV31)/BR$154)*$BD31</f>
        <v>0</v>
      </c>
    </row>
    <row r="32" spans="1:88" x14ac:dyDescent="0.35">
      <c r="A32" s="1" t="s">
        <v>42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0.97181998013908077</v>
      </c>
      <c r="J32" s="1">
        <v>1</v>
      </c>
      <c r="K32" s="1">
        <v>1</v>
      </c>
      <c r="L32" s="1">
        <v>0.97693120311136905</v>
      </c>
      <c r="M32" s="1">
        <v>1</v>
      </c>
      <c r="N32" s="1">
        <v>1</v>
      </c>
      <c r="O32" s="1">
        <v>1</v>
      </c>
      <c r="P32" s="1">
        <v>1</v>
      </c>
      <c r="Q32" s="1">
        <v>1.0226005891303398</v>
      </c>
      <c r="S32" s="1">
        <f t="shared" si="0"/>
        <v>100</v>
      </c>
      <c r="T32" s="1">
        <f t="shared" si="18"/>
        <v>100</v>
      </c>
      <c r="U32" s="1">
        <f t="shared" si="19"/>
        <v>100</v>
      </c>
      <c r="V32" s="1">
        <f t="shared" si="20"/>
        <v>100</v>
      </c>
      <c r="W32" s="1">
        <f t="shared" si="21"/>
        <v>100</v>
      </c>
      <c r="X32" s="1">
        <f t="shared" si="22"/>
        <v>100</v>
      </c>
      <c r="Y32" s="1">
        <f t="shared" si="23"/>
        <v>97.181998013908071</v>
      </c>
      <c r="Z32" s="1">
        <f t="shared" si="24"/>
        <v>97.181998013908071</v>
      </c>
      <c r="AA32" s="1">
        <f t="shared" si="25"/>
        <v>97.181998013908071</v>
      </c>
      <c r="AB32" s="1">
        <f t="shared" si="26"/>
        <v>94.940126240493896</v>
      </c>
      <c r="AC32" s="1">
        <f t="shared" si="27"/>
        <v>94.940126240493896</v>
      </c>
      <c r="AD32" s="1">
        <f t="shared" si="28"/>
        <v>94.940126240493896</v>
      </c>
      <c r="AE32" s="1">
        <f t="shared" si="29"/>
        <v>98.030531063600463</v>
      </c>
      <c r="AF32" s="1">
        <f t="shared" si="30"/>
        <v>1.020090362818924</v>
      </c>
      <c r="AH32" s="1" t="str">
        <f t="shared" si="31"/>
        <v>C1061.23130</v>
      </c>
      <c r="AI32" s="1">
        <f t="shared" si="32"/>
        <v>102.00903628189239</v>
      </c>
      <c r="AJ32" s="1">
        <f t="shared" si="33"/>
        <v>102.00903628189239</v>
      </c>
      <c r="AK32" s="1">
        <f t="shared" si="34"/>
        <v>102.00903628189239</v>
      </c>
      <c r="AL32" s="1">
        <f t="shared" si="35"/>
        <v>102.00903628189239</v>
      </c>
      <c r="AM32" s="1">
        <f t="shared" si="36"/>
        <v>102.00903628189239</v>
      </c>
      <c r="AN32" s="1">
        <f t="shared" si="37"/>
        <v>102.00903628189239</v>
      </c>
      <c r="AO32" s="1">
        <f t="shared" si="38"/>
        <v>99.13441961347543</v>
      </c>
      <c r="AP32" s="1">
        <f t="shared" si="39"/>
        <v>99.13441961347543</v>
      </c>
      <c r="AQ32" s="1">
        <f t="shared" si="40"/>
        <v>99.13441961347543</v>
      </c>
      <c r="AR32" s="1">
        <f t="shared" si="41"/>
        <v>96.847507822739857</v>
      </c>
      <c r="AS32" s="1">
        <f t="shared" si="42"/>
        <v>96.847507822739857</v>
      </c>
      <c r="AT32" s="1">
        <f t="shared" si="43"/>
        <v>96.847507822739857</v>
      </c>
      <c r="AU32" s="1">
        <f t="shared" ref="AU32:AW32" si="75">AT32*O32</f>
        <v>96.847507822739857</v>
      </c>
      <c r="AV32" s="1">
        <f t="shared" si="75"/>
        <v>96.847507822739857</v>
      </c>
      <c r="AW32" s="1">
        <f t="shared" si="75"/>
        <v>99.036318555338966</v>
      </c>
      <c r="AX32" s="1" t="b">
        <f t="shared" si="45"/>
        <v>1</v>
      </c>
      <c r="AY32" s="1" t="s">
        <v>42</v>
      </c>
      <c r="AZ32" s="1" t="str">
        <f t="shared" si="46"/>
        <v>C10</v>
      </c>
      <c r="BA32" s="1" t="str">
        <f t="shared" si="47"/>
        <v>C1061</v>
      </c>
      <c r="BB32" s="1" t="s">
        <v>218</v>
      </c>
      <c r="BC32" s="1" t="s">
        <v>219</v>
      </c>
      <c r="BD32" s="1">
        <v>4.4107683930440563E-3</v>
      </c>
      <c r="BE32" s="1">
        <f t="shared" si="3"/>
        <v>0.44993823303705532</v>
      </c>
      <c r="BF32" s="1">
        <f t="shared" si="4"/>
        <v>0.44993823303705532</v>
      </c>
      <c r="BG32" s="1">
        <f t="shared" si="5"/>
        <v>0.44993823303705532</v>
      </c>
      <c r="BH32" s="1">
        <f t="shared" si="6"/>
        <v>0.44993823303705532</v>
      </c>
      <c r="BI32" s="1">
        <f t="shared" si="7"/>
        <v>0.44993823303705532</v>
      </c>
      <c r="BJ32" s="1">
        <f t="shared" si="8"/>
        <v>0.44993823303705532</v>
      </c>
      <c r="BK32" s="1">
        <f t="shared" si="9"/>
        <v>0.4372589646938842</v>
      </c>
      <c r="BL32" s="1">
        <f t="shared" si="10"/>
        <v>0.4372589646938842</v>
      </c>
      <c r="BM32" s="1">
        <f t="shared" si="11"/>
        <v>0.4372589646938842</v>
      </c>
      <c r="BN32" s="1">
        <f t="shared" si="12"/>
        <v>0.42717192644962793</v>
      </c>
      <c r="BO32" s="1">
        <f t="shared" si="13"/>
        <v>0.42717192644962793</v>
      </c>
      <c r="BP32" s="1">
        <f t="shared" si="14"/>
        <v>0.42717192644962793</v>
      </c>
      <c r="BQ32" s="1">
        <f t="shared" si="15"/>
        <v>0.42717192644962793</v>
      </c>
      <c r="BR32" s="1">
        <f t="shared" si="16"/>
        <v>0.42717192644962793</v>
      </c>
      <c r="BS32" s="1">
        <f t="shared" si="17"/>
        <v>0.43682626364733168</v>
      </c>
      <c r="BV32" s="1" t="s">
        <v>42</v>
      </c>
      <c r="BW32" s="1">
        <f>((AJ32-AI32)/BE$154)*$BD32</f>
        <v>0</v>
      </c>
      <c r="BX32" s="1">
        <f>((AK32-AJ32)/BF$154)*$BD32</f>
        <v>0</v>
      </c>
      <c r="BY32" s="1">
        <f>((AL32-AK32)/BG$154)*$BD32</f>
        <v>0</v>
      </c>
      <c r="BZ32" s="1">
        <f>((AM32-AL32)/BH$154)*$BD32</f>
        <v>0</v>
      </c>
      <c r="CA32" s="1">
        <f>((AN32-AM32)/BI$154)*$BD32</f>
        <v>0</v>
      </c>
      <c r="CB32" s="1">
        <f>((AO32-AN32)/BJ$154)*$BD32</f>
        <v>-1.2700599169228501E-4</v>
      </c>
      <c r="CC32" s="1">
        <f>((AP32-AO32)/BK$154)*$BD32</f>
        <v>0</v>
      </c>
      <c r="CD32" s="1">
        <f>((AQ32-AP32)/BL$154)*$BD32</f>
        <v>0</v>
      </c>
      <c r="CE32" s="1">
        <f>((AR32-AQ32)/BM$154)*$BD32</f>
        <v>-1.0046229072600416E-4</v>
      </c>
      <c r="CF32" s="1">
        <f>((AS32-AR32)/BN$154)*$BD32</f>
        <v>0</v>
      </c>
      <c r="CG32" s="1">
        <f>((AT32-AS32)/BO$154)*$BD32</f>
        <v>0</v>
      </c>
      <c r="CH32" s="1">
        <f>((AU32-AT32)/BP$154)*$BD32</f>
        <v>0</v>
      </c>
      <c r="CI32" s="1">
        <f>((AV32-AU32)/BQ$154)*$BD32</f>
        <v>0</v>
      </c>
      <c r="CJ32" s="1">
        <f>((AW32-AV32)/BR$154)*$BD32</f>
        <v>9.5325379583381084E-5</v>
      </c>
    </row>
    <row r="33" spans="1:88" x14ac:dyDescent="0.35">
      <c r="A33" s="1" t="s">
        <v>43</v>
      </c>
      <c r="B33" s="1">
        <v>1</v>
      </c>
      <c r="C33" s="1">
        <v>1</v>
      </c>
      <c r="D33" s="1">
        <v>1.001962505930017</v>
      </c>
      <c r="E33" s="1">
        <v>1</v>
      </c>
      <c r="F33" s="1">
        <v>1.0200162032956179</v>
      </c>
      <c r="G33" s="1">
        <v>0.98006505339065741</v>
      </c>
      <c r="H33" s="1">
        <v>1</v>
      </c>
      <c r="I33" s="1">
        <v>1</v>
      </c>
      <c r="J33" s="1">
        <v>1</v>
      </c>
      <c r="K33" s="1">
        <v>1.020242271478103</v>
      </c>
      <c r="L33" s="1">
        <v>1.0000962129884561</v>
      </c>
      <c r="M33" s="1">
        <v>1</v>
      </c>
      <c r="N33" s="1">
        <v>1</v>
      </c>
      <c r="O33" s="1">
        <v>1</v>
      </c>
      <c r="P33" s="1">
        <v>1.0404714798363159</v>
      </c>
      <c r="Q33" s="1">
        <v>0.961102749454812</v>
      </c>
      <c r="S33" s="1">
        <f t="shared" si="0"/>
        <v>100</v>
      </c>
      <c r="T33" s="1">
        <f t="shared" si="18"/>
        <v>100.19625059300171</v>
      </c>
      <c r="U33" s="1">
        <f t="shared" si="19"/>
        <v>100.19625059300171</v>
      </c>
      <c r="V33" s="1">
        <f t="shared" si="20"/>
        <v>102.2017991143299</v>
      </c>
      <c r="W33" s="1">
        <f t="shared" si="21"/>
        <v>100.16441170560698</v>
      </c>
      <c r="X33" s="1">
        <f t="shared" si="22"/>
        <v>100.16441170560698</v>
      </c>
      <c r="Y33" s="1">
        <f t="shared" si="23"/>
        <v>100.16441170560698</v>
      </c>
      <c r="Z33" s="1">
        <f t="shared" si="24"/>
        <v>100.16441170560698</v>
      </c>
      <c r="AA33" s="1">
        <f t="shared" si="25"/>
        <v>102.19196691979636</v>
      </c>
      <c r="AB33" s="1">
        <f t="shared" si="26"/>
        <v>102.20179911432992</v>
      </c>
      <c r="AC33" s="1">
        <f t="shared" si="27"/>
        <v>102.20179911432992</v>
      </c>
      <c r="AD33" s="1">
        <f t="shared" si="28"/>
        <v>102.20179911432992</v>
      </c>
      <c r="AE33" s="1">
        <f t="shared" si="29"/>
        <v>101.00410928212897</v>
      </c>
      <c r="AF33" s="1">
        <f t="shared" si="30"/>
        <v>0.99005872840951203</v>
      </c>
      <c r="AH33" s="1" t="str">
        <f t="shared" si="31"/>
        <v>C1061.23140A</v>
      </c>
      <c r="AI33" s="1">
        <f t="shared" si="32"/>
        <v>99.005872840951199</v>
      </c>
      <c r="AJ33" s="1">
        <f t="shared" si="33"/>
        <v>99.200172453508088</v>
      </c>
      <c r="AK33" s="1">
        <f t="shared" si="34"/>
        <v>99.200172453508088</v>
      </c>
      <c r="AL33" s="1">
        <f t="shared" si="35"/>
        <v>101.18578327229785</v>
      </c>
      <c r="AM33" s="1">
        <f t="shared" si="36"/>
        <v>99.168650085140087</v>
      </c>
      <c r="AN33" s="1">
        <f t="shared" si="37"/>
        <v>99.168650085140087</v>
      </c>
      <c r="AO33" s="1">
        <f t="shared" si="38"/>
        <v>99.168650085140087</v>
      </c>
      <c r="AP33" s="1">
        <f t="shared" si="39"/>
        <v>99.168650085140087</v>
      </c>
      <c r="AQ33" s="1">
        <f t="shared" si="40"/>
        <v>101.17604882228051</v>
      </c>
      <c r="AR33" s="1">
        <f t="shared" si="41"/>
        <v>101.18578327229787</v>
      </c>
      <c r="AS33" s="1">
        <f t="shared" si="42"/>
        <v>101.18578327229787</v>
      </c>
      <c r="AT33" s="1">
        <f t="shared" si="43"/>
        <v>101.18578327229787</v>
      </c>
      <c r="AU33" s="1">
        <f t="shared" ref="AU33:AW33" si="76">AT33*O33</f>
        <v>101.18578327229787</v>
      </c>
      <c r="AV33" s="1">
        <f t="shared" si="76"/>
        <v>105.28092165972451</v>
      </c>
      <c r="AW33" s="1">
        <f t="shared" si="76"/>
        <v>101.1857832722979</v>
      </c>
      <c r="AX33" s="1" t="b">
        <f t="shared" si="45"/>
        <v>1</v>
      </c>
      <c r="AY33" s="1" t="s">
        <v>43</v>
      </c>
      <c r="AZ33" s="1" t="str">
        <f t="shared" si="46"/>
        <v>C10</v>
      </c>
      <c r="BA33" s="1" t="str">
        <f t="shared" si="47"/>
        <v>C1061</v>
      </c>
      <c r="BB33" s="1" t="s">
        <v>220</v>
      </c>
      <c r="BC33" s="1" t="s">
        <v>221</v>
      </c>
      <c r="BD33" s="1">
        <v>4.4107683930440563E-3</v>
      </c>
      <c r="BE33" s="1">
        <f t="shared" si="3"/>
        <v>0.43669197465260651</v>
      </c>
      <c r="BF33" s="1">
        <f t="shared" si="4"/>
        <v>0.43754898524245311</v>
      </c>
      <c r="BG33" s="1">
        <f t="shared" si="5"/>
        <v>0.43754898524245311</v>
      </c>
      <c r="BH33" s="1">
        <f t="shared" si="6"/>
        <v>0.44630705468285736</v>
      </c>
      <c r="BI33" s="1">
        <f t="shared" si="7"/>
        <v>0.43740994737638167</v>
      </c>
      <c r="BJ33" s="1">
        <f t="shared" si="8"/>
        <v>0.43740994737638167</v>
      </c>
      <c r="BK33" s="1">
        <f t="shared" si="9"/>
        <v>0.43740994737638167</v>
      </c>
      <c r="BL33" s="1">
        <f t="shared" si="10"/>
        <v>0.43740994737638167</v>
      </c>
      <c r="BM33" s="1">
        <f t="shared" si="11"/>
        <v>0.44626411827839718</v>
      </c>
      <c r="BN33" s="1">
        <f t="shared" si="12"/>
        <v>0.44630705468285742</v>
      </c>
      <c r="BO33" s="1">
        <f t="shared" si="13"/>
        <v>0.44630705468285742</v>
      </c>
      <c r="BP33" s="1">
        <f t="shared" si="14"/>
        <v>0.44630705468285742</v>
      </c>
      <c r="BQ33" s="1">
        <f t="shared" si="15"/>
        <v>0.44630705468285742</v>
      </c>
      <c r="BR33" s="1">
        <f t="shared" si="16"/>
        <v>0.46436976164726029</v>
      </c>
      <c r="BS33" s="1">
        <f t="shared" si="17"/>
        <v>0.44630705468285753</v>
      </c>
      <c r="BV33" s="1" t="s">
        <v>616</v>
      </c>
      <c r="BW33" s="1">
        <f>((AJ33-AI33)/BE$154)*$BD33</f>
        <v>8.6090537986298018E-6</v>
      </c>
      <c r="BX33" s="1">
        <f>((AK33-AJ33)/BF$154)*$BD33</f>
        <v>0</v>
      </c>
      <c r="BY33" s="1">
        <f>((AL33-AK33)/BG$154)*$BD33</f>
        <v>8.8066948985880418E-5</v>
      </c>
      <c r="BZ33" s="1">
        <f>((AM33-AL33)/BH$154)*$BD33</f>
        <v>-8.9263752567824358E-5</v>
      </c>
      <c r="CA33" s="1">
        <f>((AN33-AM33)/BI$154)*$BD33</f>
        <v>0</v>
      </c>
      <c r="CB33" s="1">
        <f>((AO33-AN33)/BJ$154)*$BD33</f>
        <v>0</v>
      </c>
      <c r="CC33" s="1">
        <f>((AP33-AO33)/BK$154)*$BD33</f>
        <v>0</v>
      </c>
      <c r="CD33" s="1">
        <f>((AQ33-AP33)/BL$154)*$BD33</f>
        <v>8.8536298546042171E-5</v>
      </c>
      <c r="CE33" s="1">
        <f>((AR33-AQ33)/BM$154)*$BD33</f>
        <v>4.2762696474070021E-7</v>
      </c>
      <c r="CF33" s="1">
        <f>((AS33-AR33)/BN$154)*$BD33</f>
        <v>0</v>
      </c>
      <c r="CG33" s="1">
        <f>((AT33-AS33)/BO$154)*$BD33</f>
        <v>0</v>
      </c>
      <c r="CH33" s="1">
        <f>((AU33-AT33)/BP$154)*$BD33</f>
        <v>0</v>
      </c>
      <c r="CI33" s="1">
        <f>((AV33-AU33)/BQ$154)*$BD33</f>
        <v>1.7866868103275413E-4</v>
      </c>
      <c r="CJ33" s="1">
        <f>((AW33-AV33)/BR$154)*$BD33</f>
        <v>-1.7834827626433042E-4</v>
      </c>
    </row>
    <row r="34" spans="1:88" x14ac:dyDescent="0.35">
      <c r="A34" s="1" t="s">
        <v>44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S34" s="1">
        <f t="shared" si="0"/>
        <v>100</v>
      </c>
      <c r="T34" s="1">
        <f t="shared" si="18"/>
        <v>100</v>
      </c>
      <c r="U34" s="1">
        <f t="shared" si="19"/>
        <v>100</v>
      </c>
      <c r="V34" s="1">
        <f t="shared" si="20"/>
        <v>100</v>
      </c>
      <c r="W34" s="1">
        <f t="shared" si="21"/>
        <v>100</v>
      </c>
      <c r="X34" s="1">
        <f t="shared" si="22"/>
        <v>100</v>
      </c>
      <c r="Y34" s="1">
        <f t="shared" si="23"/>
        <v>100</v>
      </c>
      <c r="Z34" s="1">
        <f t="shared" si="24"/>
        <v>100</v>
      </c>
      <c r="AA34" s="1">
        <f t="shared" si="25"/>
        <v>100</v>
      </c>
      <c r="AB34" s="1">
        <f t="shared" si="26"/>
        <v>100</v>
      </c>
      <c r="AC34" s="1">
        <f t="shared" si="27"/>
        <v>100</v>
      </c>
      <c r="AD34" s="1">
        <f t="shared" si="28"/>
        <v>100</v>
      </c>
      <c r="AE34" s="1">
        <f t="shared" si="29"/>
        <v>100</v>
      </c>
      <c r="AF34" s="1">
        <f t="shared" si="30"/>
        <v>1</v>
      </c>
      <c r="AH34" s="1" t="str">
        <f t="shared" si="31"/>
        <v>C1061.23140B</v>
      </c>
      <c r="AI34" s="1">
        <f t="shared" si="32"/>
        <v>100</v>
      </c>
      <c r="AJ34" s="1">
        <f t="shared" si="33"/>
        <v>100</v>
      </c>
      <c r="AK34" s="1">
        <f t="shared" si="34"/>
        <v>100</v>
      </c>
      <c r="AL34" s="1">
        <f t="shared" si="35"/>
        <v>100</v>
      </c>
      <c r="AM34" s="1">
        <f t="shared" si="36"/>
        <v>100</v>
      </c>
      <c r="AN34" s="1">
        <f t="shared" si="37"/>
        <v>100</v>
      </c>
      <c r="AO34" s="1">
        <f t="shared" si="38"/>
        <v>100</v>
      </c>
      <c r="AP34" s="1">
        <f t="shared" si="39"/>
        <v>100</v>
      </c>
      <c r="AQ34" s="1">
        <f t="shared" si="40"/>
        <v>100</v>
      </c>
      <c r="AR34" s="1">
        <f t="shared" si="41"/>
        <v>100</v>
      </c>
      <c r="AS34" s="1">
        <f t="shared" si="42"/>
        <v>100</v>
      </c>
      <c r="AT34" s="1">
        <f t="shared" si="43"/>
        <v>100</v>
      </c>
      <c r="AU34" s="1">
        <f t="shared" ref="AU34:AW34" si="77">AT34*O34</f>
        <v>100</v>
      </c>
      <c r="AV34" s="1">
        <f t="shared" si="77"/>
        <v>100</v>
      </c>
      <c r="AW34" s="1">
        <f t="shared" si="77"/>
        <v>100</v>
      </c>
      <c r="AX34" s="1" t="b">
        <f t="shared" si="45"/>
        <v>1</v>
      </c>
      <c r="AY34" s="1" t="s">
        <v>44</v>
      </c>
      <c r="AZ34" s="1" t="str">
        <f t="shared" si="46"/>
        <v>C10</v>
      </c>
      <c r="BA34" s="1" t="str">
        <f t="shared" si="47"/>
        <v>C1061</v>
      </c>
      <c r="BB34" s="1" t="s">
        <v>222</v>
      </c>
      <c r="BC34" s="1" t="s">
        <v>223</v>
      </c>
      <c r="BD34" s="1">
        <v>1.5020950094052901E-3</v>
      </c>
      <c r="BE34" s="1">
        <f t="shared" si="3"/>
        <v>0.15020950094052901</v>
      </c>
      <c r="BF34" s="1">
        <f t="shared" si="4"/>
        <v>0.15020950094052901</v>
      </c>
      <c r="BG34" s="1">
        <f t="shared" si="5"/>
        <v>0.15020950094052901</v>
      </c>
      <c r="BH34" s="1">
        <f t="shared" si="6"/>
        <v>0.15020950094052901</v>
      </c>
      <c r="BI34" s="1">
        <f t="shared" si="7"/>
        <v>0.15020950094052901</v>
      </c>
      <c r="BJ34" s="1">
        <f t="shared" si="8"/>
        <v>0.15020950094052901</v>
      </c>
      <c r="BK34" s="1">
        <f t="shared" si="9"/>
        <v>0.15020950094052901</v>
      </c>
      <c r="BL34" s="1">
        <f t="shared" si="10"/>
        <v>0.15020950094052901</v>
      </c>
      <c r="BM34" s="1">
        <f t="shared" si="11"/>
        <v>0.15020950094052901</v>
      </c>
      <c r="BN34" s="1">
        <f t="shared" si="12"/>
        <v>0.15020950094052901</v>
      </c>
      <c r="BO34" s="1">
        <f t="shared" si="13"/>
        <v>0.15020950094052901</v>
      </c>
      <c r="BP34" s="1">
        <f t="shared" si="14"/>
        <v>0.15020950094052901</v>
      </c>
      <c r="BQ34" s="1">
        <f t="shared" si="15"/>
        <v>0.15020950094052901</v>
      </c>
      <c r="BR34" s="1">
        <f t="shared" si="16"/>
        <v>0.15020950094052901</v>
      </c>
      <c r="BS34" s="1">
        <f t="shared" si="17"/>
        <v>0.15020950094052901</v>
      </c>
      <c r="BV34" s="1" t="s">
        <v>617</v>
      </c>
      <c r="BW34" s="1">
        <f>((AJ34-AI34)/BE$154)*$BD34</f>
        <v>0</v>
      </c>
      <c r="BX34" s="1">
        <f>((AK34-AJ34)/BF$154)*$BD34</f>
        <v>0</v>
      </c>
      <c r="BY34" s="1">
        <f>((AL34-AK34)/BG$154)*$BD34</f>
        <v>0</v>
      </c>
      <c r="BZ34" s="1">
        <f>((AM34-AL34)/BH$154)*$BD34</f>
        <v>0</v>
      </c>
      <c r="CA34" s="1">
        <f>((AN34-AM34)/BI$154)*$BD34</f>
        <v>0</v>
      </c>
      <c r="CB34" s="1">
        <f>((AO34-AN34)/BJ$154)*$BD34</f>
        <v>0</v>
      </c>
      <c r="CC34" s="1">
        <f>((AP34-AO34)/BK$154)*$BD34</f>
        <v>0</v>
      </c>
      <c r="CD34" s="1">
        <f>((AQ34-AP34)/BL$154)*$BD34</f>
        <v>0</v>
      </c>
      <c r="CE34" s="1">
        <f>((AR34-AQ34)/BM$154)*$BD34</f>
        <v>0</v>
      </c>
      <c r="CF34" s="1">
        <f>((AS34-AR34)/BN$154)*$BD34</f>
        <v>0</v>
      </c>
      <c r="CG34" s="1">
        <f>((AT34-AS34)/BO$154)*$BD34</f>
        <v>0</v>
      </c>
      <c r="CH34" s="1">
        <f>((AU34-AT34)/BP$154)*$BD34</f>
        <v>0</v>
      </c>
      <c r="CI34" s="1">
        <f>((AV34-AU34)/BQ$154)*$BD34</f>
        <v>0</v>
      </c>
      <c r="CJ34" s="1">
        <f>((AW34-AV34)/BR$154)*$BD34</f>
        <v>0</v>
      </c>
    </row>
    <row r="35" spans="1:88" x14ac:dyDescent="0.35">
      <c r="A35" s="1" t="s">
        <v>45</v>
      </c>
      <c r="B35" s="1">
        <v>1.0032320055288582</v>
      </c>
      <c r="C35" s="1">
        <v>1</v>
      </c>
      <c r="D35" s="1">
        <v>1.0032087575867321</v>
      </c>
      <c r="E35" s="1">
        <v>0.99697284529867269</v>
      </c>
      <c r="F35" s="1">
        <v>1.0189242283573423</v>
      </c>
      <c r="G35" s="1">
        <v>1.0120223353398416</v>
      </c>
      <c r="H35" s="1">
        <v>1.0001268730633979</v>
      </c>
      <c r="I35" s="1">
        <v>1.0098389437834783</v>
      </c>
      <c r="J35" s="1">
        <v>1.0069731665947248</v>
      </c>
      <c r="K35" s="1">
        <v>1.0034254063004255</v>
      </c>
      <c r="L35" s="1">
        <v>1.0023610246662016</v>
      </c>
      <c r="M35" s="1">
        <v>1.0016054546489883</v>
      </c>
      <c r="N35" s="1">
        <v>0.99744824759034312</v>
      </c>
      <c r="O35" s="1">
        <v>0.99537186784759812</v>
      </c>
      <c r="P35" s="1">
        <v>0.9971069111302665</v>
      </c>
      <c r="Q35" s="1">
        <v>0.99894217622211745</v>
      </c>
      <c r="S35" s="1">
        <f t="shared" si="0"/>
        <v>100</v>
      </c>
      <c r="T35" s="1">
        <f t="shared" si="18"/>
        <v>100.32087575867321</v>
      </c>
      <c r="U35" s="1">
        <f t="shared" si="19"/>
        <v>100.01718894797907</v>
      </c>
      <c r="V35" s="1">
        <f t="shared" si="20"/>
        <v>101.90993707129007</v>
      </c>
      <c r="W35" s="1">
        <f t="shared" si="21"/>
        <v>103.13513250922328</v>
      </c>
      <c r="X35" s="1">
        <f t="shared" si="22"/>
        <v>103.14821757942867</v>
      </c>
      <c r="Y35" s="1">
        <f t="shared" si="23"/>
        <v>104.16308709355866</v>
      </c>
      <c r="Z35" s="1">
        <f t="shared" si="24"/>
        <v>104.88943365288287</v>
      </c>
      <c r="AA35" s="1">
        <f t="shared" si="25"/>
        <v>105.24872257976553</v>
      </c>
      <c r="AB35" s="1">
        <f t="shared" si="26"/>
        <v>105.49721740986256</v>
      </c>
      <c r="AC35" s="1">
        <f t="shared" si="27"/>
        <v>105.66658840800855</v>
      </c>
      <c r="AD35" s="1">
        <f t="shared" si="28"/>
        <v>105.39695343641819</v>
      </c>
      <c r="AE35" s="1">
        <f t="shared" si="29"/>
        <v>103.28277953725757</v>
      </c>
      <c r="AF35" s="1">
        <f t="shared" si="30"/>
        <v>0.96821561588518867</v>
      </c>
      <c r="AH35" s="1" t="str">
        <f t="shared" si="31"/>
        <v>C1061.23161</v>
      </c>
      <c r="AI35" s="1">
        <f t="shared" si="32"/>
        <v>96.821561588518861</v>
      </c>
      <c r="AJ35" s="1">
        <f t="shared" si="33"/>
        <v>97.132238508825282</v>
      </c>
      <c r="AK35" s="1">
        <f t="shared" si="34"/>
        <v>96.838204196372843</v>
      </c>
      <c r="AL35" s="1">
        <f t="shared" si="35"/>
        <v>98.670792486299945</v>
      </c>
      <c r="AM35" s="1">
        <f t="shared" si="36"/>
        <v>99.857045841818163</v>
      </c>
      <c r="AN35" s="1">
        <f t="shared" si="37"/>
        <v>99.869715011125976</v>
      </c>
      <c r="AO35" s="1">
        <f t="shared" si="38"/>
        <v>100.85232752279245</v>
      </c>
      <c r="AP35" s="1">
        <f t="shared" si="39"/>
        <v>101.55558760407463</v>
      </c>
      <c r="AQ35" s="1">
        <f t="shared" si="40"/>
        <v>101.90345675369704</v>
      </c>
      <c r="AR35" s="1">
        <f t="shared" si="41"/>
        <v>102.14405332866373</v>
      </c>
      <c r="AS35" s="1">
        <f t="shared" si="42"/>
        <v>102.30804097394673</v>
      </c>
      <c r="AT35" s="1">
        <f t="shared" si="43"/>
        <v>102.04697618386419</v>
      </c>
      <c r="AU35" s="1">
        <f t="shared" ref="AU35:AW35" si="78">AT35*O35</f>
        <v>101.57468929233225</v>
      </c>
      <c r="AV35" s="1">
        <f t="shared" si="78"/>
        <v>101.28082468929396</v>
      </c>
      <c r="AW35" s="1">
        <f t="shared" si="78"/>
        <v>101.17368742469408</v>
      </c>
      <c r="AX35" s="1" t="b">
        <f t="shared" si="45"/>
        <v>1</v>
      </c>
      <c r="AY35" s="1" t="s">
        <v>45</v>
      </c>
      <c r="AZ35" s="1" t="str">
        <f t="shared" si="46"/>
        <v>C10</v>
      </c>
      <c r="BA35" s="1" t="str">
        <f t="shared" si="47"/>
        <v>C1061</v>
      </c>
      <c r="BB35" s="1" t="s">
        <v>224</v>
      </c>
      <c r="BC35" s="1" t="s">
        <v>225</v>
      </c>
      <c r="BD35" s="1">
        <v>6.0083800376211603E-3</v>
      </c>
      <c r="BE35" s="1">
        <f t="shared" ref="BE35:BE66" si="79">$BD35*AI35</f>
        <v>0.58174073785976443</v>
      </c>
      <c r="BF35" s="1">
        <f t="shared" ref="BF35:BF66" si="80">$BD35*AJ35</f>
        <v>0.5836074028658832</v>
      </c>
      <c r="BG35" s="1">
        <f t="shared" ref="BG35:BG66" si="81">$BD35*AK35</f>
        <v>0.58184073297256822</v>
      </c>
      <c r="BH35" s="1">
        <f t="shared" ref="BH35:BH66" si="82">$BD35*AL35</f>
        <v>0.59285161987094459</v>
      </c>
      <c r="BI35" s="1">
        <f t="shared" ref="BI35:BI66" si="83">$BD35*AM35</f>
        <v>0.59997908085180129</v>
      </c>
      <c r="BJ35" s="1">
        <f t="shared" ref="BJ35:BJ66" si="84">$BD35*AN35</f>
        <v>0.60005520203576368</v>
      </c>
      <c r="BK35" s="1">
        <f t="shared" ref="BK35:BK66" si="85">$BD35*AO35</f>
        <v>0.60595911143557724</v>
      </c>
      <c r="BL35" s="1">
        <f t="shared" ref="BL35:BL66" si="86">$BD35*AP35</f>
        <v>0.61018456526920895</v>
      </c>
      <c r="BM35" s="1">
        <f t="shared" ref="BM35:BM66" si="87">$BD35*AQ35</f>
        <v>0.61227469532350454</v>
      </c>
      <c r="BN35" s="1">
        <f t="shared" ref="BN35:BN66" si="88">$BD35*AR35</f>
        <v>0.61372029098165437</v>
      </c>
      <c r="BO35" s="1">
        <f t="shared" ref="BO35:BO66" si="89">$BD35*AS35</f>
        <v>0.61470559107598932</v>
      </c>
      <c r="BP35" s="1">
        <f t="shared" ref="BP35:BP66" si="90">$BD35*AT35</f>
        <v>0.61313701460273151</v>
      </c>
      <c r="BQ35" s="1">
        <f t="shared" ref="BQ35:BQ66" si="91">$BD35*AU35</f>
        <v>0.61029933547162096</v>
      </c>
      <c r="BR35" s="1">
        <f t="shared" ref="BR35:BR66" si="92">$BD35*AV35</f>
        <v>0.60853368525696216</v>
      </c>
      <c r="BS35" s="1">
        <f t="shared" ref="BS35:BS66" si="93">$BD35*AW35</f>
        <v>0.60788996385505489</v>
      </c>
      <c r="BV35" s="1" t="s">
        <v>45</v>
      </c>
      <c r="BW35" s="1">
        <f>((AJ35-AI35)/BE$154)*$BD35</f>
        <v>1.8751482947919554E-5</v>
      </c>
      <c r="BX35" s="1">
        <f>((AK35-AJ35)/BF$154)*$BD35</f>
        <v>-1.7756696689780594E-5</v>
      </c>
      <c r="BY35" s="1">
        <f>((AL35-AK35)/BG$154)*$BD35</f>
        <v>1.1072020167995474E-4</v>
      </c>
      <c r="BZ35" s="1">
        <f>((AM35-AL35)/BH$154)*$BD35</f>
        <v>7.1509074974171737E-5</v>
      </c>
      <c r="CA35" s="1">
        <f>((AN35-AM35)/BI$154)*$BD35</f>
        <v>7.6289634552403854E-7</v>
      </c>
      <c r="CB35" s="1">
        <f>((AO35-AN35)/BJ$154)*$BD35</f>
        <v>5.9138417761193716E-5</v>
      </c>
      <c r="CC35" s="1">
        <f>((AP35-AO35)/BK$154)*$BD35</f>
        <v>4.2313469760879955E-5</v>
      </c>
      <c r="CD35" s="1">
        <f>((AQ35-AP35)/BL$154)*$BD35</f>
        <v>2.0900023337593519E-5</v>
      </c>
      <c r="CE35" s="1">
        <f>((AR35-AQ35)/BM$154)*$BD35</f>
        <v>1.4397472059154425E-5</v>
      </c>
      <c r="CF35" s="1">
        <f>((AS35-AR35)/BN$154)*$BD35</f>
        <v>9.805012002554092E-6</v>
      </c>
      <c r="CG35" s="1">
        <f>((AT35-AS35)/BO$154)*$BD35</f>
        <v>-1.5573637143561487E-5</v>
      </c>
      <c r="CH35" s="1">
        <f>((AU35-AT35)/BP$154)*$BD35</f>
        <v>-2.8166792041814843E-5</v>
      </c>
      <c r="CI35" s="1">
        <f>((AV35-AU35)/BQ$154)*$BD35</f>
        <v>-1.7465067425385221E-5</v>
      </c>
      <c r="CJ35" s="1">
        <f>((AW35-AV35)/BR$154)*$BD35</f>
        <v>-6.3560020461428545E-6</v>
      </c>
    </row>
    <row r="36" spans="1:88" x14ac:dyDescent="0.35">
      <c r="A36" s="1" t="s">
        <v>46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1.0334724928195305</v>
      </c>
      <c r="P36" s="1">
        <v>1.0089356677447512</v>
      </c>
      <c r="Q36" s="1">
        <v>1</v>
      </c>
      <c r="S36" s="1">
        <f t="shared" si="0"/>
        <v>100</v>
      </c>
      <c r="T36" s="1">
        <f t="shared" si="18"/>
        <v>100</v>
      </c>
      <c r="U36" s="1">
        <f t="shared" si="19"/>
        <v>100</v>
      </c>
      <c r="V36" s="1">
        <f t="shared" si="20"/>
        <v>100</v>
      </c>
      <c r="W36" s="1">
        <f t="shared" si="21"/>
        <v>100</v>
      </c>
      <c r="X36" s="1">
        <f t="shared" si="22"/>
        <v>100</v>
      </c>
      <c r="Y36" s="1">
        <f t="shared" si="23"/>
        <v>100</v>
      </c>
      <c r="Z36" s="1">
        <f t="shared" si="24"/>
        <v>100</v>
      </c>
      <c r="AA36" s="1">
        <f t="shared" si="25"/>
        <v>100</v>
      </c>
      <c r="AB36" s="1">
        <f t="shared" si="26"/>
        <v>100</v>
      </c>
      <c r="AC36" s="1">
        <f t="shared" si="27"/>
        <v>100</v>
      </c>
      <c r="AD36" s="1">
        <f t="shared" si="28"/>
        <v>100</v>
      </c>
      <c r="AE36" s="1">
        <f t="shared" si="29"/>
        <v>100</v>
      </c>
      <c r="AF36" s="1">
        <f t="shared" si="30"/>
        <v>1</v>
      </c>
      <c r="AH36" s="1" t="str">
        <f t="shared" si="31"/>
        <v>C1071.23420</v>
      </c>
      <c r="AI36" s="1">
        <f t="shared" si="32"/>
        <v>100</v>
      </c>
      <c r="AJ36" s="1">
        <f t="shared" si="33"/>
        <v>100</v>
      </c>
      <c r="AK36" s="1">
        <f t="shared" si="34"/>
        <v>100</v>
      </c>
      <c r="AL36" s="1">
        <f t="shared" si="35"/>
        <v>100</v>
      </c>
      <c r="AM36" s="1">
        <f t="shared" si="36"/>
        <v>100</v>
      </c>
      <c r="AN36" s="1">
        <f t="shared" si="37"/>
        <v>100</v>
      </c>
      <c r="AO36" s="1">
        <f t="shared" si="38"/>
        <v>100</v>
      </c>
      <c r="AP36" s="1">
        <f t="shared" si="39"/>
        <v>100</v>
      </c>
      <c r="AQ36" s="1">
        <f t="shared" si="40"/>
        <v>100</v>
      </c>
      <c r="AR36" s="1">
        <f t="shared" si="41"/>
        <v>100</v>
      </c>
      <c r="AS36" s="1">
        <f t="shared" si="42"/>
        <v>100</v>
      </c>
      <c r="AT36" s="1">
        <f t="shared" si="43"/>
        <v>100</v>
      </c>
      <c r="AU36" s="1">
        <f t="shared" ref="AU36:AW36" si="94">AT36*O36</f>
        <v>103.34724928195304</v>
      </c>
      <c r="AV36" s="1">
        <f t="shared" si="94"/>
        <v>104.27072596387055</v>
      </c>
      <c r="AW36" s="1">
        <f t="shared" si="94"/>
        <v>104.27072596387055</v>
      </c>
      <c r="AX36" s="1" t="b">
        <f t="shared" si="45"/>
        <v>1</v>
      </c>
      <c r="AY36" s="1" t="s">
        <v>46</v>
      </c>
      <c r="AZ36" s="1" t="str">
        <f t="shared" si="46"/>
        <v>C10</v>
      </c>
      <c r="BA36" s="1" t="str">
        <f t="shared" si="47"/>
        <v>C1071</v>
      </c>
      <c r="BB36" s="1" t="s">
        <v>228</v>
      </c>
      <c r="BC36" s="1" t="s">
        <v>229</v>
      </c>
      <c r="BD36" s="1">
        <v>5.8037199813530133E-3</v>
      </c>
      <c r="BE36" s="1">
        <f t="shared" si="79"/>
        <v>0.58037199813530138</v>
      </c>
      <c r="BF36" s="1">
        <f t="shared" si="80"/>
        <v>0.58037199813530138</v>
      </c>
      <c r="BG36" s="1">
        <f t="shared" si="81"/>
        <v>0.58037199813530138</v>
      </c>
      <c r="BH36" s="1">
        <f t="shared" si="82"/>
        <v>0.58037199813530138</v>
      </c>
      <c r="BI36" s="1">
        <f t="shared" si="83"/>
        <v>0.58037199813530138</v>
      </c>
      <c r="BJ36" s="1">
        <f t="shared" si="84"/>
        <v>0.58037199813530138</v>
      </c>
      <c r="BK36" s="1">
        <f t="shared" si="85"/>
        <v>0.58037199813530138</v>
      </c>
      <c r="BL36" s="1">
        <f t="shared" si="86"/>
        <v>0.58037199813530138</v>
      </c>
      <c r="BM36" s="1">
        <f t="shared" si="87"/>
        <v>0.58037199813530138</v>
      </c>
      <c r="BN36" s="1">
        <f t="shared" si="88"/>
        <v>0.58037199813530138</v>
      </c>
      <c r="BO36" s="1">
        <f t="shared" si="89"/>
        <v>0.58037199813530138</v>
      </c>
      <c r="BP36" s="1">
        <f t="shared" si="90"/>
        <v>0.58037199813530138</v>
      </c>
      <c r="BQ36" s="1">
        <f t="shared" si="91"/>
        <v>0.59979849567554167</v>
      </c>
      <c r="BR36" s="1">
        <f t="shared" si="92"/>
        <v>0.60515809574669999</v>
      </c>
      <c r="BS36" s="1">
        <f t="shared" si="93"/>
        <v>0.60515809574669999</v>
      </c>
      <c r="BV36" s="1" t="s">
        <v>46</v>
      </c>
      <c r="BW36" s="1">
        <f>((AJ36-AI36)/BE$154)*$BD36</f>
        <v>0</v>
      </c>
      <c r="BX36" s="1">
        <f>((AK36-AJ36)/BF$154)*$BD36</f>
        <v>0</v>
      </c>
      <c r="BY36" s="1">
        <f>((AL36-AK36)/BG$154)*$BD36</f>
        <v>0</v>
      </c>
      <c r="BZ36" s="1">
        <f>((AM36-AL36)/BH$154)*$BD36</f>
        <v>0</v>
      </c>
      <c r="CA36" s="1">
        <f>((AN36-AM36)/BI$154)*$BD36</f>
        <v>0</v>
      </c>
      <c r="CB36" s="1">
        <f>((AO36-AN36)/BJ$154)*$BD36</f>
        <v>0</v>
      </c>
      <c r="CC36" s="1">
        <f>((AP36-AO36)/BK$154)*$BD36</f>
        <v>0</v>
      </c>
      <c r="CD36" s="1">
        <f>((AQ36-AP36)/BL$154)*$BD36</f>
        <v>0</v>
      </c>
      <c r="CE36" s="1">
        <f>((AR36-AQ36)/BM$154)*$BD36</f>
        <v>0</v>
      </c>
      <c r="CF36" s="1">
        <f>((AS36-AR36)/BN$154)*$BD36</f>
        <v>0</v>
      </c>
      <c r="CG36" s="1">
        <f>((AT36-AS36)/BO$154)*$BD36</f>
        <v>0</v>
      </c>
      <c r="CH36" s="1">
        <f>((AU36-AT36)/BP$154)*$BD36</f>
        <v>1.9282733918637833E-4</v>
      </c>
      <c r="CI36" s="1">
        <f>((AV36-AU36)/BQ$154)*$BD36</f>
        <v>5.3014903993298056E-5</v>
      </c>
      <c r="CJ36" s="1">
        <f>((AW36-AV36)/BR$154)*$BD36</f>
        <v>0</v>
      </c>
    </row>
    <row r="37" spans="1:88" x14ac:dyDescent="0.35">
      <c r="A37" s="1" t="s">
        <v>47</v>
      </c>
      <c r="B37" s="1">
        <v>0.99998602561497418</v>
      </c>
      <c r="C37" s="1">
        <v>1</v>
      </c>
      <c r="D37" s="1">
        <v>1.0034475653374832</v>
      </c>
      <c r="E37" s="1">
        <v>1.0010747199079746</v>
      </c>
      <c r="F37" s="1">
        <v>1</v>
      </c>
      <c r="G37" s="1">
        <v>1.0003483725016991</v>
      </c>
      <c r="H37" s="1">
        <v>1.0020914728862123</v>
      </c>
      <c r="I37" s="1">
        <v>0.99994812872939431</v>
      </c>
      <c r="J37" s="1">
        <v>1</v>
      </c>
      <c r="K37" s="1">
        <v>1</v>
      </c>
      <c r="L37" s="1">
        <v>1.0022476497233663</v>
      </c>
      <c r="M37" s="1">
        <v>1.0040991508424995</v>
      </c>
      <c r="N37" s="1">
        <v>0.99861231392636518</v>
      </c>
      <c r="O37" s="1">
        <v>1.0042701181873579</v>
      </c>
      <c r="P37" s="1">
        <v>1.005451236993878</v>
      </c>
      <c r="Q37" s="1">
        <v>1.0053006226752286</v>
      </c>
      <c r="S37" s="1">
        <f t="shared" si="0"/>
        <v>100</v>
      </c>
      <c r="T37" s="1">
        <f t="shared" si="18"/>
        <v>100.34475653374832</v>
      </c>
      <c r="U37" s="1">
        <f t="shared" si="19"/>
        <v>100.45259904125601</v>
      </c>
      <c r="V37" s="1">
        <f t="shared" si="20"/>
        <v>100.45259904125601</v>
      </c>
      <c r="W37" s="1">
        <f t="shared" si="21"/>
        <v>100.48759396448618</v>
      </c>
      <c r="X37" s="1">
        <f t="shared" si="22"/>
        <v>100.69776104266361</v>
      </c>
      <c r="Y37" s="1">
        <f t="shared" si="23"/>
        <v>100.69253772185118</v>
      </c>
      <c r="Z37" s="1">
        <f t="shared" si="24"/>
        <v>100.69253772185118</v>
      </c>
      <c r="AA37" s="1">
        <f t="shared" si="25"/>
        <v>100.69253772185118</v>
      </c>
      <c r="AB37" s="1">
        <f t="shared" si="26"/>
        <v>100.91885927640675</v>
      </c>
      <c r="AC37" s="1">
        <f t="shared" si="27"/>
        <v>101.33254090343371</v>
      </c>
      <c r="AD37" s="1">
        <f t="shared" si="28"/>
        <v>101.19192314761598</v>
      </c>
      <c r="AE37" s="1">
        <f t="shared" si="29"/>
        <v>100.6630205097017</v>
      </c>
      <c r="AF37" s="1">
        <f t="shared" si="30"/>
        <v>0.99341346498103744</v>
      </c>
      <c r="AH37" s="1" t="str">
        <f t="shared" si="31"/>
        <v>C1071.23430</v>
      </c>
      <c r="AI37" s="1">
        <f t="shared" si="32"/>
        <v>99.341346498103746</v>
      </c>
      <c r="AJ37" s="1">
        <f t="shared" si="33"/>
        <v>99.683832280869524</v>
      </c>
      <c r="AK37" s="1">
        <f t="shared" si="34"/>
        <v>99.790964479924966</v>
      </c>
      <c r="AL37" s="1">
        <f t="shared" si="35"/>
        <v>99.790964479924966</v>
      </c>
      <c r="AM37" s="1">
        <f t="shared" si="36"/>
        <v>99.825728907867799</v>
      </c>
      <c r="AN37" s="1">
        <f t="shared" si="37"/>
        <v>100.03451171322499</v>
      </c>
      <c r="AO37" s="1">
        <f t="shared" si="38"/>
        <v>100.029322795998</v>
      </c>
      <c r="AP37" s="1">
        <f t="shared" si="39"/>
        <v>100.029322795998</v>
      </c>
      <c r="AQ37" s="1">
        <f t="shared" si="40"/>
        <v>100.029322795998</v>
      </c>
      <c r="AR37" s="1">
        <f t="shared" si="41"/>
        <v>100.25415367570895</v>
      </c>
      <c r="AS37" s="1">
        <f t="shared" si="42"/>
        <v>100.66511057421279</v>
      </c>
      <c r="AT37" s="1">
        <f t="shared" si="43"/>
        <v>100.52541900216804</v>
      </c>
      <c r="AU37" s="1">
        <f t="shared" ref="AU37:AW37" si="95">AT37*O37</f>
        <v>100.95467442214097</v>
      </c>
      <c r="AV37" s="1">
        <f t="shared" si="95"/>
        <v>101.50500227805584</v>
      </c>
      <c r="AW37" s="1">
        <f t="shared" si="95"/>
        <v>102.04304199478003</v>
      </c>
      <c r="AX37" s="1" t="b">
        <f t="shared" si="45"/>
        <v>1</v>
      </c>
      <c r="AY37" s="1" t="s">
        <v>47</v>
      </c>
      <c r="AZ37" s="1" t="str">
        <f t="shared" si="46"/>
        <v>C10</v>
      </c>
      <c r="BA37" s="1" t="str">
        <f t="shared" si="47"/>
        <v>C1071</v>
      </c>
      <c r="BB37" s="1" t="s">
        <v>230</v>
      </c>
      <c r="BC37" s="1" t="s">
        <v>231</v>
      </c>
      <c r="BD37" s="1">
        <v>5.8037199813530133E-3</v>
      </c>
      <c r="BE37" s="1">
        <f t="shared" si="79"/>
        <v>0.57654935764555792</v>
      </c>
      <c r="BF37" s="1">
        <f t="shared" si="80"/>
        <v>0.57853704922632498</v>
      </c>
      <c r="BG37" s="1">
        <f t="shared" si="81"/>
        <v>0.57915881451062934</v>
      </c>
      <c r="BH37" s="1">
        <f t="shared" si="82"/>
        <v>0.57915881451062934</v>
      </c>
      <c r="BI37" s="1">
        <f t="shared" si="83"/>
        <v>0.57936057751572145</v>
      </c>
      <c r="BJ37" s="1">
        <f t="shared" si="84"/>
        <v>0.58057229445493597</v>
      </c>
      <c r="BK37" s="1">
        <f t="shared" si="85"/>
        <v>0.5805421794323441</v>
      </c>
      <c r="BL37" s="1">
        <f t="shared" si="86"/>
        <v>0.5805421794323441</v>
      </c>
      <c r="BM37" s="1">
        <f t="shared" si="87"/>
        <v>0.5805421794323441</v>
      </c>
      <c r="BN37" s="1">
        <f t="shared" si="88"/>
        <v>0.5818470349013477</v>
      </c>
      <c r="BO37" s="1">
        <f t="shared" si="89"/>
        <v>0.58423211366466932</v>
      </c>
      <c r="BP37" s="1">
        <f t="shared" si="90"/>
        <v>0.58342138289676648</v>
      </c>
      <c r="BQ37" s="1">
        <f t="shared" si="91"/>
        <v>0.58591266115476748</v>
      </c>
      <c r="BR37" s="1">
        <f t="shared" si="92"/>
        <v>0.58910660992843578</v>
      </c>
      <c r="BS37" s="1">
        <f t="shared" si="93"/>
        <v>0.59222924178314951</v>
      </c>
      <c r="BV37" s="1" t="s">
        <v>47</v>
      </c>
      <c r="BW37" s="1">
        <f>((AJ37-AI37)/BE$154)*$BD37</f>
        <v>1.9967248895920293E-5</v>
      </c>
      <c r="BX37" s="1">
        <f>((AK37-AJ37)/BF$154)*$BD37</f>
        <v>6.2493268308952907E-6</v>
      </c>
      <c r="BY37" s="1">
        <f>((AL37-AK37)/BG$154)*$BD37</f>
        <v>0</v>
      </c>
      <c r="BZ37" s="1">
        <f>((AM37-AL37)/BH$154)*$BD37</f>
        <v>2.0242672526581065E-6</v>
      </c>
      <c r="CA37" s="1">
        <f>((AN37-AM37)/BI$154)*$BD37</f>
        <v>1.2143983798176801E-5</v>
      </c>
      <c r="CB37" s="1">
        <f>((AO37-AN37)/BJ$154)*$BD37</f>
        <v>-3.0165686265126125E-7</v>
      </c>
      <c r="CC37" s="1">
        <f>((AP37-AO37)/BK$154)*$BD37</f>
        <v>0</v>
      </c>
      <c r="CD37" s="1">
        <f>((AQ37-AP37)/BL$154)*$BD37</f>
        <v>0</v>
      </c>
      <c r="CE37" s="1">
        <f>((AR37-AQ37)/BM$154)*$BD37</f>
        <v>1.2995764099249087E-5</v>
      </c>
      <c r="CF37" s="1">
        <f>((AS37-AR37)/BN$154)*$BD37</f>
        <v>2.3734622614840506E-5</v>
      </c>
      <c r="CG37" s="1">
        <f>((AT37-AS37)/BO$154)*$BD37</f>
        <v>-8.049353675575648E-6</v>
      </c>
      <c r="CH37" s="1">
        <f>((AU37-AT37)/BP$154)*$BD37</f>
        <v>2.4728418319778178E-5</v>
      </c>
      <c r="CI37" s="1">
        <f>((AV37-AU37)/BQ$154)*$BD37</f>
        <v>3.1593194519632458E-5</v>
      </c>
      <c r="CJ37" s="1">
        <f>((AW37-AV37)/BR$154)*$BD37</f>
        <v>3.0832366920075722E-5</v>
      </c>
    </row>
    <row r="38" spans="1:88" x14ac:dyDescent="0.35">
      <c r="A38" s="1" t="s">
        <v>48</v>
      </c>
      <c r="B38" s="1">
        <v>0.99904688606779446</v>
      </c>
      <c r="C38" s="1">
        <v>1</v>
      </c>
      <c r="D38" s="1">
        <v>1</v>
      </c>
      <c r="E38" s="1">
        <v>0.99995286852768861</v>
      </c>
      <c r="F38" s="1">
        <v>1.0092052779609448</v>
      </c>
      <c r="G38" s="1">
        <v>0.99990589558388387</v>
      </c>
      <c r="H38" s="1">
        <v>1.0013872007102893</v>
      </c>
      <c r="I38" s="1">
        <v>1.0015967176859162</v>
      </c>
      <c r="J38" s="1">
        <v>1.0005164934502333</v>
      </c>
      <c r="K38" s="1">
        <v>1.0000853424770828</v>
      </c>
      <c r="L38" s="1">
        <v>0.99982913252367689</v>
      </c>
      <c r="M38" s="1">
        <v>1</v>
      </c>
      <c r="N38" s="1">
        <v>0.99711206791330853</v>
      </c>
      <c r="O38" s="1">
        <v>1.0070080802011223</v>
      </c>
      <c r="P38" s="1">
        <v>1.0054044617164508</v>
      </c>
      <c r="Q38" s="1">
        <v>1.0013013426388249</v>
      </c>
      <c r="S38" s="1">
        <f t="shared" si="0"/>
        <v>100</v>
      </c>
      <c r="T38" s="1">
        <f t="shared" si="18"/>
        <v>100</v>
      </c>
      <c r="U38" s="1">
        <f t="shared" si="19"/>
        <v>99.995286852768857</v>
      </c>
      <c r="V38" s="1">
        <f t="shared" si="20"/>
        <v>100.91577126303301</v>
      </c>
      <c r="W38" s="1">
        <f t="shared" si="21"/>
        <v>100.90627464330139</v>
      </c>
      <c r="X38" s="1">
        <f t="shared" si="22"/>
        <v>101.04625189915922</v>
      </c>
      <c r="Y38" s="1">
        <f t="shared" si="23"/>
        <v>101.20759423666215</v>
      </c>
      <c r="Z38" s="1">
        <f t="shared" si="24"/>
        <v>101.25986729619925</v>
      </c>
      <c r="AA38" s="1">
        <f t="shared" si="25"/>
        <v>101.26850906410338</v>
      </c>
      <c r="AB38" s="1">
        <f t="shared" si="26"/>
        <v>101.25120556952859</v>
      </c>
      <c r="AC38" s="1">
        <f t="shared" si="27"/>
        <v>101.25120556952859</v>
      </c>
      <c r="AD38" s="1">
        <f t="shared" si="28"/>
        <v>100.95879896414816</v>
      </c>
      <c r="AE38" s="1">
        <f t="shared" si="29"/>
        <v>100.83839711320273</v>
      </c>
      <c r="AF38" s="1">
        <f t="shared" si="30"/>
        <v>0.99168573542217719</v>
      </c>
      <c r="AH38" s="1" t="str">
        <f t="shared" si="31"/>
        <v>C1071.23490A</v>
      </c>
      <c r="AI38" s="1">
        <f t="shared" si="32"/>
        <v>99.168573542217715</v>
      </c>
      <c r="AJ38" s="1">
        <f t="shared" si="33"/>
        <v>99.168573542217715</v>
      </c>
      <c r="AK38" s="1">
        <f t="shared" si="34"/>
        <v>99.163899581339649</v>
      </c>
      <c r="AL38" s="1">
        <f t="shared" si="35"/>
        <v>100.0767308406771</v>
      </c>
      <c r="AM38" s="1">
        <f t="shared" si="36"/>
        <v>100.06731317835452</v>
      </c>
      <c r="AN38" s="1">
        <f t="shared" si="37"/>
        <v>100.20612662627228</v>
      </c>
      <c r="AO38" s="1">
        <f t="shared" si="38"/>
        <v>100.3661275208936</v>
      </c>
      <c r="AP38" s="1">
        <f t="shared" si="39"/>
        <v>100.41796596838341</v>
      </c>
      <c r="AQ38" s="1">
        <f t="shared" si="40"/>
        <v>100.42653588634278</v>
      </c>
      <c r="AR38" s="1">
        <f t="shared" si="41"/>
        <v>100.4093762576</v>
      </c>
      <c r="AS38" s="1">
        <f t="shared" si="42"/>
        <v>100.4093762576</v>
      </c>
      <c r="AT38" s="1">
        <f t="shared" si="43"/>
        <v>100.11940079810101</v>
      </c>
      <c r="AU38" s="1">
        <f t="shared" ref="AU38:AW38" si="96">AT38*O38</f>
        <v>100.82104558858241</v>
      </c>
      <c r="AV38" s="1">
        <f t="shared" si="96"/>
        <v>101.36592906967844</v>
      </c>
      <c r="AW38" s="1">
        <f t="shared" si="96"/>
        <v>101.49784087530091</v>
      </c>
      <c r="AX38" s="1" t="b">
        <f t="shared" si="45"/>
        <v>1</v>
      </c>
      <c r="AY38" s="1" t="s">
        <v>48</v>
      </c>
      <c r="AZ38" s="1" t="str">
        <f t="shared" si="46"/>
        <v>C10</v>
      </c>
      <c r="BA38" s="1" t="str">
        <f t="shared" si="47"/>
        <v>C1071</v>
      </c>
      <c r="BB38" s="1" t="s">
        <v>226</v>
      </c>
      <c r="BC38" s="1" t="s">
        <v>227</v>
      </c>
      <c r="BD38" s="1">
        <v>4.7088206281350853E-2</v>
      </c>
      <c r="BE38" s="1">
        <f t="shared" si="79"/>
        <v>4.6696702475832605</v>
      </c>
      <c r="BF38" s="1">
        <f t="shared" si="80"/>
        <v>4.6696702475832605</v>
      </c>
      <c r="BG38" s="1">
        <f t="shared" si="81"/>
        <v>4.6694501591492825</v>
      </c>
      <c r="BH38" s="1">
        <f t="shared" si="82"/>
        <v>4.7124337457890304</v>
      </c>
      <c r="BI38" s="1">
        <f t="shared" si="83"/>
        <v>4.7119902849628961</v>
      </c>
      <c r="BJ38" s="1">
        <f t="shared" si="84"/>
        <v>4.7185267612330737</v>
      </c>
      <c r="BK38" s="1">
        <f t="shared" si="85"/>
        <v>4.7260609163642027</v>
      </c>
      <c r="BL38" s="1">
        <f t="shared" si="86"/>
        <v>4.7285018958729079</v>
      </c>
      <c r="BM38" s="1">
        <f t="shared" si="87"/>
        <v>4.728905437937593</v>
      </c>
      <c r="BN38" s="1">
        <f t="shared" si="88"/>
        <v>4.7280974217996414</v>
      </c>
      <c r="BO38" s="1">
        <f t="shared" si="89"/>
        <v>4.7280974217996414</v>
      </c>
      <c r="BP38" s="1">
        <f t="shared" si="90"/>
        <v>4.7144429975462234</v>
      </c>
      <c r="BQ38" s="1">
        <f t="shared" si="91"/>
        <v>4.7474821921766468</v>
      </c>
      <c r="BR38" s="1">
        <f t="shared" si="92"/>
        <v>4.7731397779337978</v>
      </c>
      <c r="BS38" s="1">
        <f t="shared" si="93"/>
        <v>4.7793512682478934</v>
      </c>
      <c r="BV38" s="1" t="s">
        <v>614</v>
      </c>
      <c r="BW38" s="1">
        <f>((AJ38-AI38)/BE$154)*$BD38</f>
        <v>0</v>
      </c>
      <c r="BX38" s="1">
        <f>((AK38-AJ38)/BF$154)*$BD38</f>
        <v>-2.2120960921177238E-6</v>
      </c>
      <c r="BY38" s="1">
        <f>((AL38-AK38)/BG$154)*$BD38</f>
        <v>4.3222234735536312E-4</v>
      </c>
      <c r="BZ38" s="1">
        <f>((AM38-AL38)/BH$154)*$BD38</f>
        <v>-4.4491963616870466E-6</v>
      </c>
      <c r="CA38" s="1">
        <f>((AN38-AM38)/BI$154)*$BD38</f>
        <v>6.5509410121521581E-5</v>
      </c>
      <c r="CB38" s="1">
        <f>((AO38-AN38)/BJ$154)*$BD38</f>
        <v>7.5468301332068987E-5</v>
      </c>
      <c r="CC38" s="1">
        <f>((AP38-AO38)/BK$154)*$BD38</f>
        <v>2.4443838862098901E-5</v>
      </c>
      <c r="CD38" s="1">
        <f>((AQ38-AP38)/BL$154)*$BD38</f>
        <v>4.0351740564079546E-6</v>
      </c>
      <c r="CE38" s="1">
        <f>((AR38-AQ38)/BM$154)*$BD38</f>
        <v>-8.0474714377509397E-6</v>
      </c>
      <c r="CF38" s="1">
        <f>((AS38-AR38)/BN$154)*$BD38</f>
        <v>0</v>
      </c>
      <c r="CG38" s="1">
        <f>((AT38-AS38)/BO$154)*$BD38</f>
        <v>-1.3556817429840378E-4</v>
      </c>
      <c r="CH38" s="1">
        <f>((AU38-AT38)/BP$154)*$BD38</f>
        <v>3.2794691766998489E-4</v>
      </c>
      <c r="CI38" s="1">
        <f>((AV38-AU38)/BQ$154)*$BD38</f>
        <v>2.537940196200513E-4</v>
      </c>
      <c r="CJ38" s="1">
        <f>((AW38-AV38)/BR$154)*$BD38</f>
        <v>6.1331260742636764E-5</v>
      </c>
    </row>
    <row r="39" spans="1:88" x14ac:dyDescent="0.35">
      <c r="A39" s="1" t="s">
        <v>49</v>
      </c>
      <c r="B39" s="1">
        <v>1</v>
      </c>
      <c r="C39" s="1">
        <v>1</v>
      </c>
      <c r="D39" s="1">
        <v>1</v>
      </c>
      <c r="E39" s="1">
        <v>1</v>
      </c>
      <c r="F39" s="1">
        <v>1.0118335831597387</v>
      </c>
      <c r="G39" s="1">
        <v>1</v>
      </c>
      <c r="H39" s="1">
        <v>1.0147560381950309</v>
      </c>
      <c r="I39" s="1">
        <v>1</v>
      </c>
      <c r="J39" s="1">
        <v>1</v>
      </c>
      <c r="K39" s="1">
        <v>1</v>
      </c>
      <c r="L39" s="1">
        <v>1</v>
      </c>
      <c r="M39" s="1">
        <v>1.0031931509390073</v>
      </c>
      <c r="N39" s="1">
        <v>1</v>
      </c>
      <c r="O39" s="1">
        <v>1</v>
      </c>
      <c r="P39" s="1">
        <v>1.0190066498243116</v>
      </c>
      <c r="Q39" s="1">
        <v>1.0272379157589153</v>
      </c>
      <c r="S39" s="1">
        <f t="shared" si="0"/>
        <v>100</v>
      </c>
      <c r="T39" s="1">
        <f t="shared" si="18"/>
        <v>100</v>
      </c>
      <c r="U39" s="1">
        <f t="shared" si="19"/>
        <v>100</v>
      </c>
      <c r="V39" s="1">
        <f t="shared" si="20"/>
        <v>101.18335831597388</v>
      </c>
      <c r="W39" s="1">
        <f t="shared" si="21"/>
        <v>101.18335831597388</v>
      </c>
      <c r="X39" s="1">
        <f t="shared" si="22"/>
        <v>102.67642381598588</v>
      </c>
      <c r="Y39" s="1">
        <f t="shared" si="23"/>
        <v>102.67642381598588</v>
      </c>
      <c r="Z39" s="1">
        <f t="shared" si="24"/>
        <v>102.67642381598588</v>
      </c>
      <c r="AA39" s="1">
        <f t="shared" si="25"/>
        <v>102.67642381598588</v>
      </c>
      <c r="AB39" s="1">
        <f t="shared" si="26"/>
        <v>102.67642381598588</v>
      </c>
      <c r="AC39" s="1">
        <f t="shared" si="27"/>
        <v>103.00428513510781</v>
      </c>
      <c r="AD39" s="1">
        <f t="shared" si="28"/>
        <v>103.00428513510781</v>
      </c>
      <c r="AE39" s="1">
        <f t="shared" si="29"/>
        <v>101.81311716517439</v>
      </c>
      <c r="AF39" s="1">
        <f t="shared" si="30"/>
        <v>0.98219171344854395</v>
      </c>
      <c r="AH39" s="1" t="str">
        <f t="shared" si="31"/>
        <v>C1071.23490B</v>
      </c>
      <c r="AI39" s="1">
        <f t="shared" si="32"/>
        <v>98.219171344854388</v>
      </c>
      <c r="AJ39" s="1">
        <f t="shared" si="33"/>
        <v>98.219171344854388</v>
      </c>
      <c r="AK39" s="1">
        <f t="shared" si="34"/>
        <v>98.219171344854388</v>
      </c>
      <c r="AL39" s="1">
        <f t="shared" si="35"/>
        <v>99.381456076844358</v>
      </c>
      <c r="AM39" s="1">
        <f t="shared" si="36"/>
        <v>99.381456076844358</v>
      </c>
      <c r="AN39" s="1">
        <f t="shared" si="37"/>
        <v>100.84793263859206</v>
      </c>
      <c r="AO39" s="1">
        <f t="shared" si="38"/>
        <v>100.84793263859206</v>
      </c>
      <c r="AP39" s="1">
        <f t="shared" si="39"/>
        <v>100.84793263859206</v>
      </c>
      <c r="AQ39" s="1">
        <f t="shared" si="40"/>
        <v>100.84793263859206</v>
      </c>
      <c r="AR39" s="1">
        <f t="shared" si="41"/>
        <v>100.84793263859206</v>
      </c>
      <c r="AS39" s="1">
        <f t="shared" si="42"/>
        <v>101.16995530939393</v>
      </c>
      <c r="AT39" s="1">
        <f t="shared" si="43"/>
        <v>101.16995530939393</v>
      </c>
      <c r="AU39" s="1">
        <f t="shared" ref="AU39:AW39" si="97">AT39*O39</f>
        <v>101.16995530939393</v>
      </c>
      <c r="AV39" s="1">
        <f t="shared" si="97"/>
        <v>103.09285722270083</v>
      </c>
      <c r="AW39" s="1">
        <f t="shared" si="97"/>
        <v>105.90089178307863</v>
      </c>
      <c r="AX39" s="1" t="b">
        <f t="shared" si="45"/>
        <v>1</v>
      </c>
      <c r="AY39" s="1" t="s">
        <v>49</v>
      </c>
      <c r="AZ39" s="1" t="str">
        <f t="shared" si="46"/>
        <v>C10</v>
      </c>
      <c r="BA39" s="1" t="str">
        <f t="shared" si="47"/>
        <v>C1071</v>
      </c>
      <c r="BB39" s="1" t="s">
        <v>232</v>
      </c>
      <c r="BC39" s="1" t="s">
        <v>227</v>
      </c>
      <c r="BD39" s="1">
        <v>5.5199028623794631E-2</v>
      </c>
      <c r="BE39" s="1">
        <f t="shared" si="79"/>
        <v>5.4216028504700065</v>
      </c>
      <c r="BF39" s="1">
        <f t="shared" si="80"/>
        <v>5.4216028504700065</v>
      </c>
      <c r="BG39" s="1">
        <f t="shared" si="81"/>
        <v>5.4216028504700065</v>
      </c>
      <c r="BH39" s="1">
        <f t="shared" si="82"/>
        <v>5.4857598386601207</v>
      </c>
      <c r="BI39" s="1">
        <f t="shared" si="83"/>
        <v>5.4857598386601207</v>
      </c>
      <c r="BJ39" s="1">
        <f t="shared" si="84"/>
        <v>5.566707920368156</v>
      </c>
      <c r="BK39" s="1">
        <f t="shared" si="85"/>
        <v>5.566707920368156</v>
      </c>
      <c r="BL39" s="1">
        <f t="shared" si="86"/>
        <v>5.566707920368156</v>
      </c>
      <c r="BM39" s="1">
        <f t="shared" si="87"/>
        <v>5.566707920368156</v>
      </c>
      <c r="BN39" s="1">
        <f t="shared" si="88"/>
        <v>5.566707920368156</v>
      </c>
      <c r="BO39" s="1">
        <f t="shared" si="89"/>
        <v>5.5844832589912592</v>
      </c>
      <c r="BP39" s="1">
        <f t="shared" si="90"/>
        <v>5.5844832589912592</v>
      </c>
      <c r="BQ39" s="1">
        <f t="shared" si="91"/>
        <v>5.5844832589912592</v>
      </c>
      <c r="BR39" s="1">
        <f t="shared" si="92"/>
        <v>5.6906255767446359</v>
      </c>
      <c r="BS39" s="1">
        <f t="shared" si="93"/>
        <v>5.845626356819535</v>
      </c>
      <c r="BV39" s="1" t="s">
        <v>615</v>
      </c>
      <c r="BW39" s="1">
        <f>((AJ39-AI39)/BE$154)*$BD39</f>
        <v>0</v>
      </c>
      <c r="BX39" s="1">
        <f>((AK39-AJ39)/BF$154)*$BD39</f>
        <v>0</v>
      </c>
      <c r="BY39" s="1">
        <f>((AL39-AK39)/BG$154)*$BD39</f>
        <v>6.4513192598821272E-4</v>
      </c>
      <c r="BZ39" s="1">
        <f>((AM39-AL39)/BH$154)*$BD39</f>
        <v>0</v>
      </c>
      <c r="CA39" s="1">
        <f>((AN39-AM39)/BI$154)*$BD39</f>
        <v>8.1127213868377891E-4</v>
      </c>
      <c r="CB39" s="1">
        <f>((AO39-AN39)/BJ$154)*$BD39</f>
        <v>0</v>
      </c>
      <c r="CC39" s="1">
        <f>((AP39-AO39)/BK$154)*$BD39</f>
        <v>0</v>
      </c>
      <c r="CD39" s="1">
        <f>((AQ39-AP39)/BL$154)*$BD39</f>
        <v>0</v>
      </c>
      <c r="CE39" s="1">
        <f>((AR39-AQ39)/BM$154)*$BD39</f>
        <v>0</v>
      </c>
      <c r="CF39" s="1">
        <f>((AS39-AR39)/BN$154)*$BD39</f>
        <v>1.7688764017285741E-4</v>
      </c>
      <c r="CG39" s="1">
        <f>((AT39-AS39)/BO$154)*$BD39</f>
        <v>0</v>
      </c>
      <c r="CH39" s="1">
        <f>((AU39-AT39)/BP$154)*$BD39</f>
        <v>0</v>
      </c>
      <c r="CI39" s="1">
        <f>((AV39-AU39)/BQ$154)*$BD39</f>
        <v>1.0499150516104457E-3</v>
      </c>
      <c r="CJ39" s="1">
        <f>((AW39-AV39)/BR$154)*$BD39</f>
        <v>1.5304528828632815E-3</v>
      </c>
    </row>
    <row r="40" spans="1:88" x14ac:dyDescent="0.35">
      <c r="A40" s="1" t="s">
        <v>50</v>
      </c>
      <c r="B40" s="1">
        <v>1.046803571611616</v>
      </c>
      <c r="C40" s="1">
        <v>1</v>
      </c>
      <c r="D40" s="1">
        <v>0.9818925002394151</v>
      </c>
      <c r="E40" s="1">
        <v>0.97856949139203808</v>
      </c>
      <c r="F40" s="1">
        <v>0.97887816163330565</v>
      </c>
      <c r="G40" s="1">
        <v>1.0560086138430751</v>
      </c>
      <c r="H40" s="1">
        <v>1.0202654577260311</v>
      </c>
      <c r="I40" s="1">
        <v>1.011853501028688</v>
      </c>
      <c r="J40" s="1">
        <v>1</v>
      </c>
      <c r="K40" s="1">
        <v>1</v>
      </c>
      <c r="L40" s="1">
        <v>1.0248618421961611</v>
      </c>
      <c r="M40" s="1">
        <v>1.049382022403468</v>
      </c>
      <c r="N40" s="1">
        <v>0.93053676049080891</v>
      </c>
      <c r="O40" s="1">
        <v>1</v>
      </c>
      <c r="P40" s="1">
        <v>1</v>
      </c>
      <c r="Q40" s="1">
        <v>1</v>
      </c>
      <c r="S40" s="1">
        <f t="shared" si="0"/>
        <v>100</v>
      </c>
      <c r="T40" s="1">
        <f t="shared" si="18"/>
        <v>98.189250023941511</v>
      </c>
      <c r="U40" s="1">
        <f t="shared" si="19"/>
        <v>96.085004456094111</v>
      </c>
      <c r="V40" s="1">
        <f t="shared" si="20"/>
        <v>94.055512522509389</v>
      </c>
      <c r="W40" s="1">
        <f t="shared" si="21"/>
        <v>99.32343140319513</v>
      </c>
      <c r="X40" s="1">
        <f t="shared" si="22"/>
        <v>101.33626620350093</v>
      </c>
      <c r="Y40" s="1">
        <f t="shared" si="23"/>
        <v>102.53745573918752</v>
      </c>
      <c r="Z40" s="1">
        <f t="shared" si="24"/>
        <v>102.53745573918752</v>
      </c>
      <c r="AA40" s="1">
        <f t="shared" si="25"/>
        <v>102.53745573918752</v>
      </c>
      <c r="AB40" s="1">
        <f t="shared" si="26"/>
        <v>105.08672578297104</v>
      </c>
      <c r="AC40" s="1">
        <f t="shared" si="27"/>
        <v>110.27612082989282</v>
      </c>
      <c r="AD40" s="1">
        <f t="shared" si="28"/>
        <v>102.61598423654148</v>
      </c>
      <c r="AE40" s="1">
        <f t="shared" si="29"/>
        <v>101.21505522301742</v>
      </c>
      <c r="AF40" s="1">
        <f t="shared" si="30"/>
        <v>0.98799531136607932</v>
      </c>
      <c r="AH40" s="1" t="str">
        <f t="shared" si="31"/>
        <v>C1072.23511</v>
      </c>
      <c r="AI40" s="1">
        <f t="shared" si="32"/>
        <v>98.799531136607925</v>
      </c>
      <c r="AJ40" s="1">
        <f t="shared" si="33"/>
        <v>97.01051865020591</v>
      </c>
      <c r="AK40" s="1">
        <f t="shared" si="34"/>
        <v>94.931533895209824</v>
      </c>
      <c r="AL40" s="1">
        <f t="shared" si="35"/>
        <v>92.926405380372842</v>
      </c>
      <c r="AM40" s="1">
        <f t="shared" si="36"/>
        <v>98.131084535147195</v>
      </c>
      <c r="AN40" s="1">
        <f t="shared" si="37"/>
        <v>100.1197558804038</v>
      </c>
      <c r="AO40" s="1">
        <f t="shared" si="38"/>
        <v>101.30652550972415</v>
      </c>
      <c r="AP40" s="1">
        <f t="shared" si="39"/>
        <v>101.30652550972415</v>
      </c>
      <c r="AQ40" s="1">
        <f t="shared" si="40"/>
        <v>101.30652550972415</v>
      </c>
      <c r="AR40" s="1">
        <f t="shared" si="41"/>
        <v>103.82519236038827</v>
      </c>
      <c r="AS40" s="1">
        <f t="shared" si="42"/>
        <v>108.95229033557334</v>
      </c>
      <c r="AT40" s="1">
        <f t="shared" si="43"/>
        <v>101.38411129691849</v>
      </c>
      <c r="AU40" s="1">
        <f t="shared" ref="AU40:AW40" si="98">AT40*O40</f>
        <v>101.38411129691849</v>
      </c>
      <c r="AV40" s="1">
        <f t="shared" si="98"/>
        <v>101.38411129691849</v>
      </c>
      <c r="AW40" s="1">
        <f t="shared" si="98"/>
        <v>101.38411129691849</v>
      </c>
      <c r="AX40" s="1" t="b">
        <f t="shared" si="45"/>
        <v>1</v>
      </c>
      <c r="AY40" s="1" t="s">
        <v>50</v>
      </c>
      <c r="AZ40" s="1" t="str">
        <f t="shared" si="46"/>
        <v>C10</v>
      </c>
      <c r="BA40" s="1" t="str">
        <f t="shared" si="47"/>
        <v>C1072</v>
      </c>
      <c r="BB40" s="1" t="s">
        <v>233</v>
      </c>
      <c r="BC40" s="1" t="s">
        <v>234</v>
      </c>
      <c r="BD40" s="1">
        <v>1.9753154992302752E-2</v>
      </c>
      <c r="BE40" s="1">
        <f t="shared" si="79"/>
        <v>1.951602451708258</v>
      </c>
      <c r="BF40" s="1">
        <f t="shared" si="80"/>
        <v>1.9162638107811942</v>
      </c>
      <c r="BG40" s="1">
        <f t="shared" si="81"/>
        <v>1.875197302689122</v>
      </c>
      <c r="BH40" s="1">
        <f t="shared" si="82"/>
        <v>1.8355896883560612</v>
      </c>
      <c r="BI40" s="1">
        <f t="shared" si="83"/>
        <v>1.9383985223855262</v>
      </c>
      <c r="BJ40" s="1">
        <f t="shared" si="84"/>
        <v>1.9776810556971312</v>
      </c>
      <c r="BK40" s="1">
        <f t="shared" si="85"/>
        <v>2.0011235001252539</v>
      </c>
      <c r="BL40" s="1">
        <f t="shared" si="86"/>
        <v>2.0011235001252539</v>
      </c>
      <c r="BM40" s="1">
        <f t="shared" si="87"/>
        <v>2.0011235001252539</v>
      </c>
      <c r="BN40" s="1">
        <f t="shared" si="88"/>
        <v>2.0508751168003974</v>
      </c>
      <c r="BO40" s="1">
        <f t="shared" si="89"/>
        <v>2.1521514777649493</v>
      </c>
      <c r="BP40" s="1">
        <f t="shared" si="90"/>
        <v>2.0026560642049032</v>
      </c>
      <c r="BQ40" s="1">
        <f t="shared" si="91"/>
        <v>2.0026560642049032</v>
      </c>
      <c r="BR40" s="1">
        <f t="shared" si="92"/>
        <v>2.0026560642049032</v>
      </c>
      <c r="BS40" s="1">
        <f t="shared" si="93"/>
        <v>2.0026560642049032</v>
      </c>
      <c r="BV40" s="1" t="s">
        <v>50</v>
      </c>
      <c r="BW40" s="1">
        <f>((AJ40-AI40)/BE$154)*$BD40</f>
        <v>-3.5499241726522622E-4</v>
      </c>
      <c r="BX40" s="1">
        <f>((AK40-AJ40)/BF$154)*$BD40</f>
        <v>-4.1275709234570121E-4</v>
      </c>
      <c r="BY40" s="1">
        <f>((AL40-AK40)/BG$154)*$BD40</f>
        <v>-3.9827518777484051E-4</v>
      </c>
      <c r="BZ40" s="1">
        <f>((AM40-AL40)/BH$154)*$BD40</f>
        <v>1.0314703427161316E-3</v>
      </c>
      <c r="CA40" s="1">
        <f>((AN40-AM40)/BI$154)*$BD40</f>
        <v>3.9369462673084153E-4</v>
      </c>
      <c r="CB40" s="1">
        <f>((AO40-AN40)/BJ$154)*$BD40</f>
        <v>2.3481882563740648E-4</v>
      </c>
      <c r="CC40" s="1">
        <f>((AP40-AO40)/BK$154)*$BD40</f>
        <v>0</v>
      </c>
      <c r="CD40" s="1">
        <f>((AQ40-AP40)/BL$154)*$BD40</f>
        <v>0</v>
      </c>
      <c r="CE40" s="1">
        <f>((AR40-AQ40)/BM$154)*$BD40</f>
        <v>4.955033635718611E-4</v>
      </c>
      <c r="CF40" s="1">
        <f>((AS40-AR40)/BN$154)*$BD40</f>
        <v>1.0078309547942967E-3</v>
      </c>
      <c r="CG40" s="1">
        <f>((AT40-AS40)/BO$154)*$BD40</f>
        <v>-1.4842676561223104E-3</v>
      </c>
      <c r="CH40" s="1">
        <f>((AU40-AT40)/BP$154)*$BD40</f>
        <v>0</v>
      </c>
      <c r="CI40" s="1">
        <f>((AV40-AU40)/BQ$154)*$BD40</f>
        <v>0</v>
      </c>
      <c r="CJ40" s="1">
        <f>((AW40-AV40)/BR$154)*$BD40</f>
        <v>0</v>
      </c>
    </row>
    <row r="41" spans="1:88" x14ac:dyDescent="0.35">
      <c r="A41" s="1" t="s">
        <v>51</v>
      </c>
      <c r="B41" s="1">
        <v>1</v>
      </c>
      <c r="C41" s="1">
        <v>1</v>
      </c>
      <c r="D41" s="1">
        <v>1.000669396589406</v>
      </c>
      <c r="E41" s="1">
        <v>0.99807323200703169</v>
      </c>
      <c r="F41" s="1">
        <v>1.0000665991196547</v>
      </c>
      <c r="G41" s="1">
        <v>1.0010933955777492</v>
      </c>
      <c r="H41" s="1">
        <v>0.99793042463709403</v>
      </c>
      <c r="I41" s="1">
        <v>0.99869159921273398</v>
      </c>
      <c r="J41" s="1">
        <v>0.99792041447013768</v>
      </c>
      <c r="K41" s="1">
        <v>0.99874191575507931</v>
      </c>
      <c r="L41" s="1">
        <v>1.0029826120452139</v>
      </c>
      <c r="M41" s="1">
        <v>0.99998690919560873</v>
      </c>
      <c r="N41" s="1">
        <v>0.9981650912275275</v>
      </c>
      <c r="O41" s="1">
        <v>1.0011668975227992</v>
      </c>
      <c r="P41" s="1">
        <v>0.99832841064684097</v>
      </c>
      <c r="Q41" s="1">
        <v>1.0008677245314004</v>
      </c>
      <c r="S41" s="1">
        <f t="shared" si="0"/>
        <v>100</v>
      </c>
      <c r="T41" s="1">
        <f t="shared" si="18"/>
        <v>100.0669396589406</v>
      </c>
      <c r="U41" s="1">
        <f t="shared" si="19"/>
        <v>99.87413388245146</v>
      </c>
      <c r="V41" s="1">
        <f t="shared" si="20"/>
        <v>99.8807854118443</v>
      </c>
      <c r="W41" s="1">
        <f t="shared" si="21"/>
        <v>99.989994620915738</v>
      </c>
      <c r="X41" s="1">
        <f t="shared" si="22"/>
        <v>99.783057791511183</v>
      </c>
      <c r="Y41" s="1">
        <f t="shared" si="23"/>
        <v>99.652501560140962</v>
      </c>
      <c r="Z41" s="1">
        <f t="shared" si="24"/>
        <v>99.445265659881912</v>
      </c>
      <c r="AA41" s="1">
        <f t="shared" si="25"/>
        <v>99.320155137923265</v>
      </c>
      <c r="AB41" s="1">
        <f t="shared" si="26"/>
        <v>99.616388628970142</v>
      </c>
      <c r="AC41" s="1">
        <f t="shared" si="27"/>
        <v>99.615084570312433</v>
      </c>
      <c r="AD41" s="1">
        <f t="shared" si="28"/>
        <v>99.432299977763776</v>
      </c>
      <c r="AE41" s="1">
        <f t="shared" si="29"/>
        <v>99.723050575054643</v>
      </c>
      <c r="AF41" s="1">
        <f t="shared" si="30"/>
        <v>1.0027771856491385</v>
      </c>
      <c r="AH41" s="1" t="str">
        <f t="shared" si="31"/>
        <v>C1072.23520</v>
      </c>
      <c r="AI41" s="1">
        <f t="shared" si="32"/>
        <v>100.27771856491385</v>
      </c>
      <c r="AJ41" s="1">
        <f t="shared" si="33"/>
        <v>100.34484412771462</v>
      </c>
      <c r="AK41" s="1">
        <f t="shared" si="34"/>
        <v>100.15150289378994</v>
      </c>
      <c r="AL41" s="1">
        <f t="shared" si="35"/>
        <v>100.15817289571476</v>
      </c>
      <c r="AM41" s="1">
        <f t="shared" si="36"/>
        <v>100.26768539903438</v>
      </c>
      <c r="AN41" s="1">
        <f t="shared" si="37"/>
        <v>100.06017386763693</v>
      </c>
      <c r="AO41" s="1">
        <f t="shared" si="38"/>
        <v>99.929255057374547</v>
      </c>
      <c r="AP41" s="1">
        <f t="shared" si="39"/>
        <v>99.721443624547305</v>
      </c>
      <c r="AQ41" s="1">
        <f t="shared" si="40"/>
        <v>99.595985647442518</v>
      </c>
      <c r="AR41" s="1">
        <f t="shared" si="41"/>
        <v>99.893041833889527</v>
      </c>
      <c r="AS41" s="1">
        <f t="shared" si="42"/>
        <v>99.891734153618827</v>
      </c>
      <c r="AT41" s="1">
        <f t="shared" si="43"/>
        <v>99.708441934322863</v>
      </c>
      <c r="AU41" s="1">
        <f t="shared" ref="AU41:AW41" si="99">AT41*O41</f>
        <v>99.824791468218194</v>
      </c>
      <c r="AV41" s="1">
        <f t="shared" si="99"/>
        <v>99.657925409618599</v>
      </c>
      <c r="AW41" s="1">
        <f t="shared" si="99"/>
        <v>99.744401036244994</v>
      </c>
      <c r="AX41" s="1" t="b">
        <f t="shared" si="45"/>
        <v>1</v>
      </c>
      <c r="AY41" s="1" t="s">
        <v>51</v>
      </c>
      <c r="AZ41" s="1" t="str">
        <f t="shared" si="46"/>
        <v>C10</v>
      </c>
      <c r="BA41" s="1" t="str">
        <f t="shared" si="47"/>
        <v>C1072</v>
      </c>
      <c r="BB41" s="1" t="s">
        <v>235</v>
      </c>
      <c r="BC41" s="1" t="s">
        <v>236</v>
      </c>
      <c r="BD41" s="1">
        <v>1.9753154992302752E-2</v>
      </c>
      <c r="BE41" s="1">
        <f t="shared" si="79"/>
        <v>1.9808013170872585</v>
      </c>
      <c r="BF41" s="1">
        <f t="shared" si="80"/>
        <v>1.9821272587332077</v>
      </c>
      <c r="BG41" s="1">
        <f t="shared" si="81"/>
        <v>1.9783081593730902</v>
      </c>
      <c r="BH41" s="1">
        <f t="shared" si="82"/>
        <v>1.9784399129549102</v>
      </c>
      <c r="BI41" s="1">
        <f t="shared" si="83"/>
        <v>1.9806031304065776</v>
      </c>
      <c r="BJ41" s="1">
        <f t="shared" si="84"/>
        <v>1.976504122964194</v>
      </c>
      <c r="BK41" s="1">
        <f t="shared" si="85"/>
        <v>1.973918063413673</v>
      </c>
      <c r="BL41" s="1">
        <f t="shared" si="86"/>
        <v>1.9698131319718641</v>
      </c>
      <c r="BM41" s="1">
        <f t="shared" si="87"/>
        <v>1.9673349411050924</v>
      </c>
      <c r="BN41" s="1">
        <f t="shared" si="88"/>
        <v>1.9732027379974026</v>
      </c>
      <c r="BO41" s="1">
        <f t="shared" si="89"/>
        <v>1.973176907186335</v>
      </c>
      <c r="BP41" s="1">
        <f t="shared" si="90"/>
        <v>1.9695563075696987</v>
      </c>
      <c r="BQ41" s="1">
        <f t="shared" si="91"/>
        <v>1.9718545779460155</v>
      </c>
      <c r="BR41" s="1">
        <f t="shared" si="92"/>
        <v>1.968558446827543</v>
      </c>
      <c r="BS41" s="1">
        <f t="shared" si="93"/>
        <v>1.9702666132833506</v>
      </c>
      <c r="BV41" s="1" t="s">
        <v>51</v>
      </c>
      <c r="BW41" s="1">
        <f>((AJ41-AI41)/BE$154)*$BD41</f>
        <v>1.3319675508166833E-5</v>
      </c>
      <c r="BX41" s="1">
        <f>((AK41-AJ41)/BF$154)*$BD41</f>
        <v>-3.8385546288160737E-5</v>
      </c>
      <c r="BY41" s="1">
        <f>((AL41-AK41)/BG$154)*$BD41</f>
        <v>1.3248508758458107E-6</v>
      </c>
      <c r="BZ41" s="1">
        <f>((AM41-AL41)/BH$154)*$BD41</f>
        <v>2.1703335781451914E-5</v>
      </c>
      <c r="CA41" s="1">
        <f>((AN41-AM41)/BI$154)*$BD41</f>
        <v>-4.1080782448404171E-5</v>
      </c>
      <c r="CB41" s="1">
        <f>((AO41-AN41)/BJ$154)*$BD41</f>
        <v>-2.5904101790391848E-5</v>
      </c>
      <c r="CC41" s="1">
        <f>((AP41-AO41)/BK$154)*$BD41</f>
        <v>-4.1106564944808568E-5</v>
      </c>
      <c r="CD41" s="1">
        <f>((AQ41-AP41)/BL$154)*$BD41</f>
        <v>-2.4780394331966521E-5</v>
      </c>
      <c r="CE41" s="1">
        <f>((AR41-AQ41)/BM$154)*$BD41</f>
        <v>5.8440575225544866E-5</v>
      </c>
      <c r="CF41" s="1">
        <f>((AS41-AR41)/BN$154)*$BD41</f>
        <v>-2.5705002365138514E-7</v>
      </c>
      <c r="CG41" s="1">
        <f>((AT41-AS41)/BO$154)*$BD41</f>
        <v>-3.5947182450407762E-5</v>
      </c>
      <c r="CH41" s="1">
        <f>((AU41-AT41)/BP$154)*$BD41</f>
        <v>2.2812622835280978E-5</v>
      </c>
      <c r="CI41" s="1">
        <f>((AV41-AU41)/BQ$154)*$BD41</f>
        <v>-3.2603939188577962E-5</v>
      </c>
      <c r="CJ41" s="1">
        <f>((AW41-AV41)/BR$154)*$BD41</f>
        <v>1.6866162063429436E-5</v>
      </c>
    </row>
    <row r="42" spans="1:88" x14ac:dyDescent="0.35">
      <c r="A42" s="1" t="s">
        <v>52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1.032258557698259</v>
      </c>
      <c r="H42" s="1">
        <v>1</v>
      </c>
      <c r="I42" s="1">
        <v>1</v>
      </c>
      <c r="J42" s="1">
        <v>1</v>
      </c>
      <c r="K42" s="1">
        <v>1.032084022177358</v>
      </c>
      <c r="L42" s="1">
        <v>1</v>
      </c>
      <c r="M42" s="1">
        <v>1</v>
      </c>
      <c r="N42" s="1">
        <v>1.0339078862458579</v>
      </c>
      <c r="O42" s="1">
        <v>1.004024161128124</v>
      </c>
      <c r="P42" s="1">
        <v>1</v>
      </c>
      <c r="Q42" s="1">
        <v>1</v>
      </c>
      <c r="S42" s="1">
        <f t="shared" si="0"/>
        <v>100</v>
      </c>
      <c r="T42" s="1">
        <f t="shared" si="18"/>
        <v>100</v>
      </c>
      <c r="U42" s="1">
        <f t="shared" si="19"/>
        <v>100</v>
      </c>
      <c r="V42" s="1">
        <f t="shared" si="20"/>
        <v>100</v>
      </c>
      <c r="W42" s="1">
        <f t="shared" si="21"/>
        <v>103.2258557698259</v>
      </c>
      <c r="X42" s="1">
        <f t="shared" si="22"/>
        <v>103.2258557698259</v>
      </c>
      <c r="Y42" s="1">
        <f t="shared" si="23"/>
        <v>103.2258557698259</v>
      </c>
      <c r="Z42" s="1">
        <f t="shared" si="24"/>
        <v>103.2258557698259</v>
      </c>
      <c r="AA42" s="1">
        <f t="shared" si="25"/>
        <v>106.53775641562174</v>
      </c>
      <c r="AB42" s="1">
        <f t="shared" si="26"/>
        <v>106.53775641562174</v>
      </c>
      <c r="AC42" s="1">
        <f t="shared" si="27"/>
        <v>106.53775641562174</v>
      </c>
      <c r="AD42" s="1">
        <f t="shared" si="28"/>
        <v>110.15022654105157</v>
      </c>
      <c r="AE42" s="1">
        <f t="shared" si="29"/>
        <v>103.55557657226836</v>
      </c>
      <c r="AF42" s="1">
        <f t="shared" si="30"/>
        <v>0.96566504006873033</v>
      </c>
      <c r="AH42" s="1" t="str">
        <f t="shared" si="31"/>
        <v>C1073.23650</v>
      </c>
      <c r="AI42" s="1">
        <f t="shared" si="32"/>
        <v>96.566504006873032</v>
      </c>
      <c r="AJ42" s="1">
        <f t="shared" si="33"/>
        <v>96.566504006873032</v>
      </c>
      <c r="AK42" s="1">
        <f t="shared" si="34"/>
        <v>96.566504006873032</v>
      </c>
      <c r="AL42" s="1">
        <f t="shared" si="35"/>
        <v>96.566504006873032</v>
      </c>
      <c r="AM42" s="1">
        <f t="shared" si="36"/>
        <v>99.6816001480979</v>
      </c>
      <c r="AN42" s="1">
        <f t="shared" si="37"/>
        <v>99.6816001480979</v>
      </c>
      <c r="AO42" s="1">
        <f t="shared" si="38"/>
        <v>99.6816001480979</v>
      </c>
      <c r="AP42" s="1">
        <f t="shared" si="39"/>
        <v>99.6816001480979</v>
      </c>
      <c r="AQ42" s="1">
        <f t="shared" si="40"/>
        <v>102.879786817924</v>
      </c>
      <c r="AR42" s="1">
        <f t="shared" si="41"/>
        <v>102.879786817924</v>
      </c>
      <c r="AS42" s="1">
        <f t="shared" si="42"/>
        <v>102.879786817924</v>
      </c>
      <c r="AT42" s="1">
        <f t="shared" si="43"/>
        <v>106.36822292634429</v>
      </c>
      <c r="AU42" s="1">
        <f t="shared" ref="AU42:AW42" si="100">AT42*O42</f>
        <v>106.79626579431211</v>
      </c>
      <c r="AV42" s="1">
        <f t="shared" si="100"/>
        <v>106.79626579431211</v>
      </c>
      <c r="AW42" s="1">
        <f t="shared" si="100"/>
        <v>106.79626579431211</v>
      </c>
      <c r="AX42" s="1" t="b">
        <f t="shared" si="45"/>
        <v>1</v>
      </c>
      <c r="AY42" s="1" t="s">
        <v>52</v>
      </c>
      <c r="AZ42" s="1" t="str">
        <f t="shared" si="46"/>
        <v>C10</v>
      </c>
      <c r="BA42" s="1" t="str">
        <f t="shared" si="47"/>
        <v>C1073</v>
      </c>
      <c r="BB42" s="1" t="s">
        <v>237</v>
      </c>
      <c r="BC42" s="1" t="s">
        <v>238</v>
      </c>
      <c r="BD42" s="1">
        <v>2.1737283216333335E-3</v>
      </c>
      <c r="BE42" s="1">
        <f t="shared" si="79"/>
        <v>0.20990934468085867</v>
      </c>
      <c r="BF42" s="1">
        <f t="shared" si="80"/>
        <v>0.20990934468085867</v>
      </c>
      <c r="BG42" s="1">
        <f t="shared" si="81"/>
        <v>0.20990934468085867</v>
      </c>
      <c r="BH42" s="1">
        <f t="shared" si="82"/>
        <v>0.20990934468085867</v>
      </c>
      <c r="BI42" s="1">
        <f t="shared" si="83"/>
        <v>0.21668071738764988</v>
      </c>
      <c r="BJ42" s="1">
        <f t="shared" si="84"/>
        <v>0.21668071738764988</v>
      </c>
      <c r="BK42" s="1">
        <f t="shared" si="85"/>
        <v>0.21668071738764988</v>
      </c>
      <c r="BL42" s="1">
        <f t="shared" si="86"/>
        <v>0.21668071738764988</v>
      </c>
      <c r="BM42" s="1">
        <f t="shared" si="87"/>
        <v>0.22363270632972107</v>
      </c>
      <c r="BN42" s="1">
        <f t="shared" si="88"/>
        <v>0.22363270632972107</v>
      </c>
      <c r="BO42" s="1">
        <f t="shared" si="89"/>
        <v>0.22363270632972107</v>
      </c>
      <c r="BP42" s="1">
        <f t="shared" si="90"/>
        <v>0.23121561869680263</v>
      </c>
      <c r="BQ42" s="1">
        <f t="shared" si="91"/>
        <v>0.23214606760177744</v>
      </c>
      <c r="BR42" s="1">
        <f t="shared" si="92"/>
        <v>0.23214606760177744</v>
      </c>
      <c r="BS42" s="1">
        <f t="shared" si="93"/>
        <v>0.23214606760177744</v>
      </c>
      <c r="BV42" s="1" t="s">
        <v>52</v>
      </c>
      <c r="BW42" s="1">
        <f>((AJ42-AI42)/BE$154)*$BD42</f>
        <v>0</v>
      </c>
      <c r="BX42" s="1">
        <f>((AK42-AJ42)/BF$154)*$BD42</f>
        <v>0</v>
      </c>
      <c r="BY42" s="1">
        <f>((AL42-AK42)/BG$154)*$BD42</f>
        <v>0</v>
      </c>
      <c r="BZ42" s="1">
        <f>((AM42-AL42)/BH$154)*$BD42</f>
        <v>6.7936478343201808E-5</v>
      </c>
      <c r="CA42" s="1">
        <f>((AN42-AM42)/BI$154)*$BD42</f>
        <v>0</v>
      </c>
      <c r="CB42" s="1">
        <f>((AO42-AN42)/BJ$154)*$BD42</f>
        <v>0</v>
      </c>
      <c r="CC42" s="1">
        <f>((AP42-AO42)/BK$154)*$BD42</f>
        <v>0</v>
      </c>
      <c r="CD42" s="1">
        <f>((AQ42-AP42)/BL$154)*$BD42</f>
        <v>6.9515641303454908E-5</v>
      </c>
      <c r="CE42" s="1">
        <f>((AR42-AQ42)/BM$154)*$BD42</f>
        <v>0</v>
      </c>
      <c r="CF42" s="1">
        <f>((AS42-AR42)/BN$154)*$BD42</f>
        <v>0</v>
      </c>
      <c r="CG42" s="1">
        <f>((AT42-AS42)/BO$154)*$BD42</f>
        <v>7.528706933305564E-5</v>
      </c>
      <c r="CH42" s="1">
        <f>((AU42-AT42)/BP$154)*$BD42</f>
        <v>9.235632219525181E-6</v>
      </c>
      <c r="CI42" s="1">
        <f>((AV42-AU42)/BQ$154)*$BD42</f>
        <v>0</v>
      </c>
      <c r="CJ42" s="1">
        <f>((AW42-AV42)/BR$154)*$BD42</f>
        <v>0</v>
      </c>
    </row>
    <row r="43" spans="1:88" x14ac:dyDescent="0.35">
      <c r="A43" s="1" t="s">
        <v>53</v>
      </c>
      <c r="B43" s="1">
        <v>1</v>
      </c>
      <c r="C43" s="1">
        <v>1</v>
      </c>
      <c r="D43" s="1">
        <v>1</v>
      </c>
      <c r="E43" s="1">
        <v>1</v>
      </c>
      <c r="F43" s="1">
        <v>1.0030654866886792</v>
      </c>
      <c r="G43" s="1">
        <v>1.0047836306707818</v>
      </c>
      <c r="H43" s="1">
        <v>1.0120300274417302</v>
      </c>
      <c r="I43" s="1">
        <v>1</v>
      </c>
      <c r="J43" s="1">
        <v>1</v>
      </c>
      <c r="K43" s="1">
        <v>1.0103114593179361</v>
      </c>
      <c r="L43" s="1">
        <v>1.007886549706599</v>
      </c>
      <c r="M43" s="1">
        <v>1</v>
      </c>
      <c r="N43" s="1">
        <v>0.98863341063895649</v>
      </c>
      <c r="O43" s="1">
        <v>1.001988686571837</v>
      </c>
      <c r="P43" s="1">
        <v>0.99996722171168029</v>
      </c>
      <c r="Q43" s="1">
        <v>0.98509201094270171</v>
      </c>
      <c r="S43" s="1">
        <f t="shared" si="0"/>
        <v>100</v>
      </c>
      <c r="T43" s="1">
        <f t="shared" si="18"/>
        <v>100</v>
      </c>
      <c r="U43" s="1">
        <f t="shared" si="19"/>
        <v>100</v>
      </c>
      <c r="V43" s="1">
        <f t="shared" si="20"/>
        <v>100.30654866886792</v>
      </c>
      <c r="W43" s="1">
        <f t="shared" si="21"/>
        <v>100.78637815156058</v>
      </c>
      <c r="X43" s="1">
        <f t="shared" si="22"/>
        <v>101.99884104647646</v>
      </c>
      <c r="Y43" s="1">
        <f t="shared" si="23"/>
        <v>101.99884104647646</v>
      </c>
      <c r="Z43" s="1">
        <f t="shared" si="24"/>
        <v>101.99884104647646</v>
      </c>
      <c r="AA43" s="1">
        <f t="shared" si="25"/>
        <v>103.05059794640383</v>
      </c>
      <c r="AB43" s="1">
        <f t="shared" si="26"/>
        <v>103.86331160940288</v>
      </c>
      <c r="AC43" s="1">
        <f t="shared" si="27"/>
        <v>103.86331160940288</v>
      </c>
      <c r="AD43" s="1">
        <f t="shared" si="28"/>
        <v>102.6827399966607</v>
      </c>
      <c r="AE43" s="1">
        <f t="shared" si="29"/>
        <v>101.71245092681067</v>
      </c>
      <c r="AF43" s="1">
        <f t="shared" si="30"/>
        <v>0.98316380235451306</v>
      </c>
      <c r="AH43" s="1" t="str">
        <f t="shared" si="31"/>
        <v>C1073.23660</v>
      </c>
      <c r="AI43" s="1">
        <f t="shared" si="32"/>
        <v>98.316380235451305</v>
      </c>
      <c r="AJ43" s="1">
        <f t="shared" si="33"/>
        <v>98.316380235451305</v>
      </c>
      <c r="AK43" s="1">
        <f t="shared" si="34"/>
        <v>98.316380235451305</v>
      </c>
      <c r="AL43" s="1">
        <f t="shared" si="35"/>
        <v>98.617767790342199</v>
      </c>
      <c r="AM43" s="1">
        <f t="shared" si="36"/>
        <v>99.089518769028118</v>
      </c>
      <c r="AN43" s="1">
        <f t="shared" si="37"/>
        <v>100.28156839900737</v>
      </c>
      <c r="AO43" s="1">
        <f t="shared" si="38"/>
        <v>100.28156839900737</v>
      </c>
      <c r="AP43" s="1">
        <f t="shared" si="39"/>
        <v>100.28156839900737</v>
      </c>
      <c r="AQ43" s="1">
        <f t="shared" si="40"/>
        <v>101.31561771189256</v>
      </c>
      <c r="AR43" s="1">
        <f t="shared" si="41"/>
        <v>102.11464836703217</v>
      </c>
      <c r="AS43" s="1">
        <f t="shared" si="42"/>
        <v>102.11464836703217</v>
      </c>
      <c r="AT43" s="1">
        <f t="shared" si="43"/>
        <v>100.95395309129677</v>
      </c>
      <c r="AU43" s="1">
        <f t="shared" ref="AU43:AW43" si="101">AT43*O43</f>
        <v>101.1547188621833</v>
      </c>
      <c r="AV43" s="1">
        <f t="shared" si="101"/>
        <v>101.15140318364354</v>
      </c>
      <c r="AW43" s="1">
        <f t="shared" si="101"/>
        <v>99.643439171851412</v>
      </c>
      <c r="AX43" s="1" t="b">
        <f t="shared" si="45"/>
        <v>1</v>
      </c>
      <c r="AY43" s="1" t="s">
        <v>53</v>
      </c>
      <c r="AZ43" s="1" t="str">
        <f t="shared" si="46"/>
        <v>C10</v>
      </c>
      <c r="BA43" s="1" t="str">
        <f t="shared" si="47"/>
        <v>C1073</v>
      </c>
      <c r="BB43" s="1" t="s">
        <v>239</v>
      </c>
      <c r="BC43" s="1" t="s">
        <v>240</v>
      </c>
      <c r="BD43" s="1">
        <v>2.1737283216333335E-3</v>
      </c>
      <c r="BE43" s="1">
        <f t="shared" si="79"/>
        <v>0.21371310019827219</v>
      </c>
      <c r="BF43" s="1">
        <f t="shared" si="80"/>
        <v>0.21371310019827219</v>
      </c>
      <c r="BG43" s="1">
        <f t="shared" si="81"/>
        <v>0.21371310019827219</v>
      </c>
      <c r="BH43" s="1">
        <f t="shared" si="82"/>
        <v>0.21436823486212636</v>
      </c>
      <c r="BI43" s="1">
        <f t="shared" si="83"/>
        <v>0.21539369332525418</v>
      </c>
      <c r="BJ43" s="1">
        <f t="shared" si="84"/>
        <v>0.21798488536673261</v>
      </c>
      <c r="BK43" s="1">
        <f t="shared" si="85"/>
        <v>0.21798488536673261</v>
      </c>
      <c r="BL43" s="1">
        <f t="shared" si="86"/>
        <v>0.21798488536673261</v>
      </c>
      <c r="BM43" s="1">
        <f t="shared" si="87"/>
        <v>0.22023262764411664</v>
      </c>
      <c r="BN43" s="1">
        <f t="shared" si="88"/>
        <v>0.22196950320904688</v>
      </c>
      <c r="BO43" s="1">
        <f t="shared" si="89"/>
        <v>0.22196950320904688</v>
      </c>
      <c r="BP43" s="1">
        <f t="shared" si="90"/>
        <v>0.2194464670153948</v>
      </c>
      <c r="BQ43" s="1">
        <f t="shared" si="91"/>
        <v>0.2198828772575854</v>
      </c>
      <c r="BR43" s="1">
        <f t="shared" si="92"/>
        <v>0.21987566987323809</v>
      </c>
      <c r="BS43" s="1">
        <f t="shared" si="93"/>
        <v>0.21659776579280171</v>
      </c>
      <c r="BV43" s="1" t="s">
        <v>53</v>
      </c>
      <c r="BW43" s="1">
        <f>((AJ43-AI43)/BE$154)*$BD43</f>
        <v>0</v>
      </c>
      <c r="BX43" s="1">
        <f>((AK43-AJ43)/BF$154)*$BD43</f>
        <v>0</v>
      </c>
      <c r="BY43" s="1">
        <f>((AL43-AK43)/BG$154)*$BD43</f>
        <v>6.5877202062767683E-6</v>
      </c>
      <c r="BZ43" s="1">
        <f>((AM43-AL43)/BH$154)*$BD43</f>
        <v>1.0288318142976578E-5</v>
      </c>
      <c r="CA43" s="1">
        <f>((AN43-AM43)/BI$154)*$BD43</f>
        <v>2.5969261591802885E-5</v>
      </c>
      <c r="CB43" s="1">
        <f>((AO43-AN43)/BJ$154)*$BD43</f>
        <v>0</v>
      </c>
      <c r="CC43" s="1">
        <f>((AP43-AO43)/BK$154)*$BD43</f>
        <v>0</v>
      </c>
      <c r="CD43" s="1">
        <f>((AQ43-AP43)/BL$154)*$BD43</f>
        <v>2.2476049257162117E-5</v>
      </c>
      <c r="CE43" s="1">
        <f>((AR43-AQ43)/BM$154)*$BD43</f>
        <v>1.7298486803920965E-5</v>
      </c>
      <c r="CF43" s="1">
        <f>((AS43-AR43)/BN$154)*$BD43</f>
        <v>0</v>
      </c>
      <c r="CG43" s="1">
        <f>((AT43-AS43)/BO$154)*$BD43</f>
        <v>-2.5050006072323761E-5</v>
      </c>
      <c r="CH43" s="1">
        <f>((AU43-AT43)/BP$154)*$BD43</f>
        <v>4.3318063701902112E-6</v>
      </c>
      <c r="CI43" s="1">
        <f>((AV43-AU43)/BQ$154)*$BD43</f>
        <v>-7.1292406922666601E-8</v>
      </c>
      <c r="CJ43" s="1">
        <f>((AW43-AV43)/BR$154)*$BD43</f>
        <v>-3.2365500013799956E-5</v>
      </c>
    </row>
    <row r="44" spans="1:88" x14ac:dyDescent="0.35">
      <c r="A44" s="1" t="s">
        <v>54</v>
      </c>
      <c r="B44" s="1">
        <v>1</v>
      </c>
      <c r="C44" s="1">
        <v>1</v>
      </c>
      <c r="D44" s="1">
        <v>1</v>
      </c>
      <c r="E44" s="1">
        <v>1.0070371243680858</v>
      </c>
      <c r="F44" s="1">
        <v>1</v>
      </c>
      <c r="G44" s="1">
        <v>1</v>
      </c>
      <c r="H44" s="1">
        <v>1.0183309863354446</v>
      </c>
      <c r="I44" s="1">
        <v>1</v>
      </c>
      <c r="J44" s="1">
        <v>1</v>
      </c>
      <c r="K44" s="1">
        <v>1</v>
      </c>
      <c r="L44" s="1">
        <v>1</v>
      </c>
      <c r="M44" s="1">
        <v>1.0002159613814305</v>
      </c>
      <c r="N44" s="1">
        <v>1</v>
      </c>
      <c r="O44" s="1">
        <v>1.0081085157866361</v>
      </c>
      <c r="P44" s="1">
        <v>1</v>
      </c>
      <c r="Q44" s="1">
        <v>1</v>
      </c>
      <c r="S44" s="1">
        <f t="shared" si="0"/>
        <v>100</v>
      </c>
      <c r="T44" s="1">
        <f t="shared" si="18"/>
        <v>100</v>
      </c>
      <c r="U44" s="1">
        <f t="shared" si="19"/>
        <v>100.70371243680857</v>
      </c>
      <c r="V44" s="1">
        <f t="shared" si="20"/>
        <v>100.70371243680857</v>
      </c>
      <c r="W44" s="1">
        <f t="shared" si="21"/>
        <v>100.70371243680857</v>
      </c>
      <c r="X44" s="1">
        <f t="shared" si="22"/>
        <v>102.54971081341625</v>
      </c>
      <c r="Y44" s="1">
        <f t="shared" si="23"/>
        <v>102.54971081341625</v>
      </c>
      <c r="Z44" s="1">
        <f t="shared" si="24"/>
        <v>102.54971081341625</v>
      </c>
      <c r="AA44" s="1">
        <f t="shared" si="25"/>
        <v>102.54971081341625</v>
      </c>
      <c r="AB44" s="1">
        <f t="shared" si="26"/>
        <v>102.54971081341625</v>
      </c>
      <c r="AC44" s="1">
        <f t="shared" si="27"/>
        <v>102.57185759062882</v>
      </c>
      <c r="AD44" s="1">
        <f t="shared" si="28"/>
        <v>102.57185759062882</v>
      </c>
      <c r="AE44" s="1">
        <f t="shared" si="29"/>
        <v>101.66695054656371</v>
      </c>
      <c r="AF44" s="1">
        <f t="shared" si="30"/>
        <v>0.98360381089821081</v>
      </c>
      <c r="AH44" s="1" t="str">
        <f t="shared" si="31"/>
        <v>C1073.23670</v>
      </c>
      <c r="AI44" s="1">
        <f t="shared" si="32"/>
        <v>98.360381089821075</v>
      </c>
      <c r="AJ44" s="1">
        <f t="shared" si="33"/>
        <v>98.360381089821075</v>
      </c>
      <c r="AK44" s="1">
        <f t="shared" si="34"/>
        <v>99.052555324442466</v>
      </c>
      <c r="AL44" s="1">
        <f t="shared" si="35"/>
        <v>99.052555324442466</v>
      </c>
      <c r="AM44" s="1">
        <f t="shared" si="36"/>
        <v>99.052555324442466</v>
      </c>
      <c r="AN44" s="1">
        <f t="shared" si="37"/>
        <v>100.86828636258569</v>
      </c>
      <c r="AO44" s="1">
        <f t="shared" si="38"/>
        <v>100.86828636258569</v>
      </c>
      <c r="AP44" s="1">
        <f t="shared" si="39"/>
        <v>100.86828636258569</v>
      </c>
      <c r="AQ44" s="1">
        <f t="shared" si="40"/>
        <v>100.86828636258569</v>
      </c>
      <c r="AR44" s="1">
        <f t="shared" si="41"/>
        <v>100.86828636258569</v>
      </c>
      <c r="AS44" s="1">
        <f t="shared" si="42"/>
        <v>100.89007001705109</v>
      </c>
      <c r="AT44" s="1">
        <f t="shared" si="43"/>
        <v>100.89007001705109</v>
      </c>
      <c r="AU44" s="1">
        <f t="shared" ref="AU44:AW44" si="102">AT44*O44</f>
        <v>101.70813874249916</v>
      </c>
      <c r="AV44" s="1">
        <f t="shared" si="102"/>
        <v>101.70813874249916</v>
      </c>
      <c r="AW44" s="1">
        <f t="shared" si="102"/>
        <v>101.70813874249916</v>
      </c>
      <c r="AX44" s="1" t="b">
        <f t="shared" si="45"/>
        <v>1</v>
      </c>
      <c r="AY44" s="1" t="s">
        <v>54</v>
      </c>
      <c r="AZ44" s="1" t="str">
        <f t="shared" si="46"/>
        <v>C10</v>
      </c>
      <c r="BA44" s="1" t="str">
        <f t="shared" si="47"/>
        <v>C1073</v>
      </c>
      <c r="BB44" s="1" t="s">
        <v>241</v>
      </c>
      <c r="BC44" s="1" t="s">
        <v>242</v>
      </c>
      <c r="BD44" s="1">
        <v>2.1737283216333335E-3</v>
      </c>
      <c r="BE44" s="1">
        <f t="shared" si="79"/>
        <v>0.21380874610159184</v>
      </c>
      <c r="BF44" s="1">
        <f t="shared" si="80"/>
        <v>0.21380874610159184</v>
      </c>
      <c r="BG44" s="1">
        <f t="shared" si="81"/>
        <v>0.21531334483889322</v>
      </c>
      <c r="BH44" s="1">
        <f t="shared" si="82"/>
        <v>0.21531334483889322</v>
      </c>
      <c r="BI44" s="1">
        <f t="shared" si="83"/>
        <v>0.21531334483889322</v>
      </c>
      <c r="BJ44" s="1">
        <f t="shared" si="84"/>
        <v>0.21926025082097386</v>
      </c>
      <c r="BK44" s="1">
        <f t="shared" si="85"/>
        <v>0.21926025082097386</v>
      </c>
      <c r="BL44" s="1">
        <f t="shared" si="86"/>
        <v>0.21926025082097386</v>
      </c>
      <c r="BM44" s="1">
        <f t="shared" si="87"/>
        <v>0.21926025082097386</v>
      </c>
      <c r="BN44" s="1">
        <f t="shared" si="88"/>
        <v>0.21926025082097386</v>
      </c>
      <c r="BO44" s="1">
        <f t="shared" si="89"/>
        <v>0.21930760256763396</v>
      </c>
      <c r="BP44" s="1">
        <f t="shared" si="90"/>
        <v>0.21930760256763396</v>
      </c>
      <c r="BQ44" s="1">
        <f t="shared" si="91"/>
        <v>0.22108586172518291</v>
      </c>
      <c r="BR44" s="1">
        <f t="shared" si="92"/>
        <v>0.22108586172518291</v>
      </c>
      <c r="BS44" s="1">
        <f t="shared" si="93"/>
        <v>0.22108586172518291</v>
      </c>
      <c r="BV44" s="1" t="s">
        <v>54</v>
      </c>
      <c r="BW44" s="1">
        <f>((AJ44-AI44)/BE$154)*$BD44</f>
        <v>0</v>
      </c>
      <c r="BX44" s="1">
        <f>((AK44-AJ44)/BF$154)*$BD44</f>
        <v>1.5122634692074656E-5</v>
      </c>
      <c r="BY44" s="1">
        <f>((AL44-AK44)/BG$154)*$BD44</f>
        <v>0</v>
      </c>
      <c r="BZ44" s="1">
        <f>((AM44-AL44)/BH$154)*$BD44</f>
        <v>0</v>
      </c>
      <c r="CA44" s="1">
        <f>((AN44-AM44)/BI$154)*$BD44</f>
        <v>3.9556401951752629E-5</v>
      </c>
      <c r="CB44" s="1">
        <f>((AO44-AN44)/BJ$154)*$BD44</f>
        <v>0</v>
      </c>
      <c r="CC44" s="1">
        <f>((AP44-AO44)/BK$154)*$BD44</f>
        <v>0</v>
      </c>
      <c r="CD44" s="1">
        <f>((AQ44-AP44)/BL$154)*$BD44</f>
        <v>0</v>
      </c>
      <c r="CE44" s="1">
        <f>((AR44-AQ44)/BM$154)*$BD44</f>
        <v>0</v>
      </c>
      <c r="CF44" s="1">
        <f>((AS44-AR44)/BN$154)*$BD44</f>
        <v>4.7121120460018226E-7</v>
      </c>
      <c r="CG44" s="1">
        <f>((AT44-AS44)/BO$154)*$BD44</f>
        <v>0</v>
      </c>
      <c r="CH44" s="1">
        <f>((AU44-AT44)/BP$154)*$BD44</f>
        <v>1.7650993496058329E-5</v>
      </c>
      <c r="CI44" s="1">
        <f>((AV44-AU44)/BQ$154)*$BD44</f>
        <v>0</v>
      </c>
      <c r="CJ44" s="1">
        <f>((AW44-AV44)/BR$154)*$BD44</f>
        <v>0</v>
      </c>
    </row>
    <row r="45" spans="1:88" x14ac:dyDescent="0.35">
      <c r="A45" s="1" t="s">
        <v>55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S45" s="1">
        <f t="shared" si="0"/>
        <v>100</v>
      </c>
      <c r="T45" s="1">
        <f t="shared" si="18"/>
        <v>100</v>
      </c>
      <c r="U45" s="1">
        <f t="shared" si="19"/>
        <v>100</v>
      </c>
      <c r="V45" s="1">
        <f t="shared" si="20"/>
        <v>100</v>
      </c>
      <c r="W45" s="1">
        <f t="shared" si="21"/>
        <v>100</v>
      </c>
      <c r="X45" s="1">
        <f t="shared" si="22"/>
        <v>100</v>
      </c>
      <c r="Y45" s="1">
        <f t="shared" si="23"/>
        <v>100</v>
      </c>
      <c r="Z45" s="1">
        <f t="shared" si="24"/>
        <v>100</v>
      </c>
      <c r="AA45" s="1">
        <f t="shared" si="25"/>
        <v>100</v>
      </c>
      <c r="AB45" s="1">
        <f t="shared" si="26"/>
        <v>100</v>
      </c>
      <c r="AC45" s="1">
        <f t="shared" si="27"/>
        <v>100</v>
      </c>
      <c r="AD45" s="1">
        <f t="shared" si="28"/>
        <v>100</v>
      </c>
      <c r="AE45" s="1">
        <f t="shared" si="29"/>
        <v>100</v>
      </c>
      <c r="AF45" s="1">
        <f t="shared" si="30"/>
        <v>1</v>
      </c>
      <c r="AH45" s="1" t="str">
        <f t="shared" si="31"/>
        <v>C1074.23710</v>
      </c>
      <c r="AI45" s="1">
        <f t="shared" si="32"/>
        <v>100</v>
      </c>
      <c r="AJ45" s="1">
        <f t="shared" si="33"/>
        <v>100</v>
      </c>
      <c r="AK45" s="1">
        <f t="shared" si="34"/>
        <v>100</v>
      </c>
      <c r="AL45" s="1">
        <f t="shared" si="35"/>
        <v>100</v>
      </c>
      <c r="AM45" s="1">
        <f t="shared" si="36"/>
        <v>100</v>
      </c>
      <c r="AN45" s="1">
        <f t="shared" si="37"/>
        <v>100</v>
      </c>
      <c r="AO45" s="1">
        <f t="shared" si="38"/>
        <v>100</v>
      </c>
      <c r="AP45" s="1">
        <f t="shared" si="39"/>
        <v>100</v>
      </c>
      <c r="AQ45" s="1">
        <f t="shared" si="40"/>
        <v>100</v>
      </c>
      <c r="AR45" s="1">
        <f t="shared" si="41"/>
        <v>100</v>
      </c>
      <c r="AS45" s="1">
        <f t="shared" si="42"/>
        <v>100</v>
      </c>
      <c r="AT45" s="1">
        <f t="shared" si="43"/>
        <v>100</v>
      </c>
      <c r="AU45" s="1">
        <f t="shared" ref="AU45:AW45" si="103">AT45*O45</f>
        <v>100</v>
      </c>
      <c r="AV45" s="1">
        <f t="shared" si="103"/>
        <v>100</v>
      </c>
      <c r="AW45" s="1">
        <f t="shared" si="103"/>
        <v>100</v>
      </c>
      <c r="AX45" s="1" t="b">
        <f t="shared" si="45"/>
        <v>1</v>
      </c>
      <c r="AY45" s="1" t="s">
        <v>55</v>
      </c>
      <c r="AZ45" s="1" t="str">
        <f t="shared" si="46"/>
        <v>C10</v>
      </c>
      <c r="BA45" s="1" t="str">
        <f t="shared" si="47"/>
        <v>C1074</v>
      </c>
      <c r="BB45" s="1" t="s">
        <v>243</v>
      </c>
      <c r="BC45" s="1" t="s">
        <v>244</v>
      </c>
      <c r="BD45" s="1">
        <v>4.6279761451362483E-3</v>
      </c>
      <c r="BE45" s="1">
        <f t="shared" si="79"/>
        <v>0.46279761451362483</v>
      </c>
      <c r="BF45" s="1">
        <f t="shared" si="80"/>
        <v>0.46279761451362483</v>
      </c>
      <c r="BG45" s="1">
        <f t="shared" si="81"/>
        <v>0.46279761451362483</v>
      </c>
      <c r="BH45" s="1">
        <f t="shared" si="82"/>
        <v>0.46279761451362483</v>
      </c>
      <c r="BI45" s="1">
        <f t="shared" si="83"/>
        <v>0.46279761451362483</v>
      </c>
      <c r="BJ45" s="1">
        <f t="shared" si="84"/>
        <v>0.46279761451362483</v>
      </c>
      <c r="BK45" s="1">
        <f t="shared" si="85"/>
        <v>0.46279761451362483</v>
      </c>
      <c r="BL45" s="1">
        <f t="shared" si="86"/>
        <v>0.46279761451362483</v>
      </c>
      <c r="BM45" s="1">
        <f t="shared" si="87"/>
        <v>0.46279761451362483</v>
      </c>
      <c r="BN45" s="1">
        <f t="shared" si="88"/>
        <v>0.46279761451362483</v>
      </c>
      <c r="BO45" s="1">
        <f t="shared" si="89"/>
        <v>0.46279761451362483</v>
      </c>
      <c r="BP45" s="1">
        <f t="shared" si="90"/>
        <v>0.46279761451362483</v>
      </c>
      <c r="BQ45" s="1">
        <f t="shared" si="91"/>
        <v>0.46279761451362483</v>
      </c>
      <c r="BR45" s="1">
        <f t="shared" si="92"/>
        <v>0.46279761451362483</v>
      </c>
      <c r="BS45" s="1">
        <f t="shared" si="93"/>
        <v>0.46279761451362483</v>
      </c>
      <c r="BV45" s="1" t="s">
        <v>55</v>
      </c>
      <c r="BW45" s="1">
        <f>((AJ45-AI45)/BE$154)*$BD45</f>
        <v>0</v>
      </c>
      <c r="BX45" s="1">
        <f>((AK45-AJ45)/BF$154)*$BD45</f>
        <v>0</v>
      </c>
      <c r="BY45" s="1">
        <f>((AL45-AK45)/BG$154)*$BD45</f>
        <v>0</v>
      </c>
      <c r="BZ45" s="1">
        <f>((AM45-AL45)/BH$154)*$BD45</f>
        <v>0</v>
      </c>
      <c r="CA45" s="1">
        <f>((AN45-AM45)/BI$154)*$BD45</f>
        <v>0</v>
      </c>
      <c r="CB45" s="1">
        <f>((AO45-AN45)/BJ$154)*$BD45</f>
        <v>0</v>
      </c>
      <c r="CC45" s="1">
        <f>((AP45-AO45)/BK$154)*$BD45</f>
        <v>0</v>
      </c>
      <c r="CD45" s="1">
        <f>((AQ45-AP45)/BL$154)*$BD45</f>
        <v>0</v>
      </c>
      <c r="CE45" s="1">
        <f>((AR45-AQ45)/BM$154)*$BD45</f>
        <v>0</v>
      </c>
      <c r="CF45" s="1">
        <f>((AS45-AR45)/BN$154)*$BD45</f>
        <v>0</v>
      </c>
      <c r="CG45" s="1">
        <f>((AT45-AS45)/BO$154)*$BD45</f>
        <v>0</v>
      </c>
      <c r="CH45" s="1">
        <f>((AU45-AT45)/BP$154)*$BD45</f>
        <v>0</v>
      </c>
      <c r="CI45" s="1">
        <f>((AV45-AU45)/BQ$154)*$BD45</f>
        <v>0</v>
      </c>
      <c r="CJ45" s="1">
        <f>((AW45-AV45)/BR$154)*$BD45</f>
        <v>0</v>
      </c>
    </row>
    <row r="46" spans="1:88" x14ac:dyDescent="0.35">
      <c r="A46" s="1" t="s">
        <v>56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1.0215686371748984</v>
      </c>
      <c r="N46" s="1">
        <v>1.0029241825745847</v>
      </c>
      <c r="O46" s="1">
        <v>1.0345962882634061</v>
      </c>
      <c r="P46" s="1">
        <v>1.0126278572712624</v>
      </c>
      <c r="Q46" s="1">
        <v>1</v>
      </c>
      <c r="S46" s="1">
        <f t="shared" si="0"/>
        <v>100</v>
      </c>
      <c r="T46" s="1">
        <f t="shared" si="18"/>
        <v>100</v>
      </c>
      <c r="U46" s="1">
        <f t="shared" si="19"/>
        <v>100</v>
      </c>
      <c r="V46" s="1">
        <f t="shared" si="20"/>
        <v>100</v>
      </c>
      <c r="W46" s="1">
        <f t="shared" si="21"/>
        <v>100</v>
      </c>
      <c r="X46" s="1">
        <f t="shared" si="22"/>
        <v>100</v>
      </c>
      <c r="Y46" s="1">
        <f t="shared" si="23"/>
        <v>100</v>
      </c>
      <c r="Z46" s="1">
        <f t="shared" si="24"/>
        <v>100</v>
      </c>
      <c r="AA46" s="1">
        <f t="shared" si="25"/>
        <v>100</v>
      </c>
      <c r="AB46" s="1">
        <f t="shared" si="26"/>
        <v>100</v>
      </c>
      <c r="AC46" s="1">
        <f t="shared" si="27"/>
        <v>102.15686371748984</v>
      </c>
      <c r="AD46" s="1">
        <f t="shared" si="28"/>
        <v>102.45558903824676</v>
      </c>
      <c r="AE46" s="1">
        <f t="shared" si="29"/>
        <v>100.38437106297805</v>
      </c>
      <c r="AF46" s="1">
        <f t="shared" si="30"/>
        <v>0.9961710069116545</v>
      </c>
      <c r="AH46" s="1" t="str">
        <f t="shared" si="31"/>
        <v>C1079.23911</v>
      </c>
      <c r="AI46" s="1">
        <f t="shared" si="32"/>
        <v>99.617100691165447</v>
      </c>
      <c r="AJ46" s="1">
        <f t="shared" si="33"/>
        <v>99.617100691165447</v>
      </c>
      <c r="AK46" s="1">
        <f t="shared" si="34"/>
        <v>99.617100691165447</v>
      </c>
      <c r="AL46" s="1">
        <f t="shared" si="35"/>
        <v>99.617100691165447</v>
      </c>
      <c r="AM46" s="1">
        <f t="shared" si="36"/>
        <v>99.617100691165447</v>
      </c>
      <c r="AN46" s="1">
        <f t="shared" si="37"/>
        <v>99.617100691165447</v>
      </c>
      <c r="AO46" s="1">
        <f t="shared" si="38"/>
        <v>99.617100691165447</v>
      </c>
      <c r="AP46" s="1">
        <f t="shared" si="39"/>
        <v>99.617100691165447</v>
      </c>
      <c r="AQ46" s="1">
        <f t="shared" si="40"/>
        <v>99.617100691165447</v>
      </c>
      <c r="AR46" s="1">
        <f t="shared" si="41"/>
        <v>99.617100691165447</v>
      </c>
      <c r="AS46" s="1">
        <f t="shared" si="42"/>
        <v>101.76570579238852</v>
      </c>
      <c r="AT46" s="1">
        <f t="shared" si="43"/>
        <v>102.06328729595694</v>
      </c>
      <c r="AU46" s="1">
        <f t="shared" ref="AU46:AW46" si="104">AT46*O46</f>
        <v>105.59429820435869</v>
      </c>
      <c r="AV46" s="1">
        <f t="shared" si="104"/>
        <v>106.92772793074245</v>
      </c>
      <c r="AW46" s="1">
        <f t="shared" si="104"/>
        <v>106.92772793074245</v>
      </c>
      <c r="AX46" s="1" t="b">
        <f t="shared" si="45"/>
        <v>1</v>
      </c>
      <c r="AY46" s="1" t="s">
        <v>56</v>
      </c>
      <c r="AZ46" s="1" t="str">
        <f t="shared" si="46"/>
        <v>C10</v>
      </c>
      <c r="BA46" s="1" t="str">
        <f t="shared" si="47"/>
        <v>C1079</v>
      </c>
      <c r="BB46" s="1" t="s">
        <v>245</v>
      </c>
      <c r="BC46" s="1" t="s">
        <v>246</v>
      </c>
      <c r="BD46" s="1">
        <v>7.4112532157244284E-3</v>
      </c>
      <c r="BE46" s="1">
        <f t="shared" si="79"/>
        <v>0.73828755783854405</v>
      </c>
      <c r="BF46" s="1">
        <f t="shared" si="80"/>
        <v>0.73828755783854405</v>
      </c>
      <c r="BG46" s="1">
        <f t="shared" si="81"/>
        <v>0.73828755783854405</v>
      </c>
      <c r="BH46" s="1">
        <f t="shared" si="82"/>
        <v>0.73828755783854405</v>
      </c>
      <c r="BI46" s="1">
        <f t="shared" si="83"/>
        <v>0.73828755783854405</v>
      </c>
      <c r="BJ46" s="1">
        <f t="shared" si="84"/>
        <v>0.73828755783854405</v>
      </c>
      <c r="BK46" s="1">
        <f t="shared" si="85"/>
        <v>0.73828755783854405</v>
      </c>
      <c r="BL46" s="1">
        <f t="shared" si="86"/>
        <v>0.73828755783854405</v>
      </c>
      <c r="BM46" s="1">
        <f t="shared" si="87"/>
        <v>0.73828755783854405</v>
      </c>
      <c r="BN46" s="1">
        <f t="shared" si="88"/>
        <v>0.73828755783854405</v>
      </c>
      <c r="BO46" s="1">
        <f t="shared" si="89"/>
        <v>0.75421141430430549</v>
      </c>
      <c r="BP46" s="1">
        <f t="shared" si="90"/>
        <v>0.75641686617956705</v>
      </c>
      <c r="BQ46" s="1">
        <f t="shared" si="91"/>
        <v>0.78258608212921765</v>
      </c>
      <c r="BR46" s="1">
        <f t="shared" si="92"/>
        <v>0.79246846747682176</v>
      </c>
      <c r="BS46" s="1">
        <f t="shared" si="93"/>
        <v>0.79246846747682176</v>
      </c>
      <c r="BV46" s="1" t="s">
        <v>56</v>
      </c>
      <c r="BW46" s="1">
        <f>((AJ46-AI46)/BE$154)*$BD46</f>
        <v>0</v>
      </c>
      <c r="BX46" s="1">
        <f>((AK46-AJ46)/BF$154)*$BD46</f>
        <v>0</v>
      </c>
      <c r="BY46" s="1">
        <f>((AL46-AK46)/BG$154)*$BD46</f>
        <v>0</v>
      </c>
      <c r="BZ46" s="1">
        <f>((AM46-AL46)/BH$154)*$BD46</f>
        <v>0</v>
      </c>
      <c r="CA46" s="1">
        <f>((AN46-AM46)/BI$154)*$BD46</f>
        <v>0</v>
      </c>
      <c r="CB46" s="1">
        <f>((AO46-AN46)/BJ$154)*$BD46</f>
        <v>0</v>
      </c>
      <c r="CC46" s="1">
        <f>((AP46-AO46)/BK$154)*$BD46</f>
        <v>0</v>
      </c>
      <c r="CD46" s="1">
        <f>((AQ46-AP46)/BL$154)*$BD46</f>
        <v>0</v>
      </c>
      <c r="CE46" s="1">
        <f>((AR46-AQ46)/BM$154)*$BD46</f>
        <v>0</v>
      </c>
      <c r="CF46" s="1">
        <f>((AS46-AR46)/BN$154)*$BD46</f>
        <v>1.5846299484943767E-4</v>
      </c>
      <c r="CG46" s="1">
        <f>((AT46-AS46)/BO$154)*$BD46</f>
        <v>2.1896864978203851E-5</v>
      </c>
      <c r="CH46" s="1">
        <f>((AU46-AT46)/BP$154)*$BD46</f>
        <v>2.5975553594837067E-4</v>
      </c>
      <c r="CI46" s="1">
        <f>((AV46-AU46)/BQ$154)*$BD46</f>
        <v>9.7752388885760937E-5</v>
      </c>
      <c r="CJ46" s="1">
        <f>((AW46-AV46)/BR$154)*$BD46</f>
        <v>0</v>
      </c>
    </row>
    <row r="47" spans="1:88" x14ac:dyDescent="0.35">
      <c r="A47" s="1" t="s">
        <v>57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1.063241106719367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1.048327137546468</v>
      </c>
      <c r="N47" s="1">
        <v>1</v>
      </c>
      <c r="O47" s="1">
        <v>1</v>
      </c>
      <c r="P47" s="1">
        <v>1</v>
      </c>
      <c r="Q47" s="1">
        <v>1</v>
      </c>
      <c r="S47" s="1">
        <f t="shared" si="0"/>
        <v>100</v>
      </c>
      <c r="T47" s="1">
        <f t="shared" si="18"/>
        <v>100</v>
      </c>
      <c r="U47" s="1">
        <f t="shared" si="19"/>
        <v>100</v>
      </c>
      <c r="V47" s="1">
        <f t="shared" si="20"/>
        <v>100</v>
      </c>
      <c r="W47" s="1">
        <f t="shared" si="21"/>
        <v>106.32411067193669</v>
      </c>
      <c r="X47" s="1">
        <f t="shared" si="22"/>
        <v>106.32411067193669</v>
      </c>
      <c r="Y47" s="1">
        <f t="shared" si="23"/>
        <v>106.32411067193669</v>
      </c>
      <c r="Z47" s="1">
        <f t="shared" si="24"/>
        <v>106.32411067193669</v>
      </c>
      <c r="AA47" s="1">
        <f t="shared" si="25"/>
        <v>106.32411067193669</v>
      </c>
      <c r="AB47" s="1">
        <f t="shared" si="26"/>
        <v>106.32411067193669</v>
      </c>
      <c r="AC47" s="1">
        <f t="shared" si="27"/>
        <v>111.46245059288526</v>
      </c>
      <c r="AD47" s="1">
        <f t="shared" si="28"/>
        <v>111.46245059288526</v>
      </c>
      <c r="AE47" s="1">
        <f t="shared" si="29"/>
        <v>105.0724637681159</v>
      </c>
      <c r="AF47" s="1">
        <f t="shared" si="30"/>
        <v>0.95172413793103494</v>
      </c>
      <c r="AH47" s="1" t="str">
        <f t="shared" si="31"/>
        <v>C1079.23912</v>
      </c>
      <c r="AI47" s="1">
        <f t="shared" si="32"/>
        <v>95.172413793103487</v>
      </c>
      <c r="AJ47" s="1">
        <f t="shared" si="33"/>
        <v>95.172413793103487</v>
      </c>
      <c r="AK47" s="1">
        <f t="shared" si="34"/>
        <v>95.172413793103487</v>
      </c>
      <c r="AL47" s="1">
        <f t="shared" si="35"/>
        <v>95.172413793103487</v>
      </c>
      <c r="AM47" s="1">
        <f t="shared" si="36"/>
        <v>101.1912225705329</v>
      </c>
      <c r="AN47" s="1">
        <f t="shared" si="37"/>
        <v>101.1912225705329</v>
      </c>
      <c r="AO47" s="1">
        <f t="shared" si="38"/>
        <v>101.1912225705329</v>
      </c>
      <c r="AP47" s="1">
        <f t="shared" si="39"/>
        <v>101.1912225705329</v>
      </c>
      <c r="AQ47" s="1">
        <f t="shared" si="40"/>
        <v>101.1912225705329</v>
      </c>
      <c r="AR47" s="1">
        <f t="shared" si="41"/>
        <v>101.1912225705329</v>
      </c>
      <c r="AS47" s="1">
        <f t="shared" si="42"/>
        <v>106.08150470219429</v>
      </c>
      <c r="AT47" s="1">
        <f t="shared" si="43"/>
        <v>106.08150470219429</v>
      </c>
      <c r="AU47" s="1">
        <f t="shared" ref="AU47:AW47" si="105">AT47*O47</f>
        <v>106.08150470219429</v>
      </c>
      <c r="AV47" s="1">
        <f t="shared" si="105"/>
        <v>106.08150470219429</v>
      </c>
      <c r="AW47" s="1">
        <f t="shared" si="105"/>
        <v>106.08150470219429</v>
      </c>
      <c r="AX47" s="1" t="b">
        <f t="shared" si="45"/>
        <v>1</v>
      </c>
      <c r="AY47" s="1" t="s">
        <v>57</v>
      </c>
      <c r="AZ47" s="1" t="str">
        <f t="shared" si="46"/>
        <v>C10</v>
      </c>
      <c r="BA47" s="1" t="str">
        <f t="shared" si="47"/>
        <v>C1079</v>
      </c>
      <c r="BB47" s="1" t="s">
        <v>247</v>
      </c>
      <c r="BC47" s="1" t="s">
        <v>248</v>
      </c>
      <c r="BD47" s="1">
        <v>2.9645012862897714E-3</v>
      </c>
      <c r="BE47" s="1">
        <f t="shared" si="79"/>
        <v>0.28213874310895765</v>
      </c>
      <c r="BF47" s="1">
        <f t="shared" si="80"/>
        <v>0.28213874310895765</v>
      </c>
      <c r="BG47" s="1">
        <f t="shared" si="81"/>
        <v>0.28213874310895765</v>
      </c>
      <c r="BH47" s="1">
        <f t="shared" si="82"/>
        <v>0.28213874310895765</v>
      </c>
      <c r="BI47" s="1">
        <f t="shared" si="83"/>
        <v>0.29998150947157931</v>
      </c>
      <c r="BJ47" s="1">
        <f t="shared" si="84"/>
        <v>0.29998150947157931</v>
      </c>
      <c r="BK47" s="1">
        <f t="shared" si="85"/>
        <v>0.29998150947157931</v>
      </c>
      <c r="BL47" s="1">
        <f t="shared" si="86"/>
        <v>0.29998150947157931</v>
      </c>
      <c r="BM47" s="1">
        <f t="shared" si="87"/>
        <v>0.29998150947157931</v>
      </c>
      <c r="BN47" s="1">
        <f t="shared" si="88"/>
        <v>0.29998150947157931</v>
      </c>
      <c r="BO47" s="1">
        <f t="shared" si="89"/>
        <v>0.31447875714120943</v>
      </c>
      <c r="BP47" s="1">
        <f t="shared" si="90"/>
        <v>0.31447875714120943</v>
      </c>
      <c r="BQ47" s="1">
        <f t="shared" si="91"/>
        <v>0.31447875714120943</v>
      </c>
      <c r="BR47" s="1">
        <f t="shared" si="92"/>
        <v>0.31447875714120943</v>
      </c>
      <c r="BS47" s="1">
        <f t="shared" si="93"/>
        <v>0.31447875714120943</v>
      </c>
      <c r="BV47" s="1" t="s">
        <v>57</v>
      </c>
      <c r="BW47" s="1">
        <f>((AJ47-AI47)/BE$154)*$BD47</f>
        <v>0</v>
      </c>
      <c r="BX47" s="1">
        <f>((AK47-AJ47)/BF$154)*$BD47</f>
        <v>0</v>
      </c>
      <c r="BY47" s="1">
        <f>((AL47-AK47)/BG$154)*$BD47</f>
        <v>0</v>
      </c>
      <c r="BZ47" s="1">
        <f>((AM47-AL47)/BH$154)*$BD47</f>
        <v>1.7901461979213332E-4</v>
      </c>
      <c r="CA47" s="1">
        <f>((AN47-AM47)/BI$154)*$BD47</f>
        <v>0</v>
      </c>
      <c r="CB47" s="1">
        <f>((AO47-AN47)/BJ$154)*$BD47</f>
        <v>0</v>
      </c>
      <c r="CC47" s="1">
        <f>((AP47-AO47)/BK$154)*$BD47</f>
        <v>0</v>
      </c>
      <c r="CD47" s="1">
        <f>((AQ47-AP47)/BL$154)*$BD47</f>
        <v>0</v>
      </c>
      <c r="CE47" s="1">
        <f>((AR47-AQ47)/BM$154)*$BD47</f>
        <v>0</v>
      </c>
      <c r="CF47" s="1">
        <f>((AS47-AR47)/BN$154)*$BD47</f>
        <v>1.4426638972431688E-4</v>
      </c>
      <c r="CG47" s="1">
        <f>((AT47-AS47)/BO$154)*$BD47</f>
        <v>0</v>
      </c>
      <c r="CH47" s="1">
        <f>((AU47-AT47)/BP$154)*$BD47</f>
        <v>0</v>
      </c>
      <c r="CI47" s="1">
        <f>((AV47-AU47)/BQ$154)*$BD47</f>
        <v>0</v>
      </c>
      <c r="CJ47" s="1">
        <f>((AW47-AV47)/BR$154)*$BD47</f>
        <v>0</v>
      </c>
    </row>
    <row r="48" spans="1:88" x14ac:dyDescent="0.35">
      <c r="A48" s="1" t="s">
        <v>58</v>
      </c>
      <c r="B48" s="1">
        <v>1</v>
      </c>
      <c r="C48" s="1">
        <v>1</v>
      </c>
      <c r="D48" s="1">
        <v>1</v>
      </c>
      <c r="E48" s="1">
        <v>1</v>
      </c>
      <c r="F48" s="1">
        <v>1.0163170163170161</v>
      </c>
      <c r="G48" s="1">
        <v>0.99885321100917435</v>
      </c>
      <c r="H48" s="1">
        <v>1.0028702640642939</v>
      </c>
      <c r="I48" s="1">
        <v>1</v>
      </c>
      <c r="J48" s="1">
        <v>1.0005724098454489</v>
      </c>
      <c r="K48" s="1">
        <v>1.0005720823798629</v>
      </c>
      <c r="L48" s="1">
        <v>1</v>
      </c>
      <c r="M48" s="1">
        <v>1</v>
      </c>
      <c r="N48" s="1">
        <v>1</v>
      </c>
      <c r="O48" s="1">
        <v>1</v>
      </c>
      <c r="P48" s="1">
        <v>1.000571755288737</v>
      </c>
      <c r="Q48" s="1">
        <v>1</v>
      </c>
      <c r="S48" s="1">
        <f t="shared" si="0"/>
        <v>100</v>
      </c>
      <c r="T48" s="1">
        <f t="shared" si="18"/>
        <v>100</v>
      </c>
      <c r="U48" s="1">
        <f t="shared" si="19"/>
        <v>100</v>
      </c>
      <c r="V48" s="1">
        <f t="shared" si="20"/>
        <v>101.63170163170162</v>
      </c>
      <c r="W48" s="1">
        <f t="shared" si="21"/>
        <v>101.5151515151515</v>
      </c>
      <c r="X48" s="1">
        <f t="shared" si="22"/>
        <v>101.80652680652679</v>
      </c>
      <c r="Y48" s="1">
        <f t="shared" si="23"/>
        <v>101.80652680652679</v>
      </c>
      <c r="Z48" s="1">
        <f t="shared" si="24"/>
        <v>101.86480186480181</v>
      </c>
      <c r="AA48" s="1">
        <f t="shared" si="25"/>
        <v>101.92307692307689</v>
      </c>
      <c r="AB48" s="1">
        <f t="shared" si="26"/>
        <v>101.92307692307689</v>
      </c>
      <c r="AC48" s="1">
        <f t="shared" si="27"/>
        <v>101.92307692307689</v>
      </c>
      <c r="AD48" s="1">
        <f t="shared" si="28"/>
        <v>101.92307692307689</v>
      </c>
      <c r="AE48" s="1">
        <f t="shared" si="29"/>
        <v>101.35975135975134</v>
      </c>
      <c r="AF48" s="1">
        <f t="shared" si="30"/>
        <v>0.98658489842851682</v>
      </c>
      <c r="AH48" s="1" t="str">
        <f t="shared" si="31"/>
        <v>C1079.23921</v>
      </c>
      <c r="AI48" s="1">
        <f t="shared" si="32"/>
        <v>98.658489842851679</v>
      </c>
      <c r="AJ48" s="1">
        <f t="shared" si="33"/>
        <v>98.658489842851679</v>
      </c>
      <c r="AK48" s="1">
        <f t="shared" si="34"/>
        <v>98.658489842851679</v>
      </c>
      <c r="AL48" s="1">
        <f t="shared" si="35"/>
        <v>100.26830203142967</v>
      </c>
      <c r="AM48" s="1">
        <f t="shared" si="36"/>
        <v>100.15331544653124</v>
      </c>
      <c r="AN48" s="1">
        <f t="shared" si="37"/>
        <v>100.44078190877731</v>
      </c>
      <c r="AO48" s="1">
        <f t="shared" si="38"/>
        <v>100.44078190877731</v>
      </c>
      <c r="AP48" s="1">
        <f t="shared" si="39"/>
        <v>100.49827520122648</v>
      </c>
      <c r="AQ48" s="1">
        <f t="shared" si="40"/>
        <v>100.55576849367573</v>
      </c>
      <c r="AR48" s="1">
        <f t="shared" si="41"/>
        <v>100.55576849367573</v>
      </c>
      <c r="AS48" s="1">
        <f t="shared" si="42"/>
        <v>100.55576849367573</v>
      </c>
      <c r="AT48" s="1">
        <f t="shared" si="43"/>
        <v>100.55576849367573</v>
      </c>
      <c r="AU48" s="1">
        <f t="shared" ref="AU48:AW48" si="106">AT48*O48</f>
        <v>100.55576849367573</v>
      </c>
      <c r="AV48" s="1">
        <f t="shared" si="106"/>
        <v>100.61326178612499</v>
      </c>
      <c r="AW48" s="1">
        <f t="shared" si="106"/>
        <v>100.61326178612499</v>
      </c>
      <c r="AX48" s="1" t="b">
        <f t="shared" si="45"/>
        <v>1</v>
      </c>
      <c r="AY48" s="1" t="s">
        <v>58</v>
      </c>
      <c r="AZ48" s="1" t="str">
        <f t="shared" si="46"/>
        <v>C10</v>
      </c>
      <c r="BA48" s="1" t="str">
        <f t="shared" si="47"/>
        <v>C1079</v>
      </c>
      <c r="BB48" s="1" t="s">
        <v>249</v>
      </c>
      <c r="BC48" s="1" t="s">
        <v>250</v>
      </c>
      <c r="BD48" s="1">
        <v>2.9645012862897714E-3</v>
      </c>
      <c r="BE48" s="1">
        <f t="shared" si="79"/>
        <v>0.29247322004254017</v>
      </c>
      <c r="BF48" s="1">
        <f t="shared" si="80"/>
        <v>0.29247322004254017</v>
      </c>
      <c r="BG48" s="1">
        <f t="shared" si="81"/>
        <v>0.29247322004254017</v>
      </c>
      <c r="BH48" s="1">
        <f t="shared" si="82"/>
        <v>0.29724551034626456</v>
      </c>
      <c r="BI48" s="1">
        <f t="shared" si="83"/>
        <v>0.2969046324674271</v>
      </c>
      <c r="BJ48" s="1">
        <f t="shared" si="84"/>
        <v>0.29775682716452073</v>
      </c>
      <c r="BK48" s="1">
        <f t="shared" si="85"/>
        <v>0.29775682716452073</v>
      </c>
      <c r="BL48" s="1">
        <f t="shared" si="86"/>
        <v>0.29792726610393933</v>
      </c>
      <c r="BM48" s="1">
        <f t="shared" si="87"/>
        <v>0.29809770504335814</v>
      </c>
      <c r="BN48" s="1">
        <f t="shared" si="88"/>
        <v>0.29809770504335814</v>
      </c>
      <c r="BO48" s="1">
        <f t="shared" si="89"/>
        <v>0.29809770504335814</v>
      </c>
      <c r="BP48" s="1">
        <f t="shared" si="90"/>
        <v>0.29809770504335814</v>
      </c>
      <c r="BQ48" s="1">
        <f t="shared" si="91"/>
        <v>0.29809770504335814</v>
      </c>
      <c r="BR48" s="1">
        <f t="shared" si="92"/>
        <v>0.29826814398277707</v>
      </c>
      <c r="BS48" s="1">
        <f t="shared" si="93"/>
        <v>0.29826814398277707</v>
      </c>
      <c r="BV48" s="1" t="s">
        <v>58</v>
      </c>
      <c r="BW48" s="1">
        <f>((AJ48-AI48)/BE$154)*$BD48</f>
        <v>0</v>
      </c>
      <c r="BX48" s="1">
        <f>((AK48-AJ48)/BF$154)*$BD48</f>
        <v>0</v>
      </c>
      <c r="BY48" s="1">
        <f>((AL48-AK48)/BG$154)*$BD48</f>
        <v>4.7987864173010115E-5</v>
      </c>
      <c r="BZ48" s="1">
        <f>((AM48-AL48)/BH$154)*$BD48</f>
        <v>-3.4199923170810622E-6</v>
      </c>
      <c r="CA48" s="1">
        <f>((AN48-AM48)/BI$154)*$BD48</f>
        <v>8.5408054137682746E-6</v>
      </c>
      <c r="CB48" s="1">
        <f>((AO48-AN48)/BJ$154)*$BD48</f>
        <v>0</v>
      </c>
      <c r="CC48" s="1">
        <f>((AP48-AO48)/BK$154)*$BD48</f>
        <v>1.7067664665422208E-6</v>
      </c>
      <c r="CD48" s="1">
        <f>((AQ48-AP48)/BL$154)*$BD48</f>
        <v>1.7042852449145974E-6</v>
      </c>
      <c r="CE48" s="1">
        <f>((AR48-AQ48)/BM$154)*$BD48</f>
        <v>0</v>
      </c>
      <c r="CF48" s="1">
        <f>((AS48-AR48)/BN$154)*$BD48</f>
        <v>0</v>
      </c>
      <c r="CG48" s="1">
        <f>((AT48-AS48)/BO$154)*$BD48</f>
        <v>0</v>
      </c>
      <c r="CH48" s="1">
        <f>((AU48-AT48)/BP$154)*$BD48</f>
        <v>0</v>
      </c>
      <c r="CI48" s="1">
        <f>((AV48-AU48)/BQ$154)*$BD48</f>
        <v>1.6859101220324709E-6</v>
      </c>
      <c r="CJ48" s="1">
        <f>((AW48-AV48)/BR$154)*$BD48</f>
        <v>0</v>
      </c>
    </row>
    <row r="49" spans="1:88" x14ac:dyDescent="0.35">
      <c r="A49" s="1" t="s">
        <v>59</v>
      </c>
      <c r="B49" s="1">
        <v>1</v>
      </c>
      <c r="C49" s="1">
        <v>1</v>
      </c>
      <c r="D49" s="1">
        <v>1.003979955040011</v>
      </c>
      <c r="E49" s="1">
        <v>1</v>
      </c>
      <c r="F49" s="1">
        <v>1.0023468468542327</v>
      </c>
      <c r="G49" s="1">
        <v>0.99987826402378577</v>
      </c>
      <c r="H49" s="1">
        <v>1.0004860280992995</v>
      </c>
      <c r="I49" s="1">
        <v>1.0036612777110823</v>
      </c>
      <c r="J49" s="1">
        <v>1</v>
      </c>
      <c r="K49" s="1">
        <v>1</v>
      </c>
      <c r="L49" s="1">
        <v>1.0001208678520677</v>
      </c>
      <c r="M49" s="1">
        <v>1</v>
      </c>
      <c r="N49" s="1">
        <v>1.0160910189861754</v>
      </c>
      <c r="O49" s="1">
        <v>0.9868574277058737</v>
      </c>
      <c r="P49" s="1">
        <v>1</v>
      </c>
      <c r="Q49" s="1">
        <v>1</v>
      </c>
      <c r="S49" s="1">
        <f t="shared" si="0"/>
        <v>100</v>
      </c>
      <c r="T49" s="1">
        <f t="shared" si="18"/>
        <v>100.3979955040011</v>
      </c>
      <c r="U49" s="1">
        <f t="shared" si="19"/>
        <v>100.3979955040011</v>
      </c>
      <c r="V49" s="1">
        <f t="shared" si="20"/>
        <v>100.63361422392093</v>
      </c>
      <c r="W49" s="1">
        <f t="shared" si="21"/>
        <v>100.62136349265342</v>
      </c>
      <c r="X49" s="1">
        <f t="shared" si="22"/>
        <v>100.67026830270068</v>
      </c>
      <c r="Y49" s="1">
        <f t="shared" si="23"/>
        <v>101.03885011220602</v>
      </c>
      <c r="Z49" s="1">
        <f t="shared" si="24"/>
        <v>101.03885011220602</v>
      </c>
      <c r="AA49" s="1">
        <f t="shared" si="25"/>
        <v>101.03885011220602</v>
      </c>
      <c r="AB49" s="1">
        <f t="shared" si="26"/>
        <v>101.05106246099447</v>
      </c>
      <c r="AC49" s="1">
        <f t="shared" si="27"/>
        <v>101.05106246099447</v>
      </c>
      <c r="AD49" s="1">
        <f t="shared" si="28"/>
        <v>102.67707702562753</v>
      </c>
      <c r="AE49" s="1">
        <f t="shared" si="29"/>
        <v>100.88474910929263</v>
      </c>
      <c r="AF49" s="1">
        <f t="shared" si="30"/>
        <v>0.99123010051465621</v>
      </c>
      <c r="AH49" s="1" t="str">
        <f t="shared" si="31"/>
        <v>C1079.23992</v>
      </c>
      <c r="AI49" s="1">
        <f t="shared" si="32"/>
        <v>99.123010051465627</v>
      </c>
      <c r="AJ49" s="1">
        <f t="shared" si="33"/>
        <v>99.517515174901021</v>
      </c>
      <c r="AK49" s="1">
        <f t="shared" si="34"/>
        <v>99.517515174901021</v>
      </c>
      <c r="AL49" s="1">
        <f t="shared" si="35"/>
        <v>99.751067542330276</v>
      </c>
      <c r="AM49" s="1">
        <f t="shared" si="36"/>
        <v>99.73892424874461</v>
      </c>
      <c r="AN49" s="1">
        <f t="shared" si="37"/>
        <v>99.787400168523405</v>
      </c>
      <c r="AO49" s="1">
        <f t="shared" si="38"/>
        <v>100.15274955260726</v>
      </c>
      <c r="AP49" s="1">
        <f t="shared" si="39"/>
        <v>100.15274955260726</v>
      </c>
      <c r="AQ49" s="1">
        <f t="shared" si="40"/>
        <v>100.15274955260726</v>
      </c>
      <c r="AR49" s="1">
        <f t="shared" si="41"/>
        <v>100.16485480032435</v>
      </c>
      <c r="AS49" s="1">
        <f t="shared" si="42"/>
        <v>100.16485480032435</v>
      </c>
      <c r="AT49" s="1">
        <f t="shared" si="43"/>
        <v>101.77660938066387</v>
      </c>
      <c r="AU49" s="1">
        <f t="shared" ref="AU49:AW49" si="107">AT49*O49</f>
        <v>100.43900293402744</v>
      </c>
      <c r="AV49" s="1">
        <f t="shared" si="107"/>
        <v>100.43900293402744</v>
      </c>
      <c r="AW49" s="1">
        <f t="shared" si="107"/>
        <v>100.43900293402744</v>
      </c>
      <c r="AX49" s="1" t="b">
        <f t="shared" si="45"/>
        <v>1</v>
      </c>
      <c r="AY49" s="1" t="s">
        <v>59</v>
      </c>
      <c r="AZ49" s="1" t="str">
        <f t="shared" si="46"/>
        <v>C10</v>
      </c>
      <c r="BA49" s="1" t="str">
        <f t="shared" si="47"/>
        <v>C1079</v>
      </c>
      <c r="BB49" s="1" t="s">
        <v>251</v>
      </c>
      <c r="BC49" s="1" t="s">
        <v>252</v>
      </c>
      <c r="BD49" s="1">
        <v>4.4467519294346574E-3</v>
      </c>
      <c r="BE49" s="1">
        <f t="shared" si="79"/>
        <v>0.44077543619772569</v>
      </c>
      <c r="BF49" s="1">
        <f t="shared" si="80"/>
        <v>0.4425297026165339</v>
      </c>
      <c r="BG49" s="1">
        <f t="shared" si="81"/>
        <v>0.4425297026165339</v>
      </c>
      <c r="BH49" s="1">
        <f t="shared" si="82"/>
        <v>0.44356825205702399</v>
      </c>
      <c r="BI49" s="1">
        <f t="shared" si="83"/>
        <v>0.44351425384284221</v>
      </c>
      <c r="BJ49" s="1">
        <f t="shared" si="84"/>
        <v>0.44372981423264968</v>
      </c>
      <c r="BK49" s="1">
        <f t="shared" si="85"/>
        <v>0.44535443231124233</v>
      </c>
      <c r="BL49" s="1">
        <f t="shared" si="86"/>
        <v>0.44535443231124233</v>
      </c>
      <c r="BM49" s="1">
        <f t="shared" si="87"/>
        <v>0.44535443231124233</v>
      </c>
      <c r="BN49" s="1">
        <f t="shared" si="88"/>
        <v>0.44540826134488459</v>
      </c>
      <c r="BO49" s="1">
        <f t="shared" si="89"/>
        <v>0.44540826134488459</v>
      </c>
      <c r="BP49" s="1">
        <f t="shared" si="90"/>
        <v>0.45257533413478451</v>
      </c>
      <c r="BQ49" s="1">
        <f t="shared" si="91"/>
        <v>0.44662733008737976</v>
      </c>
      <c r="BR49" s="1">
        <f t="shared" si="92"/>
        <v>0.44662733008737976</v>
      </c>
      <c r="BS49" s="1">
        <f t="shared" si="93"/>
        <v>0.44662733008737976</v>
      </c>
      <c r="BV49" s="1" t="s">
        <v>59</v>
      </c>
      <c r="BW49" s="1">
        <f>((AJ49-AI49)/BE$154)*$BD49</f>
        <v>1.7622388982791983E-5</v>
      </c>
      <c r="BX49" s="1">
        <f>((AK49-AJ49)/BF$154)*$BD49</f>
        <v>0</v>
      </c>
      <c r="BY49" s="1">
        <f>((AL49-AK49)/BG$154)*$BD49</f>
        <v>1.0443155448506262E-5</v>
      </c>
      <c r="BZ49" s="1">
        <f>((AM49-AL49)/BH$154)*$BD49</f>
        <v>-5.4175846865598822E-7</v>
      </c>
      <c r="CA49" s="1">
        <f>((AN49-AM49)/BI$154)*$BD49</f>
        <v>2.1603740912029819E-6</v>
      </c>
      <c r="CB49" s="1">
        <f>((AO49-AN49)/BJ$154)*$BD49</f>
        <v>1.6273512367454855E-5</v>
      </c>
      <c r="CC49" s="1">
        <f>((AP49-AO49)/BK$154)*$BD49</f>
        <v>0</v>
      </c>
      <c r="CD49" s="1">
        <f>((AQ49-AP49)/BL$154)*$BD49</f>
        <v>0</v>
      </c>
      <c r="CE49" s="1">
        <f>((AR49-AQ49)/BM$154)*$BD49</f>
        <v>5.3611257301877704E-7</v>
      </c>
      <c r="CF49" s="1">
        <f>((AS49-AR49)/BN$154)*$BD49</f>
        <v>0</v>
      </c>
      <c r="CG49" s="1">
        <f>((AT49-AS49)/BO$154)*$BD49</f>
        <v>7.1158399296644345E-5</v>
      </c>
      <c r="CH49" s="1">
        <f>((AU49-AT49)/BP$154)*$BD49</f>
        <v>-5.9039865089169294E-5</v>
      </c>
      <c r="CI49" s="1">
        <f>((AV49-AU49)/BQ$154)*$BD49</f>
        <v>0</v>
      </c>
      <c r="CJ49" s="1">
        <f>((AW49-AV49)/BR$154)*$BD49</f>
        <v>0</v>
      </c>
    </row>
    <row r="50" spans="1:88" x14ac:dyDescent="0.35">
      <c r="A50" s="1" t="s">
        <v>60</v>
      </c>
      <c r="B50" s="1">
        <v>1.0005228345877646</v>
      </c>
      <c r="C50" s="1">
        <v>1</v>
      </c>
      <c r="D50" s="1">
        <v>0.99990293003127872</v>
      </c>
      <c r="E50" s="1">
        <v>0.9999390085866352</v>
      </c>
      <c r="F50" s="1">
        <v>1.0012488846707981</v>
      </c>
      <c r="G50" s="1">
        <v>0.99834939307275117</v>
      </c>
      <c r="H50" s="1">
        <v>1.0005522276649021</v>
      </c>
      <c r="I50" s="1">
        <v>1.0018175492546044</v>
      </c>
      <c r="J50" s="1">
        <v>1.0010379433601875</v>
      </c>
      <c r="K50" s="1">
        <v>0.99885379147686837</v>
      </c>
      <c r="L50" s="1">
        <v>0.99979407506779761</v>
      </c>
      <c r="M50" s="1">
        <v>0.99987818200290202</v>
      </c>
      <c r="N50" s="1">
        <v>0.99274878934937827</v>
      </c>
      <c r="O50" s="1">
        <v>1.0049133413314146</v>
      </c>
      <c r="P50" s="1">
        <v>1.0187415983896366</v>
      </c>
      <c r="Q50" s="1">
        <v>1.0036987683464824</v>
      </c>
      <c r="S50" s="1">
        <f t="shared" si="0"/>
        <v>100</v>
      </c>
      <c r="T50" s="1">
        <f t="shared" si="18"/>
        <v>99.990293003127874</v>
      </c>
      <c r="U50" s="1">
        <f t="shared" si="19"/>
        <v>99.98419445383486</v>
      </c>
      <c r="V50" s="1">
        <f t="shared" si="20"/>
        <v>100.10906318161035</v>
      </c>
      <c r="W50" s="1">
        <f t="shared" si="21"/>
        <v>99.943822468442391</v>
      </c>
      <c r="X50" s="1">
        <f t="shared" si="22"/>
        <v>99.999014212145539</v>
      </c>
      <c r="Y50" s="1">
        <f t="shared" si="23"/>
        <v>100.180767345888</v>
      </c>
      <c r="Z50" s="1">
        <f t="shared" si="24"/>
        <v>100.28474930817315</v>
      </c>
      <c r="AA50" s="1">
        <f t="shared" si="25"/>
        <v>100.169802073776</v>
      </c>
      <c r="AB50" s="1">
        <f t="shared" si="26"/>
        <v>100.14917461407522</v>
      </c>
      <c r="AC50" s="1">
        <f t="shared" si="27"/>
        <v>100.13697464221272</v>
      </c>
      <c r="AD50" s="1">
        <f t="shared" si="28"/>
        <v>99.410860345166071</v>
      </c>
      <c r="AE50" s="1">
        <f t="shared" si="29"/>
        <v>100.02989297070435</v>
      </c>
      <c r="AF50" s="1">
        <f t="shared" si="30"/>
        <v>0.99970115962522221</v>
      </c>
      <c r="AH50" s="1" t="str">
        <f t="shared" si="31"/>
        <v>C1079.23995</v>
      </c>
      <c r="AI50" s="1">
        <f t="shared" si="32"/>
        <v>99.970115962522215</v>
      </c>
      <c r="AJ50" s="1">
        <f t="shared" si="33"/>
        <v>99.960411866492677</v>
      </c>
      <c r="AK50" s="1">
        <f t="shared" si="34"/>
        <v>99.954315139692426</v>
      </c>
      <c r="AL50" s="1">
        <f t="shared" si="35"/>
        <v>100.07914655165051</v>
      </c>
      <c r="AM50" s="1">
        <f t="shared" si="36"/>
        <v>99.913955219079199</v>
      </c>
      <c r="AN50" s="1">
        <f t="shared" si="37"/>
        <v>99.969130469260975</v>
      </c>
      <c r="AO50" s="1">
        <f t="shared" si="38"/>
        <v>100.15082928782883</v>
      </c>
      <c r="AP50" s="1">
        <f t="shared" si="39"/>
        <v>100.2547801761054</v>
      </c>
      <c r="AQ50" s="1">
        <f t="shared" si="40"/>
        <v>100.13986729258285</v>
      </c>
      <c r="AR50" s="1">
        <f t="shared" si="41"/>
        <v>100.11924599719987</v>
      </c>
      <c r="AS50" s="1">
        <f t="shared" si="42"/>
        <v>100.10704967118153</v>
      </c>
      <c r="AT50" s="1">
        <f t="shared" si="43"/>
        <v>99.381152366403541</v>
      </c>
      <c r="AU50" s="1">
        <f t="shared" ref="AU50:AW50" si="108">AT50*O50</f>
        <v>99.869445889889008</v>
      </c>
      <c r="AV50" s="1">
        <f t="shared" si="108"/>
        <v>101.74115893615286</v>
      </c>
      <c r="AW50" s="1">
        <f t="shared" si="108"/>
        <v>102.11747591436034</v>
      </c>
      <c r="AX50" s="1" t="b">
        <f t="shared" si="45"/>
        <v>1</v>
      </c>
      <c r="AY50" s="1" t="s">
        <v>60</v>
      </c>
      <c r="AZ50" s="1" t="str">
        <f t="shared" si="46"/>
        <v>C10</v>
      </c>
      <c r="BA50" s="1" t="str">
        <f t="shared" si="47"/>
        <v>C1079</v>
      </c>
      <c r="BB50" s="1" t="s">
        <v>253</v>
      </c>
      <c r="BC50" s="1" t="s">
        <v>254</v>
      </c>
      <c r="BD50" s="1">
        <v>5.9290025725795429E-3</v>
      </c>
      <c r="BE50" s="1">
        <f t="shared" si="79"/>
        <v>0.59272307472286945</v>
      </c>
      <c r="BF50" s="1">
        <f t="shared" si="80"/>
        <v>0.59266553911254571</v>
      </c>
      <c r="BG50" s="1">
        <f t="shared" si="81"/>
        <v>0.59262939160366279</v>
      </c>
      <c r="BH50" s="1">
        <f t="shared" si="82"/>
        <v>0.59336951736630095</v>
      </c>
      <c r="BI50" s="1">
        <f t="shared" si="83"/>
        <v>0.59239009753051786</v>
      </c>
      <c r="BJ50" s="1">
        <f t="shared" si="84"/>
        <v>0.59271723173078827</v>
      </c>
      <c r="BK50" s="1">
        <f t="shared" si="85"/>
        <v>0.59379452449351178</v>
      </c>
      <c r="BL50" s="1">
        <f t="shared" si="86"/>
        <v>0.59441084957752544</v>
      </c>
      <c r="BM50" s="1">
        <f t="shared" si="87"/>
        <v>0.59372953079549773</v>
      </c>
      <c r="BN50" s="1">
        <f t="shared" si="88"/>
        <v>0.59360726708212208</v>
      </c>
      <c r="BO50" s="1">
        <f t="shared" si="89"/>
        <v>0.5935349550337834</v>
      </c>
      <c r="BP50" s="1">
        <f t="shared" si="90"/>
        <v>0.58923110804632617</v>
      </c>
      <c r="BQ50" s="1">
        <f t="shared" si="91"/>
        <v>0.59212620160324536</v>
      </c>
      <c r="BR50" s="1">
        <f t="shared" si="92"/>
        <v>0.60322359306967444</v>
      </c>
      <c r="BS50" s="1">
        <f t="shared" si="93"/>
        <v>0.60545477740157194</v>
      </c>
      <c r="BV50" s="1" t="s">
        <v>60</v>
      </c>
      <c r="BW50" s="1">
        <f>((AJ50-AI50)/BE$154)*$BD50</f>
        <v>-5.7797087980237604E-7</v>
      </c>
      <c r="BX50" s="1">
        <f>((AK50-AJ50)/BF$154)*$BD50</f>
        <v>-3.6331651643325287E-7</v>
      </c>
      <c r="BY50" s="1">
        <f>((AL50-AK50)/BG$154)*$BD50</f>
        <v>7.4423499636453273E-6</v>
      </c>
      <c r="BZ50" s="1">
        <f>((AM50-AL50)/BH$154)*$BD50</f>
        <v>-9.8264173814935253E-6</v>
      </c>
      <c r="CA50" s="1">
        <f>((AN50-AM50)/BI$154)*$BD50</f>
        <v>3.2785812423234698E-6</v>
      </c>
      <c r="CB50" s="1">
        <f>((AO50-AN50)/BJ$154)*$BD50</f>
        <v>1.0791051342193986E-5</v>
      </c>
      <c r="CC50" s="1">
        <f>((AP50-AO50)/BK$154)*$BD50</f>
        <v>6.1718465831330994E-6</v>
      </c>
      <c r="CD50" s="1">
        <f>((AQ50-AP50)/BL$154)*$BD50</f>
        <v>-6.8127714902026238E-6</v>
      </c>
      <c r="CE50" s="1">
        <f>((AR50-AQ50)/BM$154)*$BD50</f>
        <v>-1.2176907057307832E-6</v>
      </c>
      <c r="CF50" s="1">
        <f>((AS50-AR50)/BN$154)*$BD50</f>
        <v>-7.1959853243436033E-7</v>
      </c>
      <c r="CG50" s="1">
        <f>((AT50-AS50)/BO$154)*$BD50</f>
        <v>-4.2730815135117275E-5</v>
      </c>
      <c r="CH50" s="1">
        <f>((AU50-AT50)/BP$154)*$BD50</f>
        <v>2.8736687409554602E-5</v>
      </c>
      <c r="CI50" s="1">
        <f>((AV50-AU50)/BQ$154)*$BD50</f>
        <v>1.0977071709786056E-4</v>
      </c>
      <c r="CJ50" s="1">
        <f>((AW50-AV50)/BR$154)*$BD50</f>
        <v>2.2030356823377985E-5</v>
      </c>
    </row>
    <row r="51" spans="1:88" x14ac:dyDescent="0.35">
      <c r="A51" s="1" t="s">
        <v>61</v>
      </c>
      <c r="B51" s="1">
        <v>1.02087585120452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1.0064266135102464</v>
      </c>
      <c r="I51" s="1">
        <v>1</v>
      </c>
      <c r="J51" s="1">
        <v>1.0010282952943128</v>
      </c>
      <c r="K51" s="1">
        <v>1.0331316552862142</v>
      </c>
      <c r="L51" s="1">
        <v>1.0009045800911462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S51" s="1">
        <f t="shared" si="0"/>
        <v>100</v>
      </c>
      <c r="T51" s="1">
        <f t="shared" si="18"/>
        <v>100</v>
      </c>
      <c r="U51" s="1">
        <f t="shared" si="19"/>
        <v>100</v>
      </c>
      <c r="V51" s="1">
        <f t="shared" si="20"/>
        <v>100</v>
      </c>
      <c r="W51" s="1">
        <f t="shared" si="21"/>
        <v>100</v>
      </c>
      <c r="X51" s="1">
        <f t="shared" si="22"/>
        <v>100.64266135102464</v>
      </c>
      <c r="Y51" s="1">
        <f t="shared" si="23"/>
        <v>100.64266135102464</v>
      </c>
      <c r="Z51" s="1">
        <f t="shared" si="24"/>
        <v>100.74615172609901</v>
      </c>
      <c r="AA51" s="1">
        <f t="shared" si="25"/>
        <v>104.08403849650077</v>
      </c>
      <c r="AB51" s="1">
        <f t="shared" si="26"/>
        <v>104.17819084553081</v>
      </c>
      <c r="AC51" s="1">
        <f t="shared" si="27"/>
        <v>104.17819084553081</v>
      </c>
      <c r="AD51" s="1">
        <f t="shared" si="28"/>
        <v>104.17819084553081</v>
      </c>
      <c r="AE51" s="1">
        <f t="shared" si="29"/>
        <v>101.55417378843678</v>
      </c>
      <c r="AF51" s="1">
        <f t="shared" si="30"/>
        <v>0.98469611114483069</v>
      </c>
      <c r="AH51" s="1" t="str">
        <f t="shared" si="31"/>
        <v>C1079.23996</v>
      </c>
      <c r="AI51" s="1">
        <f t="shared" si="32"/>
        <v>98.469611114483072</v>
      </c>
      <c r="AJ51" s="1">
        <f t="shared" si="33"/>
        <v>98.469611114483072</v>
      </c>
      <c r="AK51" s="1">
        <f t="shared" si="34"/>
        <v>98.469611114483072</v>
      </c>
      <c r="AL51" s="1">
        <f t="shared" si="35"/>
        <v>98.469611114483072</v>
      </c>
      <c r="AM51" s="1">
        <f t="shared" si="36"/>
        <v>98.469611114483072</v>
      </c>
      <c r="AN51" s="1">
        <f t="shared" si="37"/>
        <v>99.102437247620117</v>
      </c>
      <c r="AO51" s="1">
        <f t="shared" si="38"/>
        <v>99.102437247620117</v>
      </c>
      <c r="AP51" s="1">
        <f t="shared" si="39"/>
        <v>99.204343817496778</v>
      </c>
      <c r="AQ51" s="1">
        <f t="shared" si="40"/>
        <v>102.49114793975316</v>
      </c>
      <c r="AR51" s="1">
        <f t="shared" si="41"/>
        <v>102.58385939169818</v>
      </c>
      <c r="AS51" s="1">
        <f t="shared" si="42"/>
        <v>102.58385939169818</v>
      </c>
      <c r="AT51" s="1">
        <f t="shared" si="43"/>
        <v>102.58385939169818</v>
      </c>
      <c r="AU51" s="1">
        <f t="shared" ref="AU51:AW51" si="109">AT51*O51</f>
        <v>102.58385939169818</v>
      </c>
      <c r="AV51" s="1">
        <f t="shared" si="109"/>
        <v>102.58385939169818</v>
      </c>
      <c r="AW51" s="1">
        <f t="shared" si="109"/>
        <v>102.58385939169818</v>
      </c>
      <c r="AX51" s="1" t="b">
        <f t="shared" si="45"/>
        <v>1</v>
      </c>
      <c r="AY51" s="1" t="s">
        <v>61</v>
      </c>
      <c r="AZ51" s="1" t="str">
        <f t="shared" si="46"/>
        <v>C10</v>
      </c>
      <c r="BA51" s="1" t="str">
        <f t="shared" si="47"/>
        <v>C1079</v>
      </c>
      <c r="BB51" s="1" t="s">
        <v>255</v>
      </c>
      <c r="BC51" s="1" t="s">
        <v>256</v>
      </c>
      <c r="BD51" s="1">
        <v>2.9645012862897714E-3</v>
      </c>
      <c r="BE51" s="1">
        <f t="shared" si="79"/>
        <v>0.29191328880933864</v>
      </c>
      <c r="BF51" s="1">
        <f t="shared" si="80"/>
        <v>0.29191328880933864</v>
      </c>
      <c r="BG51" s="1">
        <f t="shared" si="81"/>
        <v>0.29191328880933864</v>
      </c>
      <c r="BH51" s="1">
        <f t="shared" si="82"/>
        <v>0.29191328880933864</v>
      </c>
      <c r="BI51" s="1">
        <f t="shared" si="83"/>
        <v>0.29191328880933864</v>
      </c>
      <c r="BJ51" s="1">
        <f t="shared" si="84"/>
        <v>0.29378930269502118</v>
      </c>
      <c r="BK51" s="1">
        <f t="shared" si="85"/>
        <v>0.29378930269502118</v>
      </c>
      <c r="BL51" s="1">
        <f t="shared" si="86"/>
        <v>0.29409140485250196</v>
      </c>
      <c r="BM51" s="1">
        <f t="shared" si="87"/>
        <v>0.30383513990071348</v>
      </c>
      <c r="BN51" s="1">
        <f t="shared" si="88"/>
        <v>0.3041099831192583</v>
      </c>
      <c r="BO51" s="1">
        <f t="shared" si="89"/>
        <v>0.3041099831192583</v>
      </c>
      <c r="BP51" s="1">
        <f t="shared" si="90"/>
        <v>0.3041099831192583</v>
      </c>
      <c r="BQ51" s="1">
        <f t="shared" si="91"/>
        <v>0.3041099831192583</v>
      </c>
      <c r="BR51" s="1">
        <f t="shared" si="92"/>
        <v>0.3041099831192583</v>
      </c>
      <c r="BS51" s="1">
        <f t="shared" si="93"/>
        <v>0.3041099831192583</v>
      </c>
      <c r="BV51" s="1" t="s">
        <v>61</v>
      </c>
      <c r="BW51" s="1">
        <f>((AJ51-AI51)/BE$154)*$BD51</f>
        <v>0</v>
      </c>
      <c r="BX51" s="1">
        <f>((AK51-AJ51)/BF$154)*$BD51</f>
        <v>0</v>
      </c>
      <c r="BY51" s="1">
        <f>((AL51-AK51)/BG$154)*$BD51</f>
        <v>0</v>
      </c>
      <c r="BZ51" s="1">
        <f>((AM51-AL51)/BH$154)*$BD51</f>
        <v>0</v>
      </c>
      <c r="CA51" s="1">
        <f>((AN51-AM51)/BI$154)*$BD51</f>
        <v>1.8801653666452179E-5</v>
      </c>
      <c r="CB51" s="1">
        <f>((AO51-AN51)/BJ$154)*$BD51</f>
        <v>0</v>
      </c>
      <c r="CC51" s="1">
        <f>((AP51-AO51)/BK$154)*$BD51</f>
        <v>3.0252349235280052E-6</v>
      </c>
      <c r="CD51" s="1">
        <f>((AQ51-AP51)/BL$154)*$BD51</f>
        <v>9.7431396426470572E-5</v>
      </c>
      <c r="CE51" s="1">
        <f>((AR51-AQ51)/BM$154)*$BD51</f>
        <v>2.7373128421756177E-6</v>
      </c>
      <c r="CF51" s="1">
        <f>((AS51-AR51)/BN$154)*$BD51</f>
        <v>0</v>
      </c>
      <c r="CG51" s="1">
        <f>((AT51-AS51)/BO$154)*$BD51</f>
        <v>0</v>
      </c>
      <c r="CH51" s="1">
        <f>((AU51-AT51)/BP$154)*$BD51</f>
        <v>0</v>
      </c>
      <c r="CI51" s="1">
        <f>((AV51-AU51)/BQ$154)*$BD51</f>
        <v>0</v>
      </c>
      <c r="CJ51" s="1">
        <f>((AW51-AV51)/BR$154)*$BD51</f>
        <v>0</v>
      </c>
    </row>
    <row r="52" spans="1:88" x14ac:dyDescent="0.35">
      <c r="A52" s="1" t="s">
        <v>62</v>
      </c>
      <c r="B52" s="1">
        <v>1.0041461132886589</v>
      </c>
      <c r="C52" s="1">
        <v>1</v>
      </c>
      <c r="D52" s="1">
        <v>0.99960543641666011</v>
      </c>
      <c r="E52" s="1">
        <v>1.0001641927409179</v>
      </c>
      <c r="F52" s="1">
        <v>0.99976485534261794</v>
      </c>
      <c r="G52" s="1">
        <v>0.99984162331886328</v>
      </c>
      <c r="H52" s="1">
        <v>0.99957634790665162</v>
      </c>
      <c r="I52" s="1">
        <v>1.0002039826881199</v>
      </c>
      <c r="J52" s="1">
        <v>0.99973256221449447</v>
      </c>
      <c r="K52" s="1">
        <v>1.0001026631976755</v>
      </c>
      <c r="L52" s="1">
        <v>0.99976418271765111</v>
      </c>
      <c r="M52" s="1">
        <v>0.97938747774021584</v>
      </c>
      <c r="N52" s="1">
        <v>0.99309648312492615</v>
      </c>
      <c r="O52" s="1">
        <v>0.99935895056197388</v>
      </c>
      <c r="P52" s="1">
        <v>1.0161985653762</v>
      </c>
      <c r="Q52" s="1">
        <v>1.0060302427976533</v>
      </c>
      <c r="S52" s="1">
        <f t="shared" si="0"/>
        <v>100</v>
      </c>
      <c r="T52" s="1">
        <f t="shared" si="18"/>
        <v>99.960543641666007</v>
      </c>
      <c r="U52" s="1">
        <f t="shared" si="19"/>
        <v>99.976956437310179</v>
      </c>
      <c r="V52" s="1">
        <f t="shared" si="20"/>
        <v>99.953447390142628</v>
      </c>
      <c r="W52" s="1">
        <f t="shared" si="21"/>
        <v>99.937617094876799</v>
      </c>
      <c r="X52" s="1">
        <f t="shared" si="22"/>
        <v>99.895278314190307</v>
      </c>
      <c r="Y52" s="1">
        <f t="shared" si="23"/>
        <v>99.915655221591322</v>
      </c>
      <c r="Z52" s="1">
        <f t="shared" si="24"/>
        <v>99.888934000021521</v>
      </c>
      <c r="AA52" s="1">
        <f t="shared" si="25"/>
        <v>99.899188917398362</v>
      </c>
      <c r="AB52" s="1">
        <f t="shared" si="26"/>
        <v>99.875630962159008</v>
      </c>
      <c r="AC52" s="1">
        <f t="shared" si="27"/>
        <v>97.816942295741512</v>
      </c>
      <c r="AD52" s="1">
        <f t="shared" si="28"/>
        <v>97.141661383934732</v>
      </c>
      <c r="AE52" s="1">
        <f t="shared" si="29"/>
        <v>99.521821304919357</v>
      </c>
      <c r="AF52" s="1">
        <f t="shared" si="30"/>
        <v>1.0048047623004766</v>
      </c>
      <c r="AH52" s="1" t="str">
        <f t="shared" si="31"/>
        <v>C1079.23999</v>
      </c>
      <c r="AI52" s="1">
        <f t="shared" si="32"/>
        <v>100.48047623004766</v>
      </c>
      <c r="AJ52" s="1">
        <f t="shared" si="33"/>
        <v>100.44083029329063</v>
      </c>
      <c r="AK52" s="1">
        <f t="shared" si="34"/>
        <v>100.45732194851655</v>
      </c>
      <c r="AL52" s="1">
        <f t="shared" si="35"/>
        <v>100.43369994596546</v>
      </c>
      <c r="AM52" s="1">
        <f t="shared" si="36"/>
        <v>100.41779358989372</v>
      </c>
      <c r="AN52" s="1">
        <f t="shared" si="37"/>
        <v>100.37525138142995</v>
      </c>
      <c r="AO52" s="1">
        <f t="shared" si="38"/>
        <v>100.39572619502744</v>
      </c>
      <c r="AP52" s="1">
        <f t="shared" si="39"/>
        <v>100.36887658433962</v>
      </c>
      <c r="AQ52" s="1">
        <f t="shared" si="40"/>
        <v>100.37918077415686</v>
      </c>
      <c r="AR52" s="1">
        <f t="shared" si="41"/>
        <v>100.35550962854229</v>
      </c>
      <c r="AS52" s="1">
        <f t="shared" si="42"/>
        <v>98.286929452431977</v>
      </c>
      <c r="AT52" s="1">
        <f t="shared" si="43"/>
        <v>97.60840397635792</v>
      </c>
      <c r="AU52" s="1">
        <f t="shared" ref="AU52:AW52" si="110">AT52*O52</f>
        <v>97.545832163842249</v>
      </c>
      <c r="AV52" s="1">
        <f t="shared" si="110"/>
        <v>99.125934703324077</v>
      </c>
      <c r="AW52" s="1">
        <f t="shared" si="110"/>
        <v>99.723688157129445</v>
      </c>
      <c r="AX52" s="1" t="b">
        <f t="shared" si="45"/>
        <v>1</v>
      </c>
      <c r="AY52" s="1" t="s">
        <v>62</v>
      </c>
      <c r="AZ52" s="1" t="str">
        <f t="shared" si="46"/>
        <v>C10</v>
      </c>
      <c r="BA52" s="1" t="str">
        <f t="shared" si="47"/>
        <v>C1079</v>
      </c>
      <c r="BB52" s="1" t="s">
        <v>257</v>
      </c>
      <c r="BC52" s="1" t="s">
        <v>258</v>
      </c>
      <c r="BD52" s="1">
        <v>2.9645012862897714E-3</v>
      </c>
      <c r="BE52" s="1">
        <f t="shared" si="79"/>
        <v>0.29787450103098506</v>
      </c>
      <c r="BF52" s="1">
        <f t="shared" si="80"/>
        <v>0.29775697060047274</v>
      </c>
      <c r="BG52" s="1">
        <f t="shared" si="81"/>
        <v>0.297805860133603</v>
      </c>
      <c r="BH52" s="1">
        <f t="shared" si="82"/>
        <v>0.29773583267665554</v>
      </c>
      <c r="BI52" s="1">
        <f t="shared" si="83"/>
        <v>0.29768867826362072</v>
      </c>
      <c r="BJ52" s="1">
        <f t="shared" si="84"/>
        <v>0.29756256183190821</v>
      </c>
      <c r="BK52" s="1">
        <f t="shared" si="85"/>
        <v>0.29762325944315454</v>
      </c>
      <c r="BL52" s="1">
        <f t="shared" si="86"/>
        <v>0.29754366373773411</v>
      </c>
      <c r="BM52" s="1">
        <f t="shared" si="87"/>
        <v>0.29757421052170152</v>
      </c>
      <c r="BN52" s="1">
        <f t="shared" si="88"/>
        <v>0.29750403738007919</v>
      </c>
      <c r="BO52" s="1">
        <f t="shared" si="89"/>
        <v>0.29137172878720663</v>
      </c>
      <c r="BP52" s="1">
        <f t="shared" si="90"/>
        <v>0.28936023914060471</v>
      </c>
      <c r="BQ52" s="1">
        <f t="shared" si="91"/>
        <v>0.28917474492191653</v>
      </c>
      <c r="BR52" s="1">
        <f t="shared" si="92"/>
        <v>0.2938589609326801</v>
      </c>
      <c r="BS52" s="1">
        <f t="shared" si="93"/>
        <v>0.29563100181537028</v>
      </c>
      <c r="BV52" s="1" t="s">
        <v>62</v>
      </c>
      <c r="BW52" s="1">
        <f>((AJ52-AI52)/BE$154)*$BD52</f>
        <v>-1.1806456200712195E-6</v>
      </c>
      <c r="BX52" s="1">
        <f>((AK52-AJ52)/BF$154)*$BD52</f>
        <v>4.9138586353028141E-7</v>
      </c>
      <c r="BY52" s="1">
        <f>((AL52-AK52)/BG$154)*$BD52</f>
        <v>-7.0416254638852146E-7</v>
      </c>
      <c r="BZ52" s="1">
        <f>((AM52-AL52)/BH$154)*$BD52</f>
        <v>-4.7309532330360794E-7</v>
      </c>
      <c r="CA52" s="1">
        <f>((AN52-AM52)/BI$154)*$BD52</f>
        <v>-1.2639551811439298E-6</v>
      </c>
      <c r="CB52" s="1">
        <f>((AO52-AN52)/BJ$154)*$BD52</f>
        <v>6.0799725197397992E-7</v>
      </c>
      <c r="CC52" s="1">
        <f>((AP52-AO52)/BK$154)*$BD52</f>
        <v>-7.9706715704620336E-7</v>
      </c>
      <c r="CD52" s="1">
        <f>((AQ52-AP52)/BL$154)*$BD52</f>
        <v>3.0544917360291608E-7</v>
      </c>
      <c r="CE52" s="1">
        <f>((AR52-AQ52)/BM$154)*$BD52</f>
        <v>-6.9889241857844242E-7</v>
      </c>
      <c r="CF52" s="1">
        <f>((AS52-AR52)/BN$154)*$BD52</f>
        <v>-6.102441246295566E-5</v>
      </c>
      <c r="CG52" s="1">
        <f>((AT52-AS52)/BO$154)*$BD52</f>
        <v>-1.9971107821825872E-5</v>
      </c>
      <c r="CH52" s="1">
        <f>((AU52-AT52)/BP$154)*$BD52</f>
        <v>-1.8412148947595123E-6</v>
      </c>
      <c r="CI52" s="1">
        <f>((AV52-AU52)/BQ$154)*$BD52</f>
        <v>4.6334289648003093E-5</v>
      </c>
      <c r="CJ52" s="1">
        <f>((AW52-AV52)/BR$154)*$BD52</f>
        <v>1.7496847926534694E-5</v>
      </c>
    </row>
    <row r="53" spans="1:88" x14ac:dyDescent="0.35">
      <c r="A53" s="1" t="s">
        <v>63</v>
      </c>
      <c r="B53" s="2">
        <v>1</v>
      </c>
      <c r="C53" s="1">
        <v>1</v>
      </c>
      <c r="D53" s="2">
        <v>1</v>
      </c>
      <c r="E53" s="2">
        <v>1</v>
      </c>
      <c r="F53" s="1">
        <v>1</v>
      </c>
      <c r="G53" s="1">
        <v>0.98961426692435916</v>
      </c>
      <c r="H53" s="1">
        <v>0.99028133062627743</v>
      </c>
      <c r="I53" s="1">
        <v>0.99209157586839836</v>
      </c>
      <c r="J53" s="1">
        <v>0.97687263932171309</v>
      </c>
      <c r="K53" s="1">
        <v>1.0418128725173641</v>
      </c>
      <c r="L53" s="1">
        <v>0.98992784762706376</v>
      </c>
      <c r="M53" s="1">
        <v>0.9845401549392101</v>
      </c>
      <c r="N53" s="1">
        <v>1.005962418509206</v>
      </c>
      <c r="O53" s="1">
        <v>0.99984827434481249</v>
      </c>
      <c r="P53" s="1">
        <v>1</v>
      </c>
      <c r="Q53" s="1">
        <v>1</v>
      </c>
      <c r="S53" s="1">
        <f t="shared" si="0"/>
        <v>100</v>
      </c>
      <c r="T53" s="1">
        <f t="shared" si="18"/>
        <v>100</v>
      </c>
      <c r="U53" s="1">
        <f t="shared" si="19"/>
        <v>100</v>
      </c>
      <c r="V53" s="1">
        <f t="shared" si="20"/>
        <v>100</v>
      </c>
      <c r="W53" s="1">
        <f t="shared" si="21"/>
        <v>98.961426692435921</v>
      </c>
      <c r="X53" s="1">
        <f t="shared" si="22"/>
        <v>97.99965330566026</v>
      </c>
      <c r="Y53" s="1">
        <f t="shared" si="23"/>
        <v>97.224630482569182</v>
      </c>
      <c r="Z53" s="1">
        <f t="shared" si="24"/>
        <v>94.976081386585633</v>
      </c>
      <c r="AA53" s="1">
        <f t="shared" si="25"/>
        <v>98.94730416980174</v>
      </c>
      <c r="AB53" s="1">
        <f t="shared" si="26"/>
        <v>97.950691845312221</v>
      </c>
      <c r="AC53" s="1">
        <f t="shared" si="27"/>
        <v>96.436389325786521</v>
      </c>
      <c r="AD53" s="1">
        <f t="shared" si="28"/>
        <v>97.011383438463582</v>
      </c>
      <c r="AE53" s="1">
        <f t="shared" si="29"/>
        <v>98.292296720551249</v>
      </c>
      <c r="AF53" s="1">
        <f t="shared" si="30"/>
        <v>1.0173737244567986</v>
      </c>
      <c r="AH53" s="1" t="str">
        <f t="shared" si="31"/>
        <v>C1080.23311</v>
      </c>
      <c r="AI53" s="1">
        <f t="shared" si="32"/>
        <v>101.73737244567987</v>
      </c>
      <c r="AJ53" s="1">
        <f t="shared" si="33"/>
        <v>101.73737244567987</v>
      </c>
      <c r="AK53" s="1">
        <f t="shared" si="34"/>
        <v>101.73737244567987</v>
      </c>
      <c r="AL53" s="1">
        <f t="shared" si="35"/>
        <v>101.73737244567987</v>
      </c>
      <c r="AM53" s="1">
        <f t="shared" si="36"/>
        <v>100.68075525164198</v>
      </c>
      <c r="AN53" s="1">
        <f t="shared" si="37"/>
        <v>99.702272279054597</v>
      </c>
      <c r="AO53" s="1">
        <f t="shared" si="38"/>
        <v>98.913784422987405</v>
      </c>
      <c r="AP53" s="1">
        <f t="shared" si="39"/>
        <v>96.626169654582654</v>
      </c>
      <c r="AQ53" s="1">
        <f t="shared" si="40"/>
        <v>100.66638736819091</v>
      </c>
      <c r="AR53" s="1">
        <f t="shared" si="41"/>
        <v>99.652460175785464</v>
      </c>
      <c r="AS53" s="1">
        <f t="shared" si="42"/>
        <v>98.111848581541295</v>
      </c>
      <c r="AT53" s="1">
        <f t="shared" si="43"/>
        <v>98.69683248349628</v>
      </c>
      <c r="AU53" s="1">
        <f t="shared" ref="AU53:AW53" si="111">AT53*O53</f>
        <v>98.68185764192279</v>
      </c>
      <c r="AV53" s="1">
        <f t="shared" si="111"/>
        <v>98.68185764192279</v>
      </c>
      <c r="AW53" s="1">
        <f t="shared" si="111"/>
        <v>98.68185764192279</v>
      </c>
      <c r="AX53" s="1" t="b">
        <f t="shared" si="45"/>
        <v>1</v>
      </c>
      <c r="AY53" s="1" t="s">
        <v>63</v>
      </c>
      <c r="AZ53" s="1" t="str">
        <f t="shared" si="46"/>
        <v>C10</v>
      </c>
      <c r="BA53" s="1" t="str">
        <f t="shared" si="47"/>
        <v>C1080</v>
      </c>
      <c r="BB53" s="1" t="s">
        <v>259</v>
      </c>
      <c r="BC53" s="1" t="s">
        <v>260</v>
      </c>
      <c r="BD53" s="1">
        <v>1.4696192985026576E-2</v>
      </c>
      <c r="BE53" s="1">
        <f t="shared" si="79"/>
        <v>1.4951520592512366</v>
      </c>
      <c r="BF53" s="1">
        <f t="shared" si="80"/>
        <v>1.4951520592512366</v>
      </c>
      <c r="BG53" s="1">
        <f t="shared" si="81"/>
        <v>1.4951520592512366</v>
      </c>
      <c r="BH53" s="1">
        <f t="shared" si="82"/>
        <v>1.4951520592512366</v>
      </c>
      <c r="BI53" s="1">
        <f t="shared" si="83"/>
        <v>1.4796238090563585</v>
      </c>
      <c r="BJ53" s="1">
        <f t="shared" si="84"/>
        <v>1.4652438344586518</v>
      </c>
      <c r="BK53" s="1">
        <f t="shared" si="85"/>
        <v>1.4536560647595385</v>
      </c>
      <c r="BL53" s="1">
        <f t="shared" si="86"/>
        <v>1.4200368366476654</v>
      </c>
      <c r="BM53" s="1">
        <f t="shared" si="87"/>
        <v>1.4794126558683751</v>
      </c>
      <c r="BN53" s="1">
        <f t="shared" si="88"/>
        <v>1.4645117861760186</v>
      </c>
      <c r="BO53" s="1">
        <f t="shared" si="89"/>
        <v>1.4418706608720369</v>
      </c>
      <c r="BP53" s="1">
        <f t="shared" si="90"/>
        <v>1.450467697188301</v>
      </c>
      <c r="BQ53" s="1">
        <f t="shared" si="91"/>
        <v>1.4502476240266169</v>
      </c>
      <c r="BR53" s="1">
        <f t="shared" si="92"/>
        <v>1.4502476240266169</v>
      </c>
      <c r="BS53" s="1">
        <f t="shared" si="93"/>
        <v>1.4502476240266169</v>
      </c>
      <c r="BV53" s="1" t="s">
        <v>63</v>
      </c>
      <c r="BW53" s="1">
        <f>((AJ53-AI53)/BE$154)*$BD53</f>
        <v>0</v>
      </c>
      <c r="BX53" s="1">
        <f>((AK53-AJ53)/BF$154)*$BD53</f>
        <v>0</v>
      </c>
      <c r="BY53" s="1">
        <f>((AL53-AK53)/BG$154)*$BD53</f>
        <v>0</v>
      </c>
      <c r="BZ53" s="1">
        <f>((AM53-AL53)/BH$154)*$BD53</f>
        <v>-1.5579331972291597E-4</v>
      </c>
      <c r="CA53" s="1">
        <f>((AN53-AM53)/BI$154)*$BD53</f>
        <v>-1.441179642548827E-4</v>
      </c>
      <c r="CB53" s="1">
        <f>((AO53-AN53)/BJ$154)*$BD53</f>
        <v>-1.1607264254568293E-4</v>
      </c>
      <c r="CC53" s="1">
        <f>((AP53-AO53)/BK$154)*$BD53</f>
        <v>-3.3666116069554073E-4</v>
      </c>
      <c r="CD53" s="1">
        <f>((AQ53-AP53)/BL$154)*$BD53</f>
        <v>5.9372190972098047E-4</v>
      </c>
      <c r="CE53" s="1">
        <f>((AR53-AQ53)/BM$154)*$BD53</f>
        <v>-1.4840585183229987E-4</v>
      </c>
      <c r="CF53" s="1">
        <f>((AS53-AR53)/BN$154)*$BD53</f>
        <v>-2.2530851933666866E-4</v>
      </c>
      <c r="CG53" s="1">
        <f>((AT53-AS53)/BO$154)*$BD53</f>
        <v>8.5355815532191879E-5</v>
      </c>
      <c r="CH53" s="1">
        <f>((AU53-AT53)/BP$154)*$BD53</f>
        <v>-2.1844453487304104E-6</v>
      </c>
      <c r="CI53" s="1">
        <f>((AV53-AU53)/BQ$154)*$BD53</f>
        <v>0</v>
      </c>
      <c r="CJ53" s="1">
        <f>((AW53-AV53)/BR$154)*$BD53</f>
        <v>0</v>
      </c>
    </row>
    <row r="54" spans="1:88" x14ac:dyDescent="0.35">
      <c r="A54" s="1" t="s">
        <v>64</v>
      </c>
      <c r="B54" s="1">
        <v>1.0235203977764984</v>
      </c>
      <c r="C54" s="1">
        <v>1</v>
      </c>
      <c r="D54" s="1">
        <v>0.9960956728355379</v>
      </c>
      <c r="E54" s="1">
        <v>0.99554906586350689</v>
      </c>
      <c r="F54" s="1">
        <v>0.99135609421079818</v>
      </c>
      <c r="G54" s="1">
        <v>0.99987207399009381</v>
      </c>
      <c r="H54" s="1">
        <v>0.99080409583700113</v>
      </c>
      <c r="I54" s="1">
        <v>1.0046905067988467</v>
      </c>
      <c r="J54" s="1">
        <v>0.99684192737760025</v>
      </c>
      <c r="K54" s="1">
        <v>0.99882491672091578</v>
      </c>
      <c r="L54" s="1">
        <v>0.9977014174708474</v>
      </c>
      <c r="M54" s="1">
        <v>0.99701394619462846</v>
      </c>
      <c r="N54" s="1">
        <v>1.0024587485454375</v>
      </c>
      <c r="O54" s="1">
        <v>0.99856119942372557</v>
      </c>
      <c r="P54" s="1">
        <v>1.0004781629279671</v>
      </c>
      <c r="Q54" s="1">
        <v>0.99980367105902146</v>
      </c>
      <c r="S54" s="1">
        <f t="shared" si="0"/>
        <v>100</v>
      </c>
      <c r="T54" s="1">
        <f t="shared" si="18"/>
        <v>99.609567283553787</v>
      </c>
      <c r="U54" s="1">
        <f t="shared" si="19"/>
        <v>99.166211660210109</v>
      </c>
      <c r="V54" s="1">
        <f t="shared" si="20"/>
        <v>98.309028269147205</v>
      </c>
      <c r="W54" s="1">
        <f t="shared" si="21"/>
        <v>98.296451987422984</v>
      </c>
      <c r="X54" s="1">
        <f t="shared" si="22"/>
        <v>97.392527235383824</v>
      </c>
      <c r="Y54" s="1">
        <f t="shared" si="23"/>
        <v>97.849347546538255</v>
      </c>
      <c r="Z54" s="1">
        <f t="shared" si="24"/>
        <v>97.540332200931857</v>
      </c>
      <c r="AA54" s="1">
        <f t="shared" si="25"/>
        <v>97.425714187526225</v>
      </c>
      <c r="AB54" s="1">
        <f t="shared" si="26"/>
        <v>97.201773143004559</v>
      </c>
      <c r="AC54" s="1">
        <f t="shared" si="27"/>
        <v>96.911523418422036</v>
      </c>
      <c r="AD54" s="1">
        <f t="shared" si="28"/>
        <v>97.149804485663211</v>
      </c>
      <c r="AE54" s="1">
        <f t="shared" si="29"/>
        <v>98.071023451483669</v>
      </c>
      <c r="AF54" s="1">
        <f t="shared" si="30"/>
        <v>1.0196691793419552</v>
      </c>
      <c r="AH54" s="1" t="str">
        <f t="shared" si="31"/>
        <v>C1080.23319</v>
      </c>
      <c r="AI54" s="1">
        <f t="shared" si="32"/>
        <v>101.96691793419552</v>
      </c>
      <c r="AJ54" s="1">
        <f t="shared" si="33"/>
        <v>101.56880572662857</v>
      </c>
      <c r="AK54" s="1">
        <f t="shared" si="34"/>
        <v>101.11672966201708</v>
      </c>
      <c r="AL54" s="1">
        <f t="shared" si="35"/>
        <v>100.24268617710641</v>
      </c>
      <c r="AM54" s="1">
        <f t="shared" si="36"/>
        <v>100.22986253024149</v>
      </c>
      <c r="AN54" s="1">
        <f t="shared" si="37"/>
        <v>99.308158320142851</v>
      </c>
      <c r="AO54" s="1">
        <f t="shared" si="38"/>
        <v>99.773963911924426</v>
      </c>
      <c r="AP54" s="1">
        <f t="shared" si="39"/>
        <v>99.45887048806587</v>
      </c>
      <c r="AQ54" s="1">
        <f t="shared" si="40"/>
        <v>99.341998032398749</v>
      </c>
      <c r="AR54" s="1">
        <f t="shared" si="41"/>
        <v>99.113652251310356</v>
      </c>
      <c r="AS54" s="1">
        <f t="shared" si="42"/>
        <v>98.817693552841078</v>
      </c>
      <c r="AT54" s="1">
        <f t="shared" si="43"/>
        <v>99.060661413127605</v>
      </c>
      <c r="AU54" s="1">
        <f t="shared" ref="AU54:AW54" si="112">AT54*O54</f>
        <v>98.918132876400264</v>
      </c>
      <c r="AV54" s="1">
        <f t="shared" si="112"/>
        <v>98.965431860445477</v>
      </c>
      <c r="AW54" s="1">
        <f t="shared" si="112"/>
        <v>98.946002082014829</v>
      </c>
      <c r="AX54" s="1" t="b">
        <f t="shared" si="45"/>
        <v>1</v>
      </c>
      <c r="AY54" s="1" t="s">
        <v>64</v>
      </c>
      <c r="AZ54" s="1" t="str">
        <f t="shared" si="46"/>
        <v>C10</v>
      </c>
      <c r="BA54" s="1" t="str">
        <f t="shared" si="47"/>
        <v>C1080</v>
      </c>
      <c r="BB54" s="1" t="s">
        <v>261</v>
      </c>
      <c r="BC54" s="1" t="s">
        <v>262</v>
      </c>
      <c r="BD54" s="1">
        <v>1.2024157896839926E-2</v>
      </c>
      <c r="BE54" s="1">
        <f t="shared" si="79"/>
        <v>1.2260663214948857</v>
      </c>
      <c r="BF54" s="1">
        <f t="shared" si="80"/>
        <v>1.2212793574504412</v>
      </c>
      <c r="BG54" s="1">
        <f t="shared" si="81"/>
        <v>1.2158435234681706</v>
      </c>
      <c r="BH54" s="1">
        <f t="shared" si="82"/>
        <v>1.2053338865969006</v>
      </c>
      <c r="BI54" s="1">
        <f t="shared" si="83"/>
        <v>1.2051796930421834</v>
      </c>
      <c r="BJ54" s="1">
        <f t="shared" si="84"/>
        <v>1.1940969760857751</v>
      </c>
      <c r="BK54" s="1">
        <f t="shared" si="85"/>
        <v>1.199697896070588</v>
      </c>
      <c r="BL54" s="1">
        <f t="shared" si="86"/>
        <v>1.1959091629898566</v>
      </c>
      <c r="BM54" s="1">
        <f t="shared" si="87"/>
        <v>1.1945038701291237</v>
      </c>
      <c r="BN54" s="1">
        <f t="shared" si="88"/>
        <v>1.1917582044022397</v>
      </c>
      <c r="BO54" s="1">
        <f t="shared" si="89"/>
        <v>1.188199550280902</v>
      </c>
      <c r="BP54" s="1">
        <f t="shared" si="90"/>
        <v>1.1911210341968443</v>
      </c>
      <c r="BQ54" s="1">
        <f t="shared" si="91"/>
        <v>1.1894072485664293</v>
      </c>
      <c r="BR54" s="1">
        <f t="shared" si="92"/>
        <v>1.189975979018949</v>
      </c>
      <c r="BS54" s="1">
        <f t="shared" si="93"/>
        <v>1.1897423522951984</v>
      </c>
      <c r="BV54" s="1" t="s">
        <v>64</v>
      </c>
      <c r="BW54" s="1">
        <f>((AJ54-AI54)/BE$154)*$BD54</f>
        <v>-4.808718991220934E-5</v>
      </c>
      <c r="BX54" s="1">
        <f>((AK54-AJ54)/BF$154)*$BD54</f>
        <v>-5.4635252258739879E-5</v>
      </c>
      <c r="BY54" s="1">
        <f>((AL54-AK54)/BG$154)*$BD54</f>
        <v>-1.0567987163156777E-4</v>
      </c>
      <c r="BZ54" s="1">
        <f>((AM54-AL54)/BH$154)*$BD54</f>
        <v>-1.5470079028719679E-6</v>
      </c>
      <c r="CA54" s="1">
        <f>((AN54-AM54)/BI$154)*$BD54</f>
        <v>-1.110724219516588E-4</v>
      </c>
      <c r="CB54" s="1">
        <f>((AO54-AN54)/BJ$154)*$BD54</f>
        <v>5.6103426302463749E-5</v>
      </c>
      <c r="CC54" s="1">
        <f>((AP54-AO54)/BK$154)*$BD54</f>
        <v>-3.7940171388827541E-5</v>
      </c>
      <c r="CD54" s="1">
        <f>((AQ54-AP54)/BL$154)*$BD54</f>
        <v>-1.4052069882019798E-5</v>
      </c>
      <c r="CE54" s="1">
        <f>((AR54-AQ54)/BM$154)*$BD54</f>
        <v>-2.7345575758842834E-5</v>
      </c>
      <c r="CF54" s="1">
        <f>((AS54-AR54)/BN$154)*$BD54</f>
        <v>-3.5413217326656177E-5</v>
      </c>
      <c r="CG54" s="1">
        <f>((AT54-AS54)/BO$154)*$BD54</f>
        <v>2.9006000793284309E-5</v>
      </c>
      <c r="CH54" s="1">
        <f>((AU54-AT54)/BP$154)*$BD54</f>
        <v>-1.7011029515961954E-5</v>
      </c>
      <c r="CI54" s="1">
        <f>((AV54-AU54)/BQ$154)*$BD54</f>
        <v>5.6256418273917885E-6</v>
      </c>
      <c r="CJ54" s="1">
        <f>((AW54-AV54)/BR$154)*$BD54</f>
        <v>-2.3067928606903488E-6</v>
      </c>
    </row>
    <row r="55" spans="1:88" x14ac:dyDescent="0.35">
      <c r="A55" s="1" t="s">
        <v>65</v>
      </c>
      <c r="B55" s="1">
        <v>1</v>
      </c>
      <c r="C55" s="1">
        <v>1</v>
      </c>
      <c r="D55" s="1">
        <v>1</v>
      </c>
      <c r="E55" s="1">
        <v>1.0000160006400307</v>
      </c>
      <c r="F55" s="1">
        <v>1.0000000533333291</v>
      </c>
      <c r="G55" s="1">
        <v>1</v>
      </c>
      <c r="H55" s="1">
        <v>1</v>
      </c>
      <c r="I55" s="1">
        <v>1</v>
      </c>
      <c r="J55" s="1">
        <v>1.0000045803351758</v>
      </c>
      <c r="K55" s="1">
        <v>1</v>
      </c>
      <c r="L55" s="1">
        <v>1</v>
      </c>
      <c r="M55" s="1">
        <v>1</v>
      </c>
      <c r="N55" s="1">
        <v>1.0038021010736777</v>
      </c>
      <c r="O55" s="1">
        <v>1.0000092598165724</v>
      </c>
      <c r="P55" s="1">
        <v>1</v>
      </c>
      <c r="Q55" s="1">
        <v>1</v>
      </c>
      <c r="S55" s="1">
        <f t="shared" si="0"/>
        <v>100</v>
      </c>
      <c r="T55" s="1">
        <f t="shared" si="18"/>
        <v>100</v>
      </c>
      <c r="U55" s="1">
        <f t="shared" si="19"/>
        <v>100.00160006400307</v>
      </c>
      <c r="V55" s="1">
        <f t="shared" si="20"/>
        <v>100.00160539742132</v>
      </c>
      <c r="W55" s="1">
        <f t="shared" si="21"/>
        <v>100.00160539742132</v>
      </c>
      <c r="X55" s="1">
        <f t="shared" si="22"/>
        <v>100.00160539742132</v>
      </c>
      <c r="Y55" s="1">
        <f t="shared" si="23"/>
        <v>100.00160539742132</v>
      </c>
      <c r="Z55" s="1">
        <f t="shared" si="24"/>
        <v>100.00206343829215</v>
      </c>
      <c r="AA55" s="1">
        <f t="shared" si="25"/>
        <v>100.00206343829215</v>
      </c>
      <c r="AB55" s="1">
        <f t="shared" si="26"/>
        <v>100.00206343829215</v>
      </c>
      <c r="AC55" s="1">
        <f t="shared" si="27"/>
        <v>100.00206343829215</v>
      </c>
      <c r="AD55" s="1">
        <f t="shared" si="28"/>
        <v>100.38228139106087</v>
      </c>
      <c r="AE55" s="1">
        <f t="shared" si="29"/>
        <v>100.03321306649313</v>
      </c>
      <c r="AF55" s="1">
        <f t="shared" si="30"/>
        <v>0.99966797960922182</v>
      </c>
      <c r="AH55" s="1" t="str">
        <f t="shared" si="31"/>
        <v>C1103.24310</v>
      </c>
      <c r="AI55" s="1">
        <f t="shared" si="32"/>
        <v>99.966797960922179</v>
      </c>
      <c r="AJ55" s="1">
        <f t="shared" si="33"/>
        <v>99.966797960922179</v>
      </c>
      <c r="AK55" s="1">
        <f t="shared" si="34"/>
        <v>99.968397493671375</v>
      </c>
      <c r="AL55" s="1">
        <f t="shared" si="35"/>
        <v>99.968402825318819</v>
      </c>
      <c r="AM55" s="1">
        <f t="shared" si="36"/>
        <v>99.968402825318819</v>
      </c>
      <c r="AN55" s="1">
        <f t="shared" si="37"/>
        <v>99.968402825318819</v>
      </c>
      <c r="AO55" s="1">
        <f t="shared" si="38"/>
        <v>99.968402825318819</v>
      </c>
      <c r="AP55" s="1">
        <f t="shared" si="39"/>
        <v>99.968860714110747</v>
      </c>
      <c r="AQ55" s="1">
        <f t="shared" si="40"/>
        <v>99.968860714110747</v>
      </c>
      <c r="AR55" s="1">
        <f t="shared" si="41"/>
        <v>99.968860714110747</v>
      </c>
      <c r="AS55" s="1">
        <f t="shared" si="42"/>
        <v>99.968860714110747</v>
      </c>
      <c r="AT55" s="1">
        <f t="shared" si="43"/>
        <v>100.3489524267662</v>
      </c>
      <c r="AU55" s="1">
        <f t="shared" ref="AU55:AW55" si="113">AT55*O55</f>
        <v>100.3498816396589</v>
      </c>
      <c r="AV55" s="1">
        <f t="shared" si="113"/>
        <v>100.3498816396589</v>
      </c>
      <c r="AW55" s="1">
        <f t="shared" si="113"/>
        <v>100.3498816396589</v>
      </c>
      <c r="AX55" s="1" t="b">
        <f t="shared" si="45"/>
        <v>1</v>
      </c>
      <c r="AY55" s="1" t="s">
        <v>65</v>
      </c>
      <c r="AZ55" s="1" t="str">
        <f t="shared" si="46"/>
        <v>C11</v>
      </c>
      <c r="BA55" s="1" t="str">
        <f t="shared" si="47"/>
        <v>C1103</v>
      </c>
      <c r="BB55" s="1" t="s">
        <v>263</v>
      </c>
      <c r="BC55" s="1" t="s">
        <v>264</v>
      </c>
      <c r="BD55" s="1">
        <v>6.7777780540725233E-3</v>
      </c>
      <c r="BE55" s="1">
        <f t="shared" si="79"/>
        <v>0.67755276935544018</v>
      </c>
      <c r="BF55" s="1">
        <f t="shared" si="80"/>
        <v>0.67755276935544018</v>
      </c>
      <c r="BG55" s="1">
        <f t="shared" si="81"/>
        <v>0.67756361063340453</v>
      </c>
      <c r="BH55" s="1">
        <f t="shared" si="82"/>
        <v>0.67756364677012748</v>
      </c>
      <c r="BI55" s="1">
        <f t="shared" si="83"/>
        <v>0.67756364677012748</v>
      </c>
      <c r="BJ55" s="1">
        <f t="shared" si="84"/>
        <v>0.67756364677012748</v>
      </c>
      <c r="BK55" s="1">
        <f t="shared" si="85"/>
        <v>0.67756364677012748</v>
      </c>
      <c r="BL55" s="1">
        <f t="shared" si="86"/>
        <v>0.6775667502387327</v>
      </c>
      <c r="BM55" s="1">
        <f t="shared" si="87"/>
        <v>0.6775667502387327</v>
      </c>
      <c r="BN55" s="1">
        <f t="shared" si="88"/>
        <v>0.6775667502387327</v>
      </c>
      <c r="BO55" s="1">
        <f t="shared" si="89"/>
        <v>0.6775667502387327</v>
      </c>
      <c r="BP55" s="1">
        <f t="shared" si="90"/>
        <v>0.68014292750730365</v>
      </c>
      <c r="BQ55" s="1">
        <f t="shared" si="91"/>
        <v>0.68014922550605539</v>
      </c>
      <c r="BR55" s="1">
        <f t="shared" si="92"/>
        <v>0.68014922550605539</v>
      </c>
      <c r="BS55" s="1">
        <f t="shared" si="93"/>
        <v>0.68014922550605539</v>
      </c>
      <c r="BV55" s="1" t="s">
        <v>65</v>
      </c>
      <c r="BW55" s="1">
        <f>((AJ55-AI55)/BE$154)*$BD55</f>
        <v>0</v>
      </c>
      <c r="BX55" s="1">
        <f>((AK55-AJ55)/BF$154)*$BD55</f>
        <v>1.0896505638640068E-7</v>
      </c>
      <c r="BY55" s="1">
        <f>((AL55-AK55)/BG$154)*$BD55</f>
        <v>3.6337356830580909E-10</v>
      </c>
      <c r="BZ55" s="1">
        <f>((AM55-AL55)/BH$154)*$BD55</f>
        <v>0</v>
      </c>
      <c r="CA55" s="1">
        <f>((AN55-AM55)/BI$154)*$BD55</f>
        <v>0</v>
      </c>
      <c r="CB55" s="1">
        <f>((AO55-AN55)/BJ$154)*$BD55</f>
        <v>0</v>
      </c>
      <c r="CC55" s="1">
        <f>((AP55-AO55)/BK$154)*$BD55</f>
        <v>3.1077969408167974E-8</v>
      </c>
      <c r="CD55" s="1">
        <f>((AQ55-AP55)/BL$154)*$BD55</f>
        <v>0</v>
      </c>
      <c r="CE55" s="1">
        <f>((AR55-AQ55)/BM$154)*$BD55</f>
        <v>0</v>
      </c>
      <c r="CF55" s="1">
        <f>((AS55-AR55)/BN$154)*$BD55</f>
        <v>0</v>
      </c>
      <c r="CG55" s="1">
        <f>((AT55-AS55)/BO$154)*$BD55</f>
        <v>2.5577618102923332E-5</v>
      </c>
      <c r="CH55" s="1">
        <f>((AU55-AT55)/BP$154)*$BD55</f>
        <v>6.2513911165644686E-8</v>
      </c>
      <c r="CI55" s="1">
        <f>((AV55-AU55)/BQ$154)*$BD55</f>
        <v>0</v>
      </c>
      <c r="CJ55" s="1">
        <f>((AW55-AV55)/BR$154)*$BD55</f>
        <v>0</v>
      </c>
    </row>
    <row r="56" spans="1:88" x14ac:dyDescent="0.35">
      <c r="A56" s="1" t="s">
        <v>66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0.99998888845676603</v>
      </c>
      <c r="K56" s="1">
        <v>1</v>
      </c>
      <c r="L56" s="1">
        <v>1</v>
      </c>
      <c r="M56" s="1">
        <v>1</v>
      </c>
      <c r="N56" s="1">
        <v>1</v>
      </c>
      <c r="O56" s="1">
        <v>0.98048995425674568</v>
      </c>
      <c r="P56" s="1">
        <v>1</v>
      </c>
      <c r="Q56" s="1">
        <v>1</v>
      </c>
      <c r="S56" s="1">
        <f t="shared" si="0"/>
        <v>100</v>
      </c>
      <c r="T56" s="1">
        <f t="shared" si="18"/>
        <v>100</v>
      </c>
      <c r="U56" s="1">
        <f t="shared" si="19"/>
        <v>100</v>
      </c>
      <c r="V56" s="1">
        <f t="shared" si="20"/>
        <v>100</v>
      </c>
      <c r="W56" s="1">
        <f t="shared" si="21"/>
        <v>100</v>
      </c>
      <c r="X56" s="1">
        <f t="shared" si="22"/>
        <v>100</v>
      </c>
      <c r="Y56" s="1">
        <f t="shared" si="23"/>
        <v>100</v>
      </c>
      <c r="Z56" s="1">
        <f t="shared" si="24"/>
        <v>99.998888845676603</v>
      </c>
      <c r="AA56" s="1">
        <f t="shared" si="25"/>
        <v>99.998888845676603</v>
      </c>
      <c r="AB56" s="1">
        <f t="shared" si="26"/>
        <v>99.998888845676603</v>
      </c>
      <c r="AC56" s="1">
        <f t="shared" si="27"/>
        <v>99.998888845676603</v>
      </c>
      <c r="AD56" s="1">
        <f t="shared" si="28"/>
        <v>99.998888845676603</v>
      </c>
      <c r="AE56" s="1">
        <f t="shared" si="29"/>
        <v>99.999537019031905</v>
      </c>
      <c r="AF56" s="1">
        <f t="shared" si="30"/>
        <v>1.0000046298311163</v>
      </c>
      <c r="AH56" s="1" t="str">
        <f t="shared" si="31"/>
        <v>C1104.24410</v>
      </c>
      <c r="AI56" s="1">
        <f t="shared" si="32"/>
        <v>100.00046298311163</v>
      </c>
      <c r="AJ56" s="1">
        <f t="shared" si="33"/>
        <v>100.00046298311163</v>
      </c>
      <c r="AK56" s="1">
        <f t="shared" si="34"/>
        <v>100.00046298311163</v>
      </c>
      <c r="AL56" s="1">
        <f t="shared" si="35"/>
        <v>100.00046298311163</v>
      </c>
      <c r="AM56" s="1">
        <f t="shared" si="36"/>
        <v>100.00046298311163</v>
      </c>
      <c r="AN56" s="1">
        <f t="shared" si="37"/>
        <v>100.00046298311163</v>
      </c>
      <c r="AO56" s="1">
        <f t="shared" si="38"/>
        <v>100.00046298311163</v>
      </c>
      <c r="AP56" s="1">
        <f t="shared" si="39"/>
        <v>99.999351823643778</v>
      </c>
      <c r="AQ56" s="1">
        <f t="shared" si="40"/>
        <v>99.999351823643778</v>
      </c>
      <c r="AR56" s="1">
        <f t="shared" si="41"/>
        <v>99.999351823643778</v>
      </c>
      <c r="AS56" s="1">
        <f t="shared" si="42"/>
        <v>99.999351823643778</v>
      </c>
      <c r="AT56" s="1">
        <f t="shared" si="43"/>
        <v>99.999351823643778</v>
      </c>
      <c r="AU56" s="1">
        <f t="shared" ref="AU56:AW56" si="114">AT56*O56</f>
        <v>98.048359895268703</v>
      </c>
      <c r="AV56" s="1">
        <f t="shared" si="114"/>
        <v>98.048359895268703</v>
      </c>
      <c r="AW56" s="1">
        <f t="shared" si="114"/>
        <v>98.048359895268703</v>
      </c>
      <c r="AX56" s="1" t="b">
        <f t="shared" si="45"/>
        <v>1</v>
      </c>
      <c r="AY56" s="1" t="s">
        <v>66</v>
      </c>
      <c r="AZ56" s="1" t="str">
        <f t="shared" si="46"/>
        <v>C11</v>
      </c>
      <c r="BA56" s="1" t="str">
        <f t="shared" si="47"/>
        <v>C1104</v>
      </c>
      <c r="BB56" s="1" t="s">
        <v>265</v>
      </c>
      <c r="BC56" s="1" t="s">
        <v>266</v>
      </c>
      <c r="BD56" s="1">
        <v>1.0883230693514065E-3</v>
      </c>
      <c r="BE56" s="1">
        <f t="shared" si="79"/>
        <v>0.10883281081034177</v>
      </c>
      <c r="BF56" s="1">
        <f t="shared" si="80"/>
        <v>0.10883281081034177</v>
      </c>
      <c r="BG56" s="1">
        <f t="shared" si="81"/>
        <v>0.10883281081034177</v>
      </c>
      <c r="BH56" s="1">
        <f t="shared" si="82"/>
        <v>0.10883281081034177</v>
      </c>
      <c r="BI56" s="1">
        <f t="shared" si="83"/>
        <v>0.10883281081034177</v>
      </c>
      <c r="BJ56" s="1">
        <f t="shared" si="84"/>
        <v>0.10883281081034177</v>
      </c>
      <c r="BK56" s="1">
        <f t="shared" si="85"/>
        <v>0.10883281081034177</v>
      </c>
      <c r="BL56" s="1">
        <f t="shared" si="86"/>
        <v>0.10883160150985917</v>
      </c>
      <c r="BM56" s="1">
        <f t="shared" si="87"/>
        <v>0.10883160150985917</v>
      </c>
      <c r="BN56" s="1">
        <f t="shared" si="88"/>
        <v>0.10883160150985917</v>
      </c>
      <c r="BO56" s="1">
        <f t="shared" si="89"/>
        <v>0.10883160150985917</v>
      </c>
      <c r="BP56" s="1">
        <f t="shared" si="90"/>
        <v>0.10883160150985917</v>
      </c>
      <c r="BQ56" s="1">
        <f t="shared" si="91"/>
        <v>0.10670829198609019</v>
      </c>
      <c r="BR56" s="1">
        <f t="shared" si="92"/>
        <v>0.10670829198609019</v>
      </c>
      <c r="BS56" s="1">
        <f t="shared" si="93"/>
        <v>0.10670829198609019</v>
      </c>
      <c r="BV56" s="1" t="s">
        <v>66</v>
      </c>
      <c r="BW56" s="1">
        <f>((AJ56-AI56)/BE$154)*$BD56</f>
        <v>0</v>
      </c>
      <c r="BX56" s="1">
        <f>((AK56-AJ56)/BF$154)*$BD56</f>
        <v>0</v>
      </c>
      <c r="BY56" s="1">
        <f>((AL56-AK56)/BG$154)*$BD56</f>
        <v>0</v>
      </c>
      <c r="BZ56" s="1">
        <f>((AM56-AL56)/BH$154)*$BD56</f>
        <v>0</v>
      </c>
      <c r="CA56" s="1">
        <f>((AN56-AM56)/BI$154)*$BD56</f>
        <v>0</v>
      </c>
      <c r="CB56" s="1">
        <f>((AO56-AN56)/BJ$154)*$BD56</f>
        <v>0</v>
      </c>
      <c r="CC56" s="1">
        <f>((AP56-AO56)/BK$154)*$BD56</f>
        <v>-1.2109870659281026E-8</v>
      </c>
      <c r="CD56" s="1">
        <f>((AQ56-AP56)/BL$154)*$BD56</f>
        <v>0</v>
      </c>
      <c r="CE56" s="1">
        <f>((AR56-AQ56)/BM$154)*$BD56</f>
        <v>0</v>
      </c>
      <c r="CF56" s="1">
        <f>((AS56-AR56)/BN$154)*$BD56</f>
        <v>0</v>
      </c>
      <c r="CG56" s="1">
        <f>((AT56-AS56)/BO$154)*$BD56</f>
        <v>0</v>
      </c>
      <c r="CH56" s="1">
        <f>((AU56-AT56)/BP$154)*$BD56</f>
        <v>-2.1075962091950125E-5</v>
      </c>
      <c r="CI56" s="1">
        <f>((AV56-AU56)/BQ$154)*$BD56</f>
        <v>0</v>
      </c>
      <c r="CJ56" s="1">
        <f>((AW56-AV56)/BR$154)*$BD56</f>
        <v>0</v>
      </c>
    </row>
    <row r="57" spans="1:88" x14ac:dyDescent="0.35">
      <c r="A57" s="1" t="s">
        <v>267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0.99998417919313198</v>
      </c>
      <c r="K57" s="1">
        <v>1</v>
      </c>
      <c r="L57" s="1">
        <v>0.97501092247516186</v>
      </c>
      <c r="M57" s="1">
        <v>1</v>
      </c>
      <c r="N57" s="1">
        <v>1</v>
      </c>
      <c r="O57" s="1">
        <v>1</v>
      </c>
      <c r="P57" s="1">
        <v>1.0256370863621125</v>
      </c>
      <c r="Q57" s="1">
        <v>1</v>
      </c>
      <c r="S57" s="1">
        <f>C57*100</f>
        <v>100</v>
      </c>
      <c r="T57" s="1">
        <f t="shared" si="18"/>
        <v>100</v>
      </c>
      <c r="U57" s="1">
        <f t="shared" si="19"/>
        <v>100</v>
      </c>
      <c r="V57" s="1">
        <f t="shared" si="20"/>
        <v>100</v>
      </c>
      <c r="W57" s="1">
        <f t="shared" si="21"/>
        <v>100</v>
      </c>
      <c r="X57" s="1">
        <f t="shared" si="22"/>
        <v>100</v>
      </c>
      <c r="Y57" s="1">
        <f t="shared" si="23"/>
        <v>100</v>
      </c>
      <c r="Z57" s="1">
        <f t="shared" si="24"/>
        <v>99.998417919313198</v>
      </c>
      <c r="AA57" s="1">
        <f t="shared" si="25"/>
        <v>99.998417919313198</v>
      </c>
      <c r="AB57" s="1">
        <f t="shared" si="26"/>
        <v>97.499549701566323</v>
      </c>
      <c r="AC57" s="1">
        <f t="shared" si="27"/>
        <v>97.499549701566323</v>
      </c>
      <c r="AD57" s="1">
        <f t="shared" si="28"/>
        <v>97.499549701566323</v>
      </c>
      <c r="AE57" s="1">
        <f t="shared" si="29"/>
        <v>99.37462374527712</v>
      </c>
      <c r="AF57" s="1">
        <f t="shared" si="30"/>
        <v>1.0062931182142223</v>
      </c>
      <c r="AH57" s="1" t="str">
        <f t="shared" si="31"/>
        <v>C1104.24490A</v>
      </c>
      <c r="AI57" s="1">
        <f>$AF57*S57</f>
        <v>100.62931182142223</v>
      </c>
      <c r="AJ57" s="1">
        <f t="shared" si="33"/>
        <v>100.62931182142223</v>
      </c>
      <c r="AK57" s="1">
        <f t="shared" si="34"/>
        <v>100.62931182142223</v>
      </c>
      <c r="AL57" s="1">
        <f t="shared" si="35"/>
        <v>100.62931182142223</v>
      </c>
      <c r="AM57" s="1">
        <f t="shared" si="36"/>
        <v>100.62931182142223</v>
      </c>
      <c r="AN57" s="1">
        <f t="shared" si="37"/>
        <v>100.62931182142223</v>
      </c>
      <c r="AO57" s="1">
        <f t="shared" si="38"/>
        <v>100.62931182142223</v>
      </c>
      <c r="AP57" s="1">
        <f t="shared" si="39"/>
        <v>100.62771978451464</v>
      </c>
      <c r="AQ57" s="1">
        <f t="shared" si="40"/>
        <v>100.62771978451464</v>
      </c>
      <c r="AR57" s="1">
        <f t="shared" si="41"/>
        <v>98.113125893671722</v>
      </c>
      <c r="AS57" s="1">
        <f t="shared" si="42"/>
        <v>98.113125893671722</v>
      </c>
      <c r="AT57" s="1">
        <f t="shared" si="43"/>
        <v>98.113125893671722</v>
      </c>
      <c r="AU57" s="1">
        <f t="shared" ref="AU57:AW57" si="115">AT57*O57</f>
        <v>98.113125893671722</v>
      </c>
      <c r="AV57" s="1">
        <f t="shared" si="115"/>
        <v>100.6284605754646</v>
      </c>
      <c r="AW57" s="1">
        <f t="shared" si="115"/>
        <v>100.6284605754646</v>
      </c>
      <c r="AX57" s="1" t="b">
        <f t="shared" si="45"/>
        <v>1</v>
      </c>
      <c r="AY57" s="1" t="s">
        <v>267</v>
      </c>
      <c r="AZ57" s="1" t="str">
        <f t="shared" si="46"/>
        <v>C11</v>
      </c>
      <c r="BA57" s="1" t="str">
        <f t="shared" si="47"/>
        <v>C1104</v>
      </c>
      <c r="BB57" s="1" t="s">
        <v>268</v>
      </c>
      <c r="BC57" s="1" t="s">
        <v>269</v>
      </c>
      <c r="BD57" s="1">
        <v>1.0883230693514065E-3</v>
      </c>
      <c r="BE57" s="1">
        <f t="shared" si="79"/>
        <v>0.10951720150821002</v>
      </c>
      <c r="BF57" s="1">
        <f t="shared" si="80"/>
        <v>0.10951720150821002</v>
      </c>
      <c r="BG57" s="1">
        <f t="shared" si="81"/>
        <v>0.10951720150821002</v>
      </c>
      <c r="BH57" s="1">
        <f t="shared" si="82"/>
        <v>0.10951720150821002</v>
      </c>
      <c r="BI57" s="1">
        <f t="shared" si="83"/>
        <v>0.10951720150821002</v>
      </c>
      <c r="BJ57" s="1">
        <f t="shared" si="84"/>
        <v>0.10951720150821002</v>
      </c>
      <c r="BK57" s="1">
        <f t="shared" si="85"/>
        <v>0.10951720150821002</v>
      </c>
      <c r="BL57" s="1">
        <f t="shared" si="86"/>
        <v>0.10951546885771624</v>
      </c>
      <c r="BM57" s="1">
        <f t="shared" si="87"/>
        <v>0.10951546885771624</v>
      </c>
      <c r="BN57" s="1">
        <f t="shared" si="88"/>
        <v>0.10677877831626177</v>
      </c>
      <c r="BO57" s="1">
        <f t="shared" si="89"/>
        <v>0.10677877831626177</v>
      </c>
      <c r="BP57" s="1">
        <f t="shared" si="90"/>
        <v>0.10677877831626177</v>
      </c>
      <c r="BQ57" s="1">
        <f t="shared" si="91"/>
        <v>0.10677877831626177</v>
      </c>
      <c r="BR57" s="1">
        <f t="shared" si="92"/>
        <v>0.10951627507759663</v>
      </c>
      <c r="BS57" s="1">
        <f t="shared" si="93"/>
        <v>0.10951627507759663</v>
      </c>
      <c r="BV57" s="1" t="s">
        <v>611</v>
      </c>
      <c r="BW57" s="1">
        <f>((AJ57-AI57)/BE$154)*$BD57</f>
        <v>0</v>
      </c>
      <c r="BX57" s="1">
        <f>((AK57-AJ57)/BF$154)*$BD57</f>
        <v>0</v>
      </c>
      <c r="BY57" s="1">
        <f>((AL57-AK57)/BG$154)*$BD57</f>
        <v>0</v>
      </c>
      <c r="BZ57" s="1">
        <f>((AM57-AL57)/BH$154)*$BD57</f>
        <v>0</v>
      </c>
      <c r="CA57" s="1">
        <f>((AN57-AM57)/BI$154)*$BD57</f>
        <v>0</v>
      </c>
      <c r="CB57" s="1">
        <f>((AO57-AN57)/BJ$154)*$BD57</f>
        <v>0</v>
      </c>
      <c r="CC57" s="1">
        <f>((AP57-AO57)/BK$154)*$BD57</f>
        <v>-1.7350669812517402E-8</v>
      </c>
      <c r="CD57" s="1">
        <f>((AQ57-AP57)/BL$154)*$BD57</f>
        <v>0</v>
      </c>
      <c r="CE57" s="1">
        <f>((AR57-AQ57)/BM$154)*$BD57</f>
        <v>-2.725618701398861E-5</v>
      </c>
      <c r="CF57" s="1">
        <f>((AS57-AR57)/BN$154)*$BD57</f>
        <v>0</v>
      </c>
      <c r="CG57" s="1">
        <f>((AT57-AS57)/BO$154)*$BD57</f>
        <v>0</v>
      </c>
      <c r="CH57" s="1">
        <f>((AU57-AT57)/BP$154)*$BD57</f>
        <v>0</v>
      </c>
      <c r="CI57" s="1">
        <f>((AV57-AU57)/BQ$154)*$BD57</f>
        <v>2.7078163679621381E-5</v>
      </c>
      <c r="CJ57" s="1">
        <f>((AW57-AV57)/BR$154)*$BD57</f>
        <v>0</v>
      </c>
    </row>
    <row r="58" spans="1:88" x14ac:dyDescent="0.35">
      <c r="A58" s="1" t="s">
        <v>270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S58" s="1">
        <f t="shared" ref="S58:S59" si="116">C58*100</f>
        <v>100</v>
      </c>
      <c r="T58" s="1">
        <f t="shared" ref="T58:T59" si="117">S58*D58</f>
        <v>100</v>
      </c>
      <c r="U58" s="1">
        <f t="shared" ref="U58:U59" si="118">T58*E58</f>
        <v>100</v>
      </c>
      <c r="V58" s="1">
        <f t="shared" ref="V58:V59" si="119">U58*F58</f>
        <v>100</v>
      </c>
      <c r="W58" s="1">
        <f t="shared" ref="W58:W59" si="120">V58*G58</f>
        <v>100</v>
      </c>
      <c r="X58" s="1">
        <f t="shared" ref="X58:X59" si="121">W58*H58</f>
        <v>100</v>
      </c>
      <c r="Y58" s="1">
        <f t="shared" ref="Y58:Y59" si="122">X58*I58</f>
        <v>100</v>
      </c>
      <c r="Z58" s="1">
        <f t="shared" ref="Z58:Z59" si="123">Y58*J58</f>
        <v>100</v>
      </c>
      <c r="AA58" s="1">
        <f t="shared" ref="AA58:AA59" si="124">Z58*K58</f>
        <v>100</v>
      </c>
      <c r="AB58" s="1">
        <f t="shared" ref="AB58:AB59" si="125">AA58*L58</f>
        <v>100</v>
      </c>
      <c r="AC58" s="1">
        <f t="shared" ref="AC58:AC59" si="126">AB58*M58</f>
        <v>100</v>
      </c>
      <c r="AD58" s="1">
        <f t="shared" ref="AD58:AD59" si="127">AC58*N58</f>
        <v>100</v>
      </c>
      <c r="AE58" s="1">
        <f t="shared" ref="AE58:AE59" si="128">AVERAGE(S58:AD58)</f>
        <v>100</v>
      </c>
      <c r="AF58" s="1">
        <f t="shared" si="30"/>
        <v>1</v>
      </c>
      <c r="AH58" s="1" t="str">
        <f t="shared" ref="AH58:AH59" si="129">A58</f>
        <v>C1104.24490B</v>
      </c>
      <c r="AI58" s="1">
        <f t="shared" ref="AI58:AI59" si="130">$AF58*S58</f>
        <v>100</v>
      </c>
      <c r="AJ58" s="1">
        <f t="shared" ref="AJ58:AJ59" si="131">$AF58*T58</f>
        <v>100</v>
      </c>
      <c r="AK58" s="1">
        <f t="shared" ref="AK58:AK59" si="132">$AF58*U58</f>
        <v>100</v>
      </c>
      <c r="AL58" s="1">
        <f t="shared" ref="AL58:AL59" si="133">$AF58*V58</f>
        <v>100</v>
      </c>
      <c r="AM58" s="1">
        <f t="shared" ref="AM58:AM59" si="134">$AF58*W58</f>
        <v>100</v>
      </c>
      <c r="AN58" s="1">
        <f t="shared" ref="AN58:AN59" si="135">$AF58*X58</f>
        <v>100</v>
      </c>
      <c r="AO58" s="1">
        <f t="shared" ref="AO58:AO59" si="136">$AF58*Y58</f>
        <v>100</v>
      </c>
      <c r="AP58" s="1">
        <f t="shared" ref="AP58:AP59" si="137">$AF58*Z58</f>
        <v>100</v>
      </c>
      <c r="AQ58" s="1">
        <f t="shared" ref="AQ58:AQ59" si="138">$AF58*AA58</f>
        <v>100</v>
      </c>
      <c r="AR58" s="1">
        <f t="shared" ref="AR58:AR59" si="139">$AF58*AB58</f>
        <v>100</v>
      </c>
      <c r="AS58" s="1">
        <f t="shared" ref="AS58:AS59" si="140">$AF58*AC58</f>
        <v>100</v>
      </c>
      <c r="AT58" s="1">
        <f t="shared" ref="AT58:AT59" si="141">$AF58*AD58</f>
        <v>100</v>
      </c>
      <c r="AU58" s="1">
        <f t="shared" ref="AU58:AU59" si="142">AT58*O58</f>
        <v>100</v>
      </c>
      <c r="AV58" s="1">
        <f t="shared" ref="AV58:AV59" si="143">AU58*P58</f>
        <v>100</v>
      </c>
      <c r="AW58" s="1">
        <f t="shared" ref="AW58:AW59" si="144">AV58*Q58</f>
        <v>100</v>
      </c>
      <c r="AX58" s="1" t="b">
        <f t="shared" si="45"/>
        <v>1</v>
      </c>
      <c r="AY58" s="1" t="s">
        <v>270</v>
      </c>
      <c r="AZ58" s="1" t="str">
        <f t="shared" si="46"/>
        <v>C11</v>
      </c>
      <c r="BA58" s="1" t="str">
        <f t="shared" si="47"/>
        <v>C1104</v>
      </c>
      <c r="BB58" s="1" t="s">
        <v>271</v>
      </c>
      <c r="BC58" s="1" t="s">
        <v>272</v>
      </c>
      <c r="BD58" s="1">
        <v>1.6322226321342975E-2</v>
      </c>
      <c r="BE58" s="1">
        <f t="shared" si="79"/>
        <v>1.6322226321342974</v>
      </c>
      <c r="BF58" s="1">
        <f t="shared" si="80"/>
        <v>1.6322226321342974</v>
      </c>
      <c r="BG58" s="1">
        <f t="shared" si="81"/>
        <v>1.6322226321342974</v>
      </c>
      <c r="BH58" s="1">
        <f t="shared" si="82"/>
        <v>1.6322226321342974</v>
      </c>
      <c r="BI58" s="1">
        <f t="shared" si="83"/>
        <v>1.6322226321342974</v>
      </c>
      <c r="BJ58" s="1">
        <f t="shared" si="84"/>
        <v>1.6322226321342974</v>
      </c>
      <c r="BK58" s="1">
        <f t="shared" si="85"/>
        <v>1.6322226321342974</v>
      </c>
      <c r="BL58" s="1">
        <f t="shared" si="86"/>
        <v>1.6322226321342974</v>
      </c>
      <c r="BM58" s="1">
        <f t="shared" si="87"/>
        <v>1.6322226321342974</v>
      </c>
      <c r="BN58" s="1">
        <f t="shared" si="88"/>
        <v>1.6322226321342974</v>
      </c>
      <c r="BO58" s="1">
        <f t="shared" si="89"/>
        <v>1.6322226321342974</v>
      </c>
      <c r="BP58" s="1">
        <f t="shared" si="90"/>
        <v>1.6322226321342974</v>
      </c>
      <c r="BQ58" s="1">
        <f t="shared" si="91"/>
        <v>1.6322226321342974</v>
      </c>
      <c r="BR58" s="1">
        <f t="shared" si="92"/>
        <v>1.6322226321342974</v>
      </c>
      <c r="BS58" s="1">
        <f t="shared" si="93"/>
        <v>1.6322226321342974</v>
      </c>
      <c r="BV58" s="1" t="s">
        <v>612</v>
      </c>
      <c r="BW58" s="1">
        <f>((AJ58-AI58)/BE$154)*$BD58</f>
        <v>0</v>
      </c>
      <c r="BX58" s="1">
        <f>((AK58-AJ58)/BF$154)*$BD58</f>
        <v>0</v>
      </c>
      <c r="BY58" s="1">
        <f>((AL58-AK58)/BG$154)*$BD58</f>
        <v>0</v>
      </c>
      <c r="BZ58" s="1">
        <f>((AM58-AL58)/BH$154)*$BD58</f>
        <v>0</v>
      </c>
      <c r="CA58" s="1">
        <f>((AN58-AM58)/BI$154)*$BD58</f>
        <v>0</v>
      </c>
      <c r="CB58" s="1">
        <f>((AO58-AN58)/BJ$154)*$BD58</f>
        <v>0</v>
      </c>
      <c r="CC58" s="1">
        <f>((AP58-AO58)/BK$154)*$BD58</f>
        <v>0</v>
      </c>
      <c r="CD58" s="1">
        <f>((AQ58-AP58)/BL$154)*$BD58</f>
        <v>0</v>
      </c>
      <c r="CE58" s="1">
        <f>((AR58-AQ58)/BM$154)*$BD58</f>
        <v>0</v>
      </c>
      <c r="CF58" s="1">
        <f>((AS58-AR58)/BN$154)*$BD58</f>
        <v>0</v>
      </c>
      <c r="CG58" s="1">
        <f>((AT58-AS58)/BO$154)*$BD58</f>
        <v>0</v>
      </c>
      <c r="CH58" s="1">
        <f>((AU58-AT58)/BP$154)*$BD58</f>
        <v>0</v>
      </c>
      <c r="CI58" s="1">
        <f>((AV58-AU58)/BQ$154)*$BD58</f>
        <v>0</v>
      </c>
      <c r="CJ58" s="1">
        <f>((AW58-AV58)/BR$154)*$BD58</f>
        <v>0</v>
      </c>
    </row>
    <row r="59" spans="1:88" x14ac:dyDescent="0.35">
      <c r="A59" s="1" t="s">
        <v>273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0.99999012340801663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S59" s="1">
        <f t="shared" si="116"/>
        <v>100</v>
      </c>
      <c r="T59" s="1">
        <f t="shared" si="117"/>
        <v>100</v>
      </c>
      <c r="U59" s="1">
        <f t="shared" si="118"/>
        <v>100</v>
      </c>
      <c r="V59" s="1">
        <f t="shared" si="119"/>
        <v>100</v>
      </c>
      <c r="W59" s="1">
        <f t="shared" si="120"/>
        <v>100</v>
      </c>
      <c r="X59" s="1">
        <f t="shared" si="121"/>
        <v>100</v>
      </c>
      <c r="Y59" s="1">
        <f t="shared" si="122"/>
        <v>100</v>
      </c>
      <c r="Z59" s="1">
        <f t="shared" si="123"/>
        <v>99.99901234080167</v>
      </c>
      <c r="AA59" s="1">
        <f t="shared" si="124"/>
        <v>99.99901234080167</v>
      </c>
      <c r="AB59" s="1">
        <f t="shared" si="125"/>
        <v>99.99901234080167</v>
      </c>
      <c r="AC59" s="1">
        <f t="shared" si="126"/>
        <v>99.99901234080167</v>
      </c>
      <c r="AD59" s="1">
        <f t="shared" si="127"/>
        <v>99.99901234080167</v>
      </c>
      <c r="AE59" s="1">
        <f t="shared" si="128"/>
        <v>99.999588475334022</v>
      </c>
      <c r="AF59" s="1">
        <f t="shared" si="30"/>
        <v>1.000004115263595</v>
      </c>
      <c r="AH59" s="1" t="str">
        <f t="shared" si="129"/>
        <v>C1104.24490C</v>
      </c>
      <c r="AI59" s="1">
        <f t="shared" si="130"/>
        <v>100.0004115263595</v>
      </c>
      <c r="AJ59" s="1">
        <f t="shared" si="131"/>
        <v>100.0004115263595</v>
      </c>
      <c r="AK59" s="1">
        <f t="shared" si="132"/>
        <v>100.0004115263595</v>
      </c>
      <c r="AL59" s="1">
        <f t="shared" si="133"/>
        <v>100.0004115263595</v>
      </c>
      <c r="AM59" s="1">
        <f t="shared" si="134"/>
        <v>100.0004115263595</v>
      </c>
      <c r="AN59" s="1">
        <f t="shared" si="135"/>
        <v>100.0004115263595</v>
      </c>
      <c r="AO59" s="1">
        <f t="shared" si="136"/>
        <v>100.0004115263595</v>
      </c>
      <c r="AP59" s="1">
        <f t="shared" si="137"/>
        <v>99.999423863096695</v>
      </c>
      <c r="AQ59" s="1">
        <f t="shared" si="138"/>
        <v>99.999423863096695</v>
      </c>
      <c r="AR59" s="1">
        <f t="shared" si="139"/>
        <v>99.999423863096695</v>
      </c>
      <c r="AS59" s="1">
        <f t="shared" si="140"/>
        <v>99.999423863096695</v>
      </c>
      <c r="AT59" s="1">
        <f t="shared" si="141"/>
        <v>99.999423863096695</v>
      </c>
      <c r="AU59" s="1">
        <f t="shared" si="142"/>
        <v>99.999423863096695</v>
      </c>
      <c r="AV59" s="1">
        <f t="shared" si="143"/>
        <v>99.999423863096695</v>
      </c>
      <c r="AW59" s="1">
        <f t="shared" si="144"/>
        <v>99.999423863096695</v>
      </c>
      <c r="AX59" s="1" t="b">
        <f t="shared" si="45"/>
        <v>1</v>
      </c>
      <c r="AY59" s="1" t="s">
        <v>273</v>
      </c>
      <c r="AZ59" s="1" t="str">
        <f t="shared" si="46"/>
        <v>C11</v>
      </c>
      <c r="BA59" s="1" t="str">
        <f t="shared" si="47"/>
        <v>C1104</v>
      </c>
      <c r="BB59" s="1" t="s">
        <v>274</v>
      </c>
      <c r="BC59" s="1" t="s">
        <v>275</v>
      </c>
      <c r="BD59" s="1">
        <v>1.9949387726085861E-2</v>
      </c>
      <c r="BE59" s="1">
        <f t="shared" si="79"/>
        <v>1.9949469823074912</v>
      </c>
      <c r="BF59" s="1">
        <f t="shared" si="80"/>
        <v>1.9949469823074912</v>
      </c>
      <c r="BG59" s="1">
        <f t="shared" si="81"/>
        <v>1.9949469823074912</v>
      </c>
      <c r="BH59" s="1">
        <f t="shared" si="82"/>
        <v>1.9949469823074912</v>
      </c>
      <c r="BI59" s="1">
        <f t="shared" si="83"/>
        <v>1.9949469823074912</v>
      </c>
      <c r="BJ59" s="1">
        <f t="shared" si="84"/>
        <v>1.9949469823074912</v>
      </c>
      <c r="BK59" s="1">
        <f t="shared" si="85"/>
        <v>1.9949469823074912</v>
      </c>
      <c r="BL59" s="1">
        <f t="shared" si="86"/>
        <v>1.9949272790301187</v>
      </c>
      <c r="BM59" s="1">
        <f t="shared" si="87"/>
        <v>1.9949272790301187</v>
      </c>
      <c r="BN59" s="1">
        <f t="shared" si="88"/>
        <v>1.9949272790301187</v>
      </c>
      <c r="BO59" s="1">
        <f t="shared" si="89"/>
        <v>1.9949272790301187</v>
      </c>
      <c r="BP59" s="1">
        <f t="shared" si="90"/>
        <v>1.9949272790301187</v>
      </c>
      <c r="BQ59" s="1">
        <f t="shared" si="91"/>
        <v>1.9949272790301187</v>
      </c>
      <c r="BR59" s="1">
        <f t="shared" si="92"/>
        <v>1.9949272790301187</v>
      </c>
      <c r="BS59" s="1">
        <f t="shared" si="93"/>
        <v>1.9949272790301187</v>
      </c>
      <c r="BV59" s="1" t="s">
        <v>613</v>
      </c>
      <c r="BW59" s="1">
        <f>((AJ59-AI59)/BE$154)*$BD59</f>
        <v>0</v>
      </c>
      <c r="BX59" s="1">
        <f>((AK59-AJ59)/BF$154)*$BD59</f>
        <v>0</v>
      </c>
      <c r="BY59" s="1">
        <f>((AL59-AK59)/BG$154)*$BD59</f>
        <v>0</v>
      </c>
      <c r="BZ59" s="1">
        <f>((AM59-AL59)/BH$154)*$BD59</f>
        <v>0</v>
      </c>
      <c r="CA59" s="1">
        <f>((AN59-AM59)/BI$154)*$BD59</f>
        <v>0</v>
      </c>
      <c r="CB59" s="1">
        <f>((AO59-AN59)/BJ$154)*$BD59</f>
        <v>0</v>
      </c>
      <c r="CC59" s="1">
        <f>((AP59-AO59)/BK$154)*$BD59</f>
        <v>-1.9730757076459706E-7</v>
      </c>
      <c r="CD59" s="1">
        <f>((AQ59-AP59)/BL$154)*$BD59</f>
        <v>0</v>
      </c>
      <c r="CE59" s="1">
        <f>((AR59-AQ59)/BM$154)*$BD59</f>
        <v>0</v>
      </c>
      <c r="CF59" s="1">
        <f>((AS59-AR59)/BN$154)*$BD59</f>
        <v>0</v>
      </c>
      <c r="CG59" s="1">
        <f>((AT59-AS59)/BO$154)*$BD59</f>
        <v>0</v>
      </c>
      <c r="CH59" s="1">
        <f>((AU59-AT59)/BP$154)*$BD59</f>
        <v>0</v>
      </c>
      <c r="CI59" s="1">
        <f>((AV59-AU59)/BQ$154)*$BD59</f>
        <v>0</v>
      </c>
      <c r="CJ59" s="1">
        <f>((AW59-AV59)/BR$154)*$BD59</f>
        <v>0</v>
      </c>
    </row>
    <row r="60" spans="1:88" x14ac:dyDescent="0.35">
      <c r="A60" s="1" t="s">
        <v>67</v>
      </c>
      <c r="B60" s="1">
        <v>1</v>
      </c>
      <c r="C60" s="1">
        <v>1</v>
      </c>
      <c r="D60" s="1">
        <v>0.99763672723645669</v>
      </c>
      <c r="E60" s="1">
        <v>1.000071589329661</v>
      </c>
      <c r="F60" s="1">
        <v>1.0047998284335871</v>
      </c>
      <c r="G60" s="1">
        <v>0.99790268902740753</v>
      </c>
      <c r="H60" s="1">
        <v>0.9984641571980325</v>
      </c>
      <c r="I60" s="1">
        <v>0.99900674793277255</v>
      </c>
      <c r="J60" s="1">
        <v>1.001454488700471</v>
      </c>
      <c r="K60" s="1">
        <v>1.002288569439203</v>
      </c>
      <c r="L60" s="1">
        <v>0.99668233520407667</v>
      </c>
      <c r="M60" s="1">
        <v>0.99889182961933354</v>
      </c>
      <c r="N60" s="1">
        <v>0.99019326697481291</v>
      </c>
      <c r="O60" s="1">
        <v>0.99528778009700869</v>
      </c>
      <c r="P60" s="1">
        <v>0.99072044004556381</v>
      </c>
      <c r="Q60" s="1">
        <v>1.0018695889190743</v>
      </c>
      <c r="S60" s="1">
        <f t="shared" ref="S60:S68" si="145">C60*100</f>
        <v>100</v>
      </c>
      <c r="T60" s="1">
        <f t="shared" ref="T60:T69" si="146">S60*D60</f>
        <v>99.763672723645669</v>
      </c>
      <c r="U60" s="1">
        <f t="shared" ref="U60:U69" si="147">T60*E60</f>
        <v>99.770814738100469</v>
      </c>
      <c r="V60" s="1">
        <f t="shared" ref="V60:V69" si="148">U60*F60</f>
        <v>100.24969753152256</v>
      </c>
      <c r="W60" s="1">
        <f t="shared" ref="W60:W69" si="149">V60*G60</f>
        <v>100.03944274089062</v>
      </c>
      <c r="X60" s="1">
        <f t="shared" ref="X60:X69" si="150">W60*H60</f>
        <v>99.885797882844187</v>
      </c>
      <c r="Y60" s="1">
        <f t="shared" ref="Y60:Y69" si="151">X60*I60</f>
        <v>99.78658610761039</v>
      </c>
      <c r="Z60" s="1">
        <f t="shared" ref="Z60:Z69" si="152">Y60*J60</f>
        <v>99.931724569562491</v>
      </c>
      <c r="AA60" s="1">
        <f t="shared" ref="AA60:AA69" si="153">Z60*K60</f>
        <v>100.16042526041925</v>
      </c>
      <c r="AB60" s="1">
        <f t="shared" ref="AB60:AB69" si="154">AA60*L60</f>
        <v>99.828126543588041</v>
      </c>
      <c r="AC60" s="1">
        <f t="shared" ref="AC60:AC69" si="155">AB60*M60</f>
        <v>99.717499970595014</v>
      </c>
      <c r="AD60" s="1">
        <f t="shared" ref="AD60:AD69" si="156">AC60*N60</f>
        <v>98.73959707044429</v>
      </c>
      <c r="AE60" s="1">
        <f t="shared" ref="AE60:AE69" si="157">AVERAGE(S60:AD60)</f>
        <v>99.822782094935249</v>
      </c>
      <c r="AF60" s="1">
        <f t="shared" ref="AF60:AF69" si="158">100/AE60</f>
        <v>1.0017753252448545</v>
      </c>
      <c r="AH60" s="1" t="str">
        <f t="shared" ref="AH60:AH69" si="159">A60</f>
        <v>C1311.26360</v>
      </c>
      <c r="AI60" s="1">
        <f t="shared" ref="AI60:AI91" si="160">$AF60*S60</f>
        <v>100.17753252448544</v>
      </c>
      <c r="AJ60" s="1">
        <f t="shared" ref="AJ60:AJ91" si="161">$AF60*T60</f>
        <v>99.940785690351362</v>
      </c>
      <c r="AK60" s="1">
        <f t="shared" ref="AK60:AK91" si="162">$AF60*U60</f>
        <v>99.947940384204713</v>
      </c>
      <c r="AL60" s="1">
        <f t="shared" ref="AL60:AL91" si="163">$AF60*V60</f>
        <v>100.42767335033929</v>
      </c>
      <c r="AM60" s="1">
        <f t="shared" ref="AM60:AM91" si="164">$AF60*W60</f>
        <v>100.2170452890697</v>
      </c>
      <c r="AN60" s="1">
        <f t="shared" ref="AN60:AN91" si="165">$AF60*X60</f>
        <v>100.06312766142803</v>
      </c>
      <c r="AO60" s="1">
        <f t="shared" ref="AO60:AO91" si="166">$AF60*Y60</f>
        <v>99.963739753025081</v>
      </c>
      <c r="AP60" s="1">
        <f t="shared" ref="AP60:AP91" si="167">$AF60*Z60</f>
        <v>100.10913588295267</v>
      </c>
      <c r="AQ60" s="1">
        <f t="shared" ref="AQ60:AQ91" si="168">$AF60*AA60</f>
        <v>100.33824259191942</v>
      </c>
      <c r="AR60" s="1">
        <f t="shared" ref="AR60:AR91" si="169">$AF60*AB60</f>
        <v>100.0053539367874</v>
      </c>
      <c r="AS60" s="1">
        <f t="shared" ref="AS60:AS91" si="170">$AF60*AC60</f>
        <v>99.894530965646581</v>
      </c>
      <c r="AT60" s="1">
        <f t="shared" ref="AT60:AT91" si="171">$AF60*AD60</f>
        <v>98.914891969790204</v>
      </c>
      <c r="AU60" s="1">
        <f t="shared" ref="AU60:AW60" si="172">AT60*O60</f>
        <v>98.448783247147929</v>
      </c>
      <c r="AV60" s="1">
        <f t="shared" si="172"/>
        <v>97.535221860564732</v>
      </c>
      <c r="AW60" s="1">
        <f t="shared" si="172"/>
        <v>97.717572630574693</v>
      </c>
      <c r="AX60" s="1" t="b">
        <f t="shared" ref="AX60:AX123" si="173">AY60=AH60</f>
        <v>1</v>
      </c>
      <c r="AY60" s="1" t="s">
        <v>67</v>
      </c>
      <c r="AZ60" s="1" t="str">
        <f t="shared" si="46"/>
        <v>C13</v>
      </c>
      <c r="BA60" s="1" t="str">
        <f t="shared" si="47"/>
        <v>C1311</v>
      </c>
      <c r="BB60" s="1" t="s">
        <v>276</v>
      </c>
      <c r="BC60" s="1" t="s">
        <v>277</v>
      </c>
      <c r="BD60" s="1">
        <v>1.6374465035719577E-3</v>
      </c>
      <c r="BE60" s="1">
        <f t="shared" si="79"/>
        <v>0.16403535036868475</v>
      </c>
      <c r="BF60" s="1">
        <f t="shared" si="80"/>
        <v>0.16364769009290017</v>
      </c>
      <c r="BG60" s="1">
        <f t="shared" si="81"/>
        <v>0.16365940552133448</v>
      </c>
      <c r="BH60" s="1">
        <f t="shared" si="82"/>
        <v>0.16444494258937975</v>
      </c>
      <c r="BI60" s="1">
        <f t="shared" si="83"/>
        <v>0.16410005040689971</v>
      </c>
      <c r="BJ60" s="1">
        <f t="shared" si="84"/>
        <v>0.16384801852567976</v>
      </c>
      <c r="BK60" s="1">
        <f t="shared" si="85"/>
        <v>0.16368527614256803</v>
      </c>
      <c r="BL60" s="1">
        <f t="shared" si="86"/>
        <v>0.16392335452715084</v>
      </c>
      <c r="BM60" s="1">
        <f t="shared" si="87"/>
        <v>0.16429850450669334</v>
      </c>
      <c r="BN60" s="1">
        <f t="shared" si="88"/>
        <v>0.16375341714226865</v>
      </c>
      <c r="BO60" s="1">
        <f t="shared" si="89"/>
        <v>0.16357195045565864</v>
      </c>
      <c r="BP60" s="1">
        <f t="shared" si="90"/>
        <v>0.16196784400713088</v>
      </c>
      <c r="BQ60" s="1">
        <f t="shared" si="91"/>
        <v>0.16120461590895591</v>
      </c>
      <c r="BR60" s="1">
        <f t="shared" si="92"/>
        <v>0.15970870801069689</v>
      </c>
      <c r="BS60" s="1">
        <f t="shared" si="93"/>
        <v>0.16000729764147337</v>
      </c>
      <c r="BV60" s="1" t="s">
        <v>67</v>
      </c>
      <c r="BW60" s="1">
        <f>((AJ60-AI60)/BE$154)*$BD60</f>
        <v>-3.894220455803659E-6</v>
      </c>
      <c r="BX60" s="1">
        <f>((AK60-AJ60)/BF$154)*$BD60</f>
        <v>1.1775109208904485E-7</v>
      </c>
      <c r="BY60" s="1">
        <f>((AL60-AK60)/BG$154)*$BD60</f>
        <v>7.8989842874399103E-6</v>
      </c>
      <c r="BZ60" s="1">
        <f>((AM60-AL60)/BH$154)*$BD60</f>
        <v>-3.4602674081570794E-6</v>
      </c>
      <c r="CA60" s="1">
        <f>((AN60-AM60)/BI$154)*$BD60</f>
        <v>-2.5258960926496015E-6</v>
      </c>
      <c r="CB60" s="1">
        <f>((AO60-AN60)/BJ$154)*$BD60</f>
        <v>-1.63016170949672E-6</v>
      </c>
      <c r="CC60" s="1">
        <f>((AP60-AO60)/BK$154)*$BD60</f>
        <v>2.3841042698379831E-6</v>
      </c>
      <c r="CD60" s="1">
        <f>((AQ60-AP60)/BL$154)*$BD60</f>
        <v>3.7512705543954014E-6</v>
      </c>
      <c r="CE60" s="1">
        <f>((AR60-AQ60)/BM$154)*$BD60</f>
        <v>-5.4288210225719876E-6</v>
      </c>
      <c r="CF60" s="1">
        <f>((AS60-AR60)/BN$154)*$BD60</f>
        <v>-1.8058285496012033E-6</v>
      </c>
      <c r="CG60" s="1">
        <f>((AT60-AS60)/BO$154)*$BD60</f>
        <v>-1.5926397083551166E-5</v>
      </c>
      <c r="CH60" s="1">
        <f>((AU60-AT60)/BP$154)*$BD60</f>
        <v>-7.5757991402469315E-6</v>
      </c>
      <c r="CI60" s="1">
        <f>((AV60-AU60)/BQ$154)*$BD60</f>
        <v>-1.4796890170180088E-5</v>
      </c>
      <c r="CJ60" s="1">
        <f>((AW60-AV60)/BR$154)*$BD60</f>
        <v>2.9482262024365578E-6</v>
      </c>
    </row>
    <row r="61" spans="1:88" x14ac:dyDescent="0.35">
      <c r="A61" s="1" t="s">
        <v>68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0.96527988426628086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S61" s="1">
        <f t="shared" si="145"/>
        <v>100</v>
      </c>
      <c r="T61" s="1">
        <f t="shared" si="146"/>
        <v>100</v>
      </c>
      <c r="U61" s="1">
        <f t="shared" si="147"/>
        <v>100</v>
      </c>
      <c r="V61" s="1">
        <f t="shared" si="148"/>
        <v>100</v>
      </c>
      <c r="W61" s="1">
        <f t="shared" si="149"/>
        <v>100</v>
      </c>
      <c r="X61" s="1">
        <f t="shared" si="150"/>
        <v>100</v>
      </c>
      <c r="Y61" s="1">
        <f t="shared" si="151"/>
        <v>100</v>
      </c>
      <c r="Z61" s="1">
        <f t="shared" si="152"/>
        <v>100</v>
      </c>
      <c r="AA61" s="1">
        <f t="shared" si="153"/>
        <v>100</v>
      </c>
      <c r="AB61" s="1">
        <f t="shared" si="154"/>
        <v>96.527988426628085</v>
      </c>
      <c r="AC61" s="1">
        <f t="shared" si="155"/>
        <v>96.527988426628085</v>
      </c>
      <c r="AD61" s="1">
        <f t="shared" si="156"/>
        <v>96.527988426628085</v>
      </c>
      <c r="AE61" s="1">
        <f t="shared" si="157"/>
        <v>99.131997106657025</v>
      </c>
      <c r="AF61" s="1">
        <f t="shared" si="158"/>
        <v>1.0087560315405437</v>
      </c>
      <c r="AH61" s="1" t="str">
        <f t="shared" si="159"/>
        <v>C1311.26420</v>
      </c>
      <c r="AI61" s="1">
        <f t="shared" si="160"/>
        <v>100.87560315405437</v>
      </c>
      <c r="AJ61" s="1">
        <f t="shared" si="161"/>
        <v>100.87560315405437</v>
      </c>
      <c r="AK61" s="1">
        <f t="shared" si="162"/>
        <v>100.87560315405437</v>
      </c>
      <c r="AL61" s="1">
        <f t="shared" si="163"/>
        <v>100.87560315405437</v>
      </c>
      <c r="AM61" s="1">
        <f t="shared" si="164"/>
        <v>100.87560315405437</v>
      </c>
      <c r="AN61" s="1">
        <f t="shared" si="165"/>
        <v>100.87560315405437</v>
      </c>
      <c r="AO61" s="1">
        <f t="shared" si="166"/>
        <v>100.87560315405437</v>
      </c>
      <c r="AP61" s="1">
        <f t="shared" si="167"/>
        <v>100.87560315405437</v>
      </c>
      <c r="AQ61" s="1">
        <f t="shared" si="168"/>
        <v>100.87560315405437</v>
      </c>
      <c r="AR61" s="1">
        <f t="shared" si="169"/>
        <v>97.373190537836877</v>
      </c>
      <c r="AS61" s="1">
        <f t="shared" si="170"/>
        <v>97.373190537836877</v>
      </c>
      <c r="AT61" s="1">
        <f t="shared" si="171"/>
        <v>97.373190537836877</v>
      </c>
      <c r="AU61" s="1">
        <f t="shared" ref="AU61:AW61" si="174">AT61*O61</f>
        <v>97.373190537836877</v>
      </c>
      <c r="AV61" s="1">
        <f t="shared" si="174"/>
        <v>97.373190537836877</v>
      </c>
      <c r="AW61" s="1">
        <f t="shared" si="174"/>
        <v>97.373190537836877</v>
      </c>
      <c r="AX61" s="1" t="b">
        <f t="shared" si="173"/>
        <v>1</v>
      </c>
      <c r="AY61" s="1" t="s">
        <v>68</v>
      </c>
      <c r="AZ61" s="1" t="str">
        <f t="shared" si="46"/>
        <v>C13</v>
      </c>
      <c r="BA61" s="1" t="str">
        <f t="shared" si="47"/>
        <v>C1311</v>
      </c>
      <c r="BB61" s="1" t="s">
        <v>278</v>
      </c>
      <c r="BC61" s="1" t="s">
        <v>279</v>
      </c>
      <c r="BD61" s="1">
        <v>1.6374465035719577E-3</v>
      </c>
      <c r="BE61" s="1">
        <f t="shared" si="79"/>
        <v>0.16517840368031869</v>
      </c>
      <c r="BF61" s="1">
        <f t="shared" si="80"/>
        <v>0.16517840368031869</v>
      </c>
      <c r="BG61" s="1">
        <f t="shared" si="81"/>
        <v>0.16517840368031869</v>
      </c>
      <c r="BH61" s="1">
        <f t="shared" si="82"/>
        <v>0.16517840368031869</v>
      </c>
      <c r="BI61" s="1">
        <f t="shared" si="83"/>
        <v>0.16517840368031869</v>
      </c>
      <c r="BJ61" s="1">
        <f t="shared" si="84"/>
        <v>0.16517840368031869</v>
      </c>
      <c r="BK61" s="1">
        <f t="shared" si="85"/>
        <v>0.16517840368031869</v>
      </c>
      <c r="BL61" s="1">
        <f t="shared" si="86"/>
        <v>0.16517840368031869</v>
      </c>
      <c r="BM61" s="1">
        <f t="shared" si="87"/>
        <v>0.16517840368031869</v>
      </c>
      <c r="BN61" s="1">
        <f t="shared" si="88"/>
        <v>0.15944339038782701</v>
      </c>
      <c r="BO61" s="1">
        <f t="shared" si="89"/>
        <v>0.15944339038782701</v>
      </c>
      <c r="BP61" s="1">
        <f t="shared" si="90"/>
        <v>0.15944339038782701</v>
      </c>
      <c r="BQ61" s="1">
        <f t="shared" si="91"/>
        <v>0.15944339038782701</v>
      </c>
      <c r="BR61" s="1">
        <f t="shared" si="92"/>
        <v>0.15944339038782701</v>
      </c>
      <c r="BS61" s="1">
        <f t="shared" si="93"/>
        <v>0.15944339038782701</v>
      </c>
      <c r="BV61" s="1" t="s">
        <v>68</v>
      </c>
      <c r="BW61" s="1">
        <f>((AJ61-AI61)/BE$154)*$BD61</f>
        <v>0</v>
      </c>
      <c r="BX61" s="1">
        <f>((AK61-AJ61)/BF$154)*$BD61</f>
        <v>0</v>
      </c>
      <c r="BY61" s="1">
        <f>((AL61-AK61)/BG$154)*$BD61</f>
        <v>0</v>
      </c>
      <c r="BZ61" s="1">
        <f>((AM61-AL61)/BH$154)*$BD61</f>
        <v>0</v>
      </c>
      <c r="CA61" s="1">
        <f>((AN61-AM61)/BI$154)*$BD61</f>
        <v>0</v>
      </c>
      <c r="CB61" s="1">
        <f>((AO61-AN61)/BJ$154)*$BD61</f>
        <v>0</v>
      </c>
      <c r="CC61" s="1">
        <f>((AP61-AO61)/BK$154)*$BD61</f>
        <v>0</v>
      </c>
      <c r="CD61" s="1">
        <f>((AQ61-AP61)/BL$154)*$BD61</f>
        <v>0</v>
      </c>
      <c r="CE61" s="1">
        <f>((AR61-AQ61)/BM$154)*$BD61</f>
        <v>-5.7118111258859084E-5</v>
      </c>
      <c r="CF61" s="1">
        <f>((AS61-AR61)/BN$154)*$BD61</f>
        <v>0</v>
      </c>
      <c r="CG61" s="1">
        <f>((AT61-AS61)/BO$154)*$BD61</f>
        <v>0</v>
      </c>
      <c r="CH61" s="1">
        <f>((AU61-AT61)/BP$154)*$BD61</f>
        <v>0</v>
      </c>
      <c r="CI61" s="1">
        <f>((AV61-AU61)/BQ$154)*$BD61</f>
        <v>0</v>
      </c>
      <c r="CJ61" s="1">
        <f>((AW61-AV61)/BR$154)*$BD61</f>
        <v>0</v>
      </c>
    </row>
    <row r="62" spans="1:88" x14ac:dyDescent="0.35">
      <c r="A62" s="1" t="s">
        <v>69</v>
      </c>
      <c r="B62" s="1">
        <v>0.96307509090832999</v>
      </c>
      <c r="C62" s="1">
        <v>1</v>
      </c>
      <c r="D62" s="1">
        <v>1</v>
      </c>
      <c r="E62" s="1">
        <v>1</v>
      </c>
      <c r="F62" s="1">
        <v>0.99995082491111842</v>
      </c>
      <c r="G62" s="1">
        <v>1</v>
      </c>
      <c r="H62" s="1">
        <v>1</v>
      </c>
      <c r="I62" s="1">
        <v>1</v>
      </c>
      <c r="J62" s="1">
        <v>1</v>
      </c>
      <c r="K62" s="1">
        <v>1.000307834625725</v>
      </c>
      <c r="L62" s="1">
        <v>0.99987700631882304</v>
      </c>
      <c r="M62" s="1">
        <v>1.0044371609424581</v>
      </c>
      <c r="N62" s="1">
        <v>1.0075755348485991</v>
      </c>
      <c r="O62" s="1">
        <v>1.000766580947658</v>
      </c>
      <c r="P62" s="1">
        <v>1</v>
      </c>
      <c r="Q62" s="1">
        <v>1.0025333594671539</v>
      </c>
      <c r="S62" s="1">
        <f t="shared" si="145"/>
        <v>100</v>
      </c>
      <c r="T62" s="1">
        <f t="shared" si="146"/>
        <v>100</v>
      </c>
      <c r="U62" s="1">
        <f t="shared" si="147"/>
        <v>100</v>
      </c>
      <c r="V62" s="1">
        <f t="shared" si="148"/>
        <v>99.995082491111845</v>
      </c>
      <c r="W62" s="1">
        <f t="shared" si="149"/>
        <v>99.995082491111845</v>
      </c>
      <c r="X62" s="1">
        <f t="shared" si="150"/>
        <v>99.995082491111845</v>
      </c>
      <c r="Y62" s="1">
        <f t="shared" si="151"/>
        <v>99.995082491111845</v>
      </c>
      <c r="Z62" s="1">
        <f t="shared" si="152"/>
        <v>99.995082491111845</v>
      </c>
      <c r="AA62" s="1">
        <f t="shared" si="153"/>
        <v>100.02586443990484</v>
      </c>
      <c r="AB62" s="1">
        <f t="shared" si="154"/>
        <v>100.01356189062446</v>
      </c>
      <c r="AC62" s="1">
        <f t="shared" si="155"/>
        <v>100.45733816116164</v>
      </c>
      <c r="AD62" s="1">
        <f t="shared" si="156"/>
        <v>101.21835622719902</v>
      </c>
      <c r="AE62" s="1">
        <f t="shared" si="157"/>
        <v>100.14087776453744</v>
      </c>
      <c r="AF62" s="1">
        <f t="shared" si="158"/>
        <v>0.9985932042170762</v>
      </c>
      <c r="AH62" s="1" t="str">
        <f t="shared" si="159"/>
        <v>C1312.26610</v>
      </c>
      <c r="AI62" s="1">
        <f t="shared" si="160"/>
        <v>99.859320421707622</v>
      </c>
      <c r="AJ62" s="1">
        <f t="shared" si="161"/>
        <v>99.859320421707622</v>
      </c>
      <c r="AK62" s="1">
        <f t="shared" si="162"/>
        <v>99.859320421707622</v>
      </c>
      <c r="AL62" s="1">
        <f t="shared" si="163"/>
        <v>99.854409830750228</v>
      </c>
      <c r="AM62" s="1">
        <f t="shared" si="164"/>
        <v>99.854409830750228</v>
      </c>
      <c r="AN62" s="1">
        <f t="shared" si="165"/>
        <v>99.854409830750228</v>
      </c>
      <c r="AO62" s="1">
        <f t="shared" si="166"/>
        <v>99.854409830750228</v>
      </c>
      <c r="AP62" s="1">
        <f t="shared" si="167"/>
        <v>99.854409830750228</v>
      </c>
      <c r="AQ62" s="1">
        <f t="shared" si="168"/>
        <v>99.885148475627474</v>
      </c>
      <c r="AR62" s="1">
        <f t="shared" si="169"/>
        <v>99.872863233521542</v>
      </c>
      <c r="AS62" s="1">
        <f t="shared" si="170"/>
        <v>100.31601520147277</v>
      </c>
      <c r="AT62" s="1">
        <f t="shared" si="171"/>
        <v>101.07596267050413</v>
      </c>
      <c r="AU62" s="1">
        <f t="shared" ref="AU62:AW62" si="175">AT62*O62</f>
        <v>101.15344557775353</v>
      </c>
      <c r="AV62" s="1">
        <f t="shared" si="175"/>
        <v>101.15344557775353</v>
      </c>
      <c r="AW62" s="1">
        <f t="shared" si="175"/>
        <v>101.40970361674317</v>
      </c>
      <c r="AX62" s="1" t="b">
        <f t="shared" si="173"/>
        <v>1</v>
      </c>
      <c r="AY62" s="1" t="s">
        <v>69</v>
      </c>
      <c r="AZ62" s="1" t="str">
        <f t="shared" si="46"/>
        <v>C13</v>
      </c>
      <c r="BA62" s="1" t="str">
        <f t="shared" si="47"/>
        <v>C1312</v>
      </c>
      <c r="BB62" s="1" t="s">
        <v>280</v>
      </c>
      <c r="BC62" s="1" t="s">
        <v>281</v>
      </c>
      <c r="BD62" s="1">
        <v>1.6374465035719577E-3</v>
      </c>
      <c r="BE62" s="1">
        <f t="shared" si="79"/>
        <v>0.16351429507359694</v>
      </c>
      <c r="BF62" s="1">
        <f t="shared" si="80"/>
        <v>0.16351429507359694</v>
      </c>
      <c r="BG62" s="1">
        <f t="shared" si="81"/>
        <v>0.16351429507359694</v>
      </c>
      <c r="BH62" s="1">
        <f t="shared" si="82"/>
        <v>0.16350625424360327</v>
      </c>
      <c r="BI62" s="1">
        <f t="shared" si="83"/>
        <v>0.16350625424360327</v>
      </c>
      <c r="BJ62" s="1">
        <f t="shared" si="84"/>
        <v>0.16350625424360327</v>
      </c>
      <c r="BK62" s="1">
        <f t="shared" si="85"/>
        <v>0.16350625424360327</v>
      </c>
      <c r="BL62" s="1">
        <f t="shared" si="86"/>
        <v>0.16350625424360327</v>
      </c>
      <c r="BM62" s="1">
        <f t="shared" si="87"/>
        <v>0.16355658713018206</v>
      </c>
      <c r="BN62" s="1">
        <f t="shared" si="88"/>
        <v>0.16353647070345018</v>
      </c>
      <c r="BO62" s="1">
        <f t="shared" si="89"/>
        <v>0.16426210834392294</v>
      </c>
      <c r="BP62" s="1">
        <f t="shared" si="90"/>
        <v>0.16550648166998669</v>
      </c>
      <c r="BQ62" s="1">
        <f t="shared" si="91"/>
        <v>0.16563335578554883</v>
      </c>
      <c r="BR62" s="1">
        <f t="shared" si="92"/>
        <v>0.16563335578554883</v>
      </c>
      <c r="BS62" s="1">
        <f t="shared" si="93"/>
        <v>0.16605296461550462</v>
      </c>
      <c r="BV62" s="1" t="s">
        <v>69</v>
      </c>
      <c r="BW62" s="1">
        <f>((AJ62-AI62)/BE$154)*$BD62</f>
        <v>0</v>
      </c>
      <c r="BX62" s="1">
        <f>((AK62-AJ62)/BF$154)*$BD62</f>
        <v>0</v>
      </c>
      <c r="BY62" s="1">
        <f>((AL62-AK62)/BG$154)*$BD62</f>
        <v>-8.0854732846559389E-8</v>
      </c>
      <c r="BZ62" s="1">
        <f>((AM62-AL62)/BH$154)*$BD62</f>
        <v>0</v>
      </c>
      <c r="CA62" s="1">
        <f>((AN62-AM62)/BI$154)*$BD62</f>
        <v>0</v>
      </c>
      <c r="CB62" s="1">
        <f>((AO62-AN62)/BJ$154)*$BD62</f>
        <v>0</v>
      </c>
      <c r="CC62" s="1">
        <f>((AP62-AO62)/BK$154)*$BD62</f>
        <v>0</v>
      </c>
      <c r="CD62" s="1">
        <f>((AQ62-AP62)/BL$154)*$BD62</f>
        <v>5.0329810912156059E-7</v>
      </c>
      <c r="CE62" s="1">
        <f>((AR62-AQ62)/BM$154)*$BD62</f>
        <v>-2.0035041622436653E-7</v>
      </c>
      <c r="CF62" s="1">
        <f>((AS62-AR62)/BN$154)*$BD62</f>
        <v>7.2210342973155894E-6</v>
      </c>
      <c r="CG62" s="1">
        <f>((AT62-AS62)/BO$154)*$BD62</f>
        <v>1.2354780899521866E-5</v>
      </c>
      <c r="CH62" s="1">
        <f>((AU62-AT62)/BP$154)*$BD62</f>
        <v>1.2593519786463459E-6</v>
      </c>
      <c r="CI62" s="1">
        <f>((AV62-AU62)/BQ$154)*$BD62</f>
        <v>0</v>
      </c>
      <c r="CJ62" s="1">
        <f>((AW62-AV62)/BR$154)*$BD62</f>
        <v>4.1431503968587716E-6</v>
      </c>
    </row>
    <row r="63" spans="1:88" x14ac:dyDescent="0.35">
      <c r="A63" s="1" t="s">
        <v>70</v>
      </c>
      <c r="B63" s="1">
        <v>1</v>
      </c>
      <c r="C63" s="1">
        <v>1</v>
      </c>
      <c r="D63" s="1">
        <v>1</v>
      </c>
      <c r="E63" s="1">
        <v>1</v>
      </c>
      <c r="F63" s="1">
        <v>1.0035046728971959</v>
      </c>
      <c r="G63" s="1">
        <v>1</v>
      </c>
      <c r="H63" s="1">
        <v>1</v>
      </c>
      <c r="I63" s="1">
        <v>1</v>
      </c>
      <c r="J63" s="1">
        <v>1</v>
      </c>
      <c r="K63" s="1">
        <v>1.015715948777649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0.96492890995260627</v>
      </c>
      <c r="S63" s="1">
        <f t="shared" si="145"/>
        <v>100</v>
      </c>
      <c r="T63" s="1">
        <f t="shared" si="146"/>
        <v>100</v>
      </c>
      <c r="U63" s="1">
        <f t="shared" si="147"/>
        <v>100</v>
      </c>
      <c r="V63" s="1">
        <f t="shared" si="148"/>
        <v>100.35046728971959</v>
      </c>
      <c r="W63" s="1">
        <f t="shared" si="149"/>
        <v>100.35046728971959</v>
      </c>
      <c r="X63" s="1">
        <f t="shared" si="150"/>
        <v>100.35046728971959</v>
      </c>
      <c r="Y63" s="1">
        <f t="shared" si="151"/>
        <v>100.35046728971959</v>
      </c>
      <c r="Z63" s="1">
        <f t="shared" si="152"/>
        <v>100.35046728971959</v>
      </c>
      <c r="AA63" s="1">
        <f t="shared" si="153"/>
        <v>101.92757009345797</v>
      </c>
      <c r="AB63" s="1">
        <f t="shared" si="154"/>
        <v>101.92757009345797</v>
      </c>
      <c r="AC63" s="1">
        <f t="shared" si="155"/>
        <v>101.92757009345797</v>
      </c>
      <c r="AD63" s="1">
        <f t="shared" si="156"/>
        <v>101.92757009345797</v>
      </c>
      <c r="AE63" s="1">
        <f t="shared" si="157"/>
        <v>100.78855140186914</v>
      </c>
      <c r="AF63" s="1">
        <f t="shared" si="158"/>
        <v>0.99217618081715464</v>
      </c>
      <c r="AH63" s="1" t="str">
        <f t="shared" si="159"/>
        <v>C1312.26690</v>
      </c>
      <c r="AI63" s="1">
        <f t="shared" si="160"/>
        <v>99.217618081715457</v>
      </c>
      <c r="AJ63" s="1">
        <f t="shared" si="161"/>
        <v>99.217618081715457</v>
      </c>
      <c r="AK63" s="1">
        <f t="shared" si="162"/>
        <v>99.217618081715457</v>
      </c>
      <c r="AL63" s="1">
        <f t="shared" si="163"/>
        <v>99.565343378730788</v>
      </c>
      <c r="AM63" s="1">
        <f t="shared" si="164"/>
        <v>99.565343378730788</v>
      </c>
      <c r="AN63" s="1">
        <f t="shared" si="165"/>
        <v>99.565343378730788</v>
      </c>
      <c r="AO63" s="1">
        <f t="shared" si="166"/>
        <v>99.565343378730788</v>
      </c>
      <c r="AP63" s="1">
        <f t="shared" si="167"/>
        <v>99.565343378730788</v>
      </c>
      <c r="AQ63" s="1">
        <f t="shared" si="168"/>
        <v>101.13010721529996</v>
      </c>
      <c r="AR63" s="1">
        <f t="shared" si="169"/>
        <v>101.13010721529996</v>
      </c>
      <c r="AS63" s="1">
        <f t="shared" si="170"/>
        <v>101.13010721529996</v>
      </c>
      <c r="AT63" s="1">
        <f t="shared" si="171"/>
        <v>101.13010721529996</v>
      </c>
      <c r="AU63" s="1">
        <f t="shared" ref="AU63:AW63" si="176">AT63*O63</f>
        <v>101.13010721529996</v>
      </c>
      <c r="AV63" s="1">
        <f t="shared" si="176"/>
        <v>101.13010721529996</v>
      </c>
      <c r="AW63" s="1">
        <f t="shared" si="176"/>
        <v>97.583364118649598</v>
      </c>
      <c r="AX63" s="1" t="b">
        <f t="shared" si="173"/>
        <v>1</v>
      </c>
      <c r="AY63" s="1" t="s">
        <v>70</v>
      </c>
      <c r="AZ63" s="1" t="str">
        <f t="shared" si="46"/>
        <v>C13</v>
      </c>
      <c r="BA63" s="1" t="str">
        <f t="shared" si="47"/>
        <v>C1312</v>
      </c>
      <c r="BB63" s="1" t="s">
        <v>282</v>
      </c>
      <c r="BC63" s="1" t="s">
        <v>283</v>
      </c>
      <c r="BD63" s="1">
        <v>1.6374465035719577E-3</v>
      </c>
      <c r="BE63" s="1">
        <f t="shared" si="79"/>
        <v>0.16246354182064282</v>
      </c>
      <c r="BF63" s="1">
        <f t="shared" si="80"/>
        <v>0.16246354182064282</v>
      </c>
      <c r="BG63" s="1">
        <f t="shared" si="81"/>
        <v>0.16246354182064282</v>
      </c>
      <c r="BH63" s="1">
        <f t="shared" si="82"/>
        <v>0.1630329233924441</v>
      </c>
      <c r="BI63" s="1">
        <f t="shared" si="83"/>
        <v>0.1630329233924441</v>
      </c>
      <c r="BJ63" s="1">
        <f t="shared" si="84"/>
        <v>0.1630329233924441</v>
      </c>
      <c r="BK63" s="1">
        <f t="shared" si="85"/>
        <v>0.1630329233924441</v>
      </c>
      <c r="BL63" s="1">
        <f t="shared" si="86"/>
        <v>0.1630329233924441</v>
      </c>
      <c r="BM63" s="1">
        <f t="shared" si="87"/>
        <v>0.16559514046555013</v>
      </c>
      <c r="BN63" s="1">
        <f t="shared" si="88"/>
        <v>0.16559514046555013</v>
      </c>
      <c r="BO63" s="1">
        <f t="shared" si="89"/>
        <v>0.16559514046555013</v>
      </c>
      <c r="BP63" s="1">
        <f t="shared" si="90"/>
        <v>0.16559514046555013</v>
      </c>
      <c r="BQ63" s="1">
        <f t="shared" si="91"/>
        <v>0.16559514046555013</v>
      </c>
      <c r="BR63" s="1">
        <f t="shared" si="92"/>
        <v>0.16559514046555013</v>
      </c>
      <c r="BS63" s="1">
        <f t="shared" si="93"/>
        <v>0.15978753838287202</v>
      </c>
      <c r="BV63" s="1" t="s">
        <v>70</v>
      </c>
      <c r="BW63" s="1">
        <f>((AJ63-AI63)/BE$154)*$BD63</f>
        <v>0</v>
      </c>
      <c r="BX63" s="1">
        <f>((AK63-AJ63)/BF$154)*$BD63</f>
        <v>0</v>
      </c>
      <c r="BY63" s="1">
        <f>((AL63-AK63)/BG$154)*$BD63</f>
        <v>5.7254282097823506E-6</v>
      </c>
      <c r="BZ63" s="1">
        <f>((AM63-AL63)/BH$154)*$BD63</f>
        <v>0</v>
      </c>
      <c r="CA63" s="1">
        <f>((AN63-AM63)/BI$154)*$BD63</f>
        <v>0</v>
      </c>
      <c r="CB63" s="1">
        <f>((AO63-AN63)/BJ$154)*$BD63</f>
        <v>0</v>
      </c>
      <c r="CC63" s="1">
        <f>((AP63-AO63)/BK$154)*$BD63</f>
        <v>0</v>
      </c>
      <c r="CD63" s="1">
        <f>((AQ63-AP63)/BL$154)*$BD63</f>
        <v>2.5620605049835109E-5</v>
      </c>
      <c r="CE63" s="1">
        <f>((AR63-AQ63)/BM$154)*$BD63</f>
        <v>0</v>
      </c>
      <c r="CF63" s="1">
        <f>((AS63-AR63)/BN$154)*$BD63</f>
        <v>0</v>
      </c>
      <c r="CG63" s="1">
        <f>((AT63-AS63)/BO$154)*$BD63</f>
        <v>0</v>
      </c>
      <c r="CH63" s="1">
        <f>((AU63-AT63)/BP$154)*$BD63</f>
        <v>0</v>
      </c>
      <c r="CI63" s="1">
        <f>((AV63-AU63)/BQ$154)*$BD63</f>
        <v>0</v>
      </c>
      <c r="CJ63" s="1">
        <f>((AW63-AV63)/BR$154)*$BD63</f>
        <v>-5.7343333018469642E-5</v>
      </c>
    </row>
    <row r="64" spans="1:88" x14ac:dyDescent="0.35">
      <c r="A64" s="1" t="s">
        <v>71</v>
      </c>
      <c r="B64" s="1">
        <v>1</v>
      </c>
      <c r="C64" s="1">
        <v>1</v>
      </c>
      <c r="D64" s="1">
        <v>0.99930454003822133</v>
      </c>
      <c r="E64" s="1">
        <v>0.99929599595249108</v>
      </c>
      <c r="F64" s="1">
        <v>1.0177480028604931</v>
      </c>
      <c r="G64" s="1">
        <v>0.99892750182169876</v>
      </c>
      <c r="H64" s="1">
        <v>0.99974485497596233</v>
      </c>
      <c r="I64" s="1">
        <v>0.99908993922306255</v>
      </c>
      <c r="J64" s="1">
        <v>0.99907444829605496</v>
      </c>
      <c r="K64" s="1">
        <v>1.015293912881885</v>
      </c>
      <c r="L64" s="1">
        <v>0.9993263292764194</v>
      </c>
      <c r="M64" s="1">
        <v>1.0296395622108849</v>
      </c>
      <c r="N64" s="1">
        <v>0.9985640483031738</v>
      </c>
      <c r="O64" s="1">
        <v>1.002337532757021</v>
      </c>
      <c r="P64" s="1">
        <v>0.99889869418328603</v>
      </c>
      <c r="Q64" s="1">
        <v>1.001635605837337</v>
      </c>
      <c r="S64" s="1">
        <f t="shared" si="145"/>
        <v>100</v>
      </c>
      <c r="T64" s="1">
        <f t="shared" si="146"/>
        <v>99.930454003822135</v>
      </c>
      <c r="U64" s="1">
        <f t="shared" si="147"/>
        <v>99.860102559734045</v>
      </c>
      <c r="V64" s="1">
        <f t="shared" si="148"/>
        <v>101.63241994561334</v>
      </c>
      <c r="W64" s="1">
        <f t="shared" si="149"/>
        <v>101.52341936036532</v>
      </c>
      <c r="X64" s="1">
        <f t="shared" si="150"/>
        <v>101.49751616509224</v>
      </c>
      <c r="Y64" s="1">
        <f t="shared" si="151"/>
        <v>101.40514725667381</v>
      </c>
      <c r="Z64" s="1">
        <f t="shared" si="152"/>
        <v>101.3112915498416</v>
      </c>
      <c r="AA64" s="1">
        <f t="shared" si="153"/>
        <v>102.86073761675613</v>
      </c>
      <c r="AB64" s="1">
        <f t="shared" si="154"/>
        <v>102.79144334921781</v>
      </c>
      <c r="AC64" s="1">
        <f t="shared" si="155"/>
        <v>105.83813672911361</v>
      </c>
      <c r="AD64" s="1">
        <f t="shared" si="156"/>
        <v>105.68615827708852</v>
      </c>
      <c r="AE64" s="1">
        <f t="shared" si="157"/>
        <v>102.02806890110988</v>
      </c>
      <c r="AF64" s="1">
        <f t="shared" si="158"/>
        <v>0.98012244156972561</v>
      </c>
      <c r="AH64" s="1" t="str">
        <f t="shared" si="159"/>
        <v>C1312.26720</v>
      </c>
      <c r="AI64" s="1">
        <f t="shared" si="160"/>
        <v>98.012244156972557</v>
      </c>
      <c r="AJ64" s="1">
        <f t="shared" si="161"/>
        <v>97.944080565397314</v>
      </c>
      <c r="AK64" s="1">
        <f t="shared" si="162"/>
        <v>97.875127536249735</v>
      </c>
      <c r="AL64" s="1">
        <f t="shared" si="163"/>
        <v>99.612215579734226</v>
      </c>
      <c r="AM64" s="1">
        <f t="shared" si="164"/>
        <v>99.505381659988416</v>
      </c>
      <c r="AN64" s="1">
        <f t="shared" si="165"/>
        <v>99.479993356992892</v>
      </c>
      <c r="AO64" s="1">
        <f t="shared" si="166"/>
        <v>99.389460516948702</v>
      </c>
      <c r="AP64" s="1">
        <f t="shared" si="167"/>
        <v>99.297470432413064</v>
      </c>
      <c r="AQ64" s="1">
        <f t="shared" si="168"/>
        <v>100.81611729459793</v>
      </c>
      <c r="AR64" s="1">
        <f t="shared" si="169"/>
        <v>100.7482004279115</v>
      </c>
      <c r="AS64" s="1">
        <f t="shared" si="170"/>
        <v>103.73433298212929</v>
      </c>
      <c r="AT64" s="1">
        <f t="shared" si="171"/>
        <v>103.58537549066448</v>
      </c>
      <c r="AU64" s="1">
        <f t="shared" ref="AU64:AW64" si="177">AT64*O64</f>
        <v>103.82750969902222</v>
      </c>
      <c r="AV64" s="1">
        <f t="shared" si="177"/>
        <v>103.71316385865576</v>
      </c>
      <c r="AW64" s="1">
        <f t="shared" si="177"/>
        <v>103.88279771487167</v>
      </c>
      <c r="AX64" s="1" t="b">
        <f t="shared" si="173"/>
        <v>1</v>
      </c>
      <c r="AY64" s="1" t="s">
        <v>71</v>
      </c>
      <c r="AZ64" s="1" t="str">
        <f t="shared" si="46"/>
        <v>C13</v>
      </c>
      <c r="BA64" s="1" t="str">
        <f t="shared" si="47"/>
        <v>C1312</v>
      </c>
      <c r="BB64" s="1" t="s">
        <v>284</v>
      </c>
      <c r="BC64" s="1" t="s">
        <v>285</v>
      </c>
      <c r="BD64" s="1">
        <v>1.6374465035719577E-3</v>
      </c>
      <c r="BE64" s="1">
        <f t="shared" si="79"/>
        <v>0.16048980650207575</v>
      </c>
      <c r="BF64" s="1">
        <f t="shared" si="80"/>
        <v>0.16037819226737995</v>
      </c>
      <c r="BG64" s="1">
        <f t="shared" si="81"/>
        <v>0.16026528537089157</v>
      </c>
      <c r="BH64" s="1">
        <f t="shared" si="82"/>
        <v>0.16310967411409188</v>
      </c>
      <c r="BI64" s="1">
        <f t="shared" si="83"/>
        <v>0.16293473928574123</v>
      </c>
      <c r="BJ64" s="1">
        <f t="shared" si="84"/>
        <v>0.16289316729776959</v>
      </c>
      <c r="BK64" s="1">
        <f t="shared" si="85"/>
        <v>0.16274492461538079</v>
      </c>
      <c r="BL64" s="1">
        <f t="shared" si="86"/>
        <v>0.16259429577309462</v>
      </c>
      <c r="BM64" s="1">
        <f t="shared" si="87"/>
        <v>0.16508099876773974</v>
      </c>
      <c r="BN64" s="1">
        <f t="shared" si="88"/>
        <v>0.16496978853185049</v>
      </c>
      <c r="BO64" s="1">
        <f t="shared" si="89"/>
        <v>0.16985942084195682</v>
      </c>
      <c r="BP64" s="1">
        <f t="shared" si="90"/>
        <v>0.1696155109183769</v>
      </c>
      <c r="BQ64" s="1">
        <f t="shared" si="91"/>
        <v>0.17001199273124745</v>
      </c>
      <c r="BR64" s="1">
        <f t="shared" si="92"/>
        <v>0.16982475753474141</v>
      </c>
      <c r="BS64" s="1">
        <f t="shared" si="93"/>
        <v>0.17010252389948957</v>
      </c>
      <c r="BV64" s="1" t="s">
        <v>71</v>
      </c>
      <c r="BW64" s="1">
        <f>((AJ64-AI64)/BE$154)*$BD64</f>
        <v>-1.1212147931111127E-6</v>
      </c>
      <c r="BX64" s="1">
        <f>((AK64-AJ64)/BF$154)*$BD64</f>
        <v>-1.1348206717708504E-6</v>
      </c>
      <c r="BY64" s="1">
        <f>((AL64-AK64)/BG$154)*$BD64</f>
        <v>2.8601810027653134E-5</v>
      </c>
      <c r="BZ64" s="1">
        <f>((AM64-AL64)/BH$154)*$BD64</f>
        <v>-1.7551029447540734E-6</v>
      </c>
      <c r="CA64" s="1">
        <f>((AN64-AM64)/BI$154)*$BD64</f>
        <v>-4.1663983728159319E-7</v>
      </c>
      <c r="CB64" s="1">
        <f>((AO64-AN64)/BJ$154)*$BD64</f>
        <v>-1.4849207681651538E-6</v>
      </c>
      <c r="CC64" s="1">
        <f>((AP64-AO64)/BK$154)*$BD64</f>
        <v>-1.5083892083881029E-6</v>
      </c>
      <c r="CD64" s="1">
        <f>((AQ64-AP64)/BL$154)*$BD64</f>
        <v>2.486551040923795E-5</v>
      </c>
      <c r="CE64" s="1">
        <f>((AR64-AQ64)/BM$154)*$BD64</f>
        <v>-1.1076031218555276E-6</v>
      </c>
      <c r="CF64" s="1">
        <f>((AS64-AR64)/BN$154)*$BD64</f>
        <v>4.8658174057145657E-5</v>
      </c>
      <c r="CG64" s="1">
        <f>((AT64-AS64)/BO$154)*$BD64</f>
        <v>-2.4216636614842397E-6</v>
      </c>
      <c r="CH64" s="1">
        <f>((AU64-AT64)/BP$154)*$BD64</f>
        <v>3.9354769357293417E-6</v>
      </c>
      <c r="CI64" s="1">
        <f>((AV64-AU64)/BQ$154)*$BD64</f>
        <v>-1.852051614886503E-6</v>
      </c>
      <c r="CJ64" s="1">
        <f>((AW64-AV64)/BR$154)*$BD64</f>
        <v>2.7426206080115891E-6</v>
      </c>
    </row>
    <row r="65" spans="1:88" x14ac:dyDescent="0.35">
      <c r="A65" s="1" t="s">
        <v>72</v>
      </c>
      <c r="B65" s="1">
        <v>1.018772969547072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0.9979231545598285</v>
      </c>
      <c r="O65" s="1">
        <v>1.0307764064044149</v>
      </c>
      <c r="P65" s="1">
        <v>1</v>
      </c>
      <c r="Q65" s="1">
        <v>1</v>
      </c>
      <c r="S65" s="1">
        <f t="shared" si="145"/>
        <v>100</v>
      </c>
      <c r="T65" s="1">
        <f t="shared" si="146"/>
        <v>100</v>
      </c>
      <c r="U65" s="1">
        <f t="shared" si="147"/>
        <v>100</v>
      </c>
      <c r="V65" s="1">
        <f t="shared" si="148"/>
        <v>100</v>
      </c>
      <c r="W65" s="1">
        <f t="shared" si="149"/>
        <v>100</v>
      </c>
      <c r="X65" s="1">
        <f t="shared" si="150"/>
        <v>100</v>
      </c>
      <c r="Y65" s="1">
        <f t="shared" si="151"/>
        <v>100</v>
      </c>
      <c r="Z65" s="1">
        <f t="shared" si="152"/>
        <v>100</v>
      </c>
      <c r="AA65" s="1">
        <f t="shared" si="153"/>
        <v>100</v>
      </c>
      <c r="AB65" s="1">
        <f t="shared" si="154"/>
        <v>100</v>
      </c>
      <c r="AC65" s="1">
        <f t="shared" si="155"/>
        <v>100</v>
      </c>
      <c r="AD65" s="1">
        <f t="shared" si="156"/>
        <v>99.792315455982845</v>
      </c>
      <c r="AE65" s="1">
        <f t="shared" si="157"/>
        <v>99.982692954665239</v>
      </c>
      <c r="AF65" s="1">
        <f t="shared" si="158"/>
        <v>1.0001731004119143</v>
      </c>
      <c r="AH65" s="1" t="str">
        <f t="shared" si="159"/>
        <v>C1312.26730</v>
      </c>
      <c r="AI65" s="1">
        <f t="shared" si="160"/>
        <v>100.01731004119144</v>
      </c>
      <c r="AJ65" s="1">
        <f t="shared" si="161"/>
        <v>100.01731004119144</v>
      </c>
      <c r="AK65" s="1">
        <f t="shared" si="162"/>
        <v>100.01731004119144</v>
      </c>
      <c r="AL65" s="1">
        <f t="shared" si="163"/>
        <v>100.01731004119144</v>
      </c>
      <c r="AM65" s="1">
        <f t="shared" si="164"/>
        <v>100.01731004119144</v>
      </c>
      <c r="AN65" s="1">
        <f t="shared" si="165"/>
        <v>100.01731004119144</v>
      </c>
      <c r="AO65" s="1">
        <f t="shared" si="166"/>
        <v>100.01731004119144</v>
      </c>
      <c r="AP65" s="1">
        <f t="shared" si="167"/>
        <v>100.01731004119144</v>
      </c>
      <c r="AQ65" s="1">
        <f t="shared" si="168"/>
        <v>100.01731004119144</v>
      </c>
      <c r="AR65" s="1">
        <f t="shared" si="169"/>
        <v>100.01731004119144</v>
      </c>
      <c r="AS65" s="1">
        <f t="shared" si="170"/>
        <v>100.01731004119144</v>
      </c>
      <c r="AT65" s="1">
        <f t="shared" si="171"/>
        <v>99.809589546894159</v>
      </c>
      <c r="AU65" s="1">
        <f t="shared" ref="AU65:AW65" si="178">AT65*O65</f>
        <v>102.88137003784722</v>
      </c>
      <c r="AV65" s="1">
        <f t="shared" si="178"/>
        <v>102.88137003784722</v>
      </c>
      <c r="AW65" s="1">
        <f t="shared" si="178"/>
        <v>102.88137003784722</v>
      </c>
      <c r="AX65" s="1" t="b">
        <f t="shared" si="173"/>
        <v>1</v>
      </c>
      <c r="AY65" s="1" t="s">
        <v>72</v>
      </c>
      <c r="AZ65" s="1" t="str">
        <f t="shared" si="46"/>
        <v>C13</v>
      </c>
      <c r="BA65" s="1" t="str">
        <f t="shared" si="47"/>
        <v>C1312</v>
      </c>
      <c r="BB65" s="1" t="s">
        <v>286</v>
      </c>
      <c r="BC65" s="1" t="s">
        <v>287</v>
      </c>
      <c r="BD65" s="1">
        <v>1.6374465035719577E-3</v>
      </c>
      <c r="BE65" s="1">
        <f t="shared" si="79"/>
        <v>0.16377299462362138</v>
      </c>
      <c r="BF65" s="1">
        <f t="shared" si="80"/>
        <v>0.16377299462362138</v>
      </c>
      <c r="BG65" s="1">
        <f t="shared" si="81"/>
        <v>0.16377299462362138</v>
      </c>
      <c r="BH65" s="1">
        <f t="shared" si="82"/>
        <v>0.16377299462362138</v>
      </c>
      <c r="BI65" s="1">
        <f t="shared" si="83"/>
        <v>0.16377299462362138</v>
      </c>
      <c r="BJ65" s="1">
        <f t="shared" si="84"/>
        <v>0.16377299462362138</v>
      </c>
      <c r="BK65" s="1">
        <f t="shared" si="85"/>
        <v>0.16377299462362138</v>
      </c>
      <c r="BL65" s="1">
        <f t="shared" si="86"/>
        <v>0.16377299462362138</v>
      </c>
      <c r="BM65" s="1">
        <f t="shared" si="87"/>
        <v>0.16377299462362138</v>
      </c>
      <c r="BN65" s="1">
        <f t="shared" si="88"/>
        <v>0.16377299462362138</v>
      </c>
      <c r="BO65" s="1">
        <f t="shared" si="89"/>
        <v>0.16377299462362138</v>
      </c>
      <c r="BP65" s="1">
        <f t="shared" si="90"/>
        <v>0.16343286342651406</v>
      </c>
      <c r="BQ65" s="1">
        <f t="shared" si="91"/>
        <v>0.1684627396511657</v>
      </c>
      <c r="BR65" s="1">
        <f t="shared" si="92"/>
        <v>0.1684627396511657</v>
      </c>
      <c r="BS65" s="1">
        <f t="shared" si="93"/>
        <v>0.1684627396511657</v>
      </c>
      <c r="BV65" s="1" t="s">
        <v>72</v>
      </c>
      <c r="BW65" s="1">
        <f>((AJ65-AI65)/BE$154)*$BD65</f>
        <v>0</v>
      </c>
      <c r="BX65" s="1">
        <f>((AK65-AJ65)/BF$154)*$BD65</f>
        <v>0</v>
      </c>
      <c r="BY65" s="1">
        <f>((AL65-AK65)/BG$154)*$BD65</f>
        <v>0</v>
      </c>
      <c r="BZ65" s="1">
        <f>((AM65-AL65)/BH$154)*$BD65</f>
        <v>0</v>
      </c>
      <c r="CA65" s="1">
        <f>((AN65-AM65)/BI$154)*$BD65</f>
        <v>0</v>
      </c>
      <c r="CB65" s="1">
        <f>((AO65-AN65)/BJ$154)*$BD65</f>
        <v>0</v>
      </c>
      <c r="CC65" s="1">
        <f>((AP65-AO65)/BK$154)*$BD65</f>
        <v>0</v>
      </c>
      <c r="CD65" s="1">
        <f>((AQ65-AP65)/BL$154)*$BD65</f>
        <v>0</v>
      </c>
      <c r="CE65" s="1">
        <f>((AR65-AQ65)/BM$154)*$BD65</f>
        <v>0</v>
      </c>
      <c r="CF65" s="1">
        <f>((AS65-AR65)/BN$154)*$BD65</f>
        <v>0</v>
      </c>
      <c r="CG65" s="1">
        <f>((AT65-AS65)/BO$154)*$BD65</f>
        <v>-3.3769981478513704E-6</v>
      </c>
      <c r="CH65" s="1">
        <f>((AU65-AT65)/BP$154)*$BD65</f>
        <v>4.9926531883955868E-5</v>
      </c>
      <c r="CI65" s="1">
        <f>((AV65-AU65)/BQ$154)*$BD65</f>
        <v>0</v>
      </c>
      <c r="CJ65" s="1">
        <f>((AW65-AV65)/BR$154)*$BD65</f>
        <v>0</v>
      </c>
    </row>
    <row r="66" spans="1:88" x14ac:dyDescent="0.35">
      <c r="A66" s="1" t="s">
        <v>73</v>
      </c>
      <c r="B66" s="1">
        <v>1.002247658288014</v>
      </c>
      <c r="C66" s="1">
        <v>1</v>
      </c>
      <c r="D66" s="1">
        <v>1.0007099986661718</v>
      </c>
      <c r="E66" s="1">
        <v>1.0042388132965241</v>
      </c>
      <c r="F66" s="1">
        <v>0.99427325481381512</v>
      </c>
      <c r="G66" s="1">
        <v>1.0030321447680193</v>
      </c>
      <c r="H66" s="1">
        <v>0.99875817177107484</v>
      </c>
      <c r="I66" s="1">
        <v>0.99506322186307583</v>
      </c>
      <c r="J66" s="1">
        <v>1.0030651788341955</v>
      </c>
      <c r="K66" s="1">
        <v>1.0016046998887436</v>
      </c>
      <c r="L66" s="1">
        <v>1.0024384983920243</v>
      </c>
      <c r="M66" s="1">
        <v>0.99369073438970978</v>
      </c>
      <c r="N66" s="1">
        <v>0.98549025380947364</v>
      </c>
      <c r="O66" s="1">
        <v>1.0122862618646757</v>
      </c>
      <c r="P66" s="1">
        <v>0.99949996088385507</v>
      </c>
      <c r="Q66" s="1">
        <v>1.0053284597506527</v>
      </c>
      <c r="S66" s="1">
        <f t="shared" si="145"/>
        <v>100</v>
      </c>
      <c r="T66" s="1">
        <f t="shared" si="146"/>
        <v>100.07099986661719</v>
      </c>
      <c r="U66" s="1">
        <f t="shared" si="147"/>
        <v>100.49518215144826</v>
      </c>
      <c r="V66" s="1">
        <f t="shared" si="148"/>
        <v>99.919671850827683</v>
      </c>
      <c r="W66" s="1">
        <f t="shared" si="149"/>
        <v>100.22264276105237</v>
      </c>
      <c r="X66" s="1">
        <f t="shared" si="150"/>
        <v>100.09818345409421</v>
      </c>
      <c r="Y66" s="1">
        <f t="shared" si="151"/>
        <v>99.604020930472217</v>
      </c>
      <c r="Z66" s="1">
        <f t="shared" si="152"/>
        <v>99.909325067229076</v>
      </c>
      <c r="AA66" s="1">
        <f t="shared" si="153"/>
        <v>100.06964955004891</v>
      </c>
      <c r="AB66" s="1">
        <f t="shared" si="154"/>
        <v>100.31366922956714</v>
      </c>
      <c r="AC66" s="1">
        <f t="shared" si="155"/>
        <v>99.680763646054999</v>
      </c>
      <c r="AD66" s="1">
        <f t="shared" si="156"/>
        <v>98.234421065472887</v>
      </c>
      <c r="AE66" s="1">
        <f t="shared" si="157"/>
        <v>99.884877464407069</v>
      </c>
      <c r="AF66" s="1">
        <f t="shared" si="158"/>
        <v>1.0011525522032498</v>
      </c>
      <c r="AH66" s="1" t="str">
        <f t="shared" si="159"/>
        <v>C1392.27120</v>
      </c>
      <c r="AI66" s="1">
        <f t="shared" si="160"/>
        <v>100.11525522032498</v>
      </c>
      <c r="AJ66" s="1">
        <f t="shared" si="161"/>
        <v>100.18633691799486</v>
      </c>
      <c r="AK66" s="1">
        <f t="shared" si="162"/>
        <v>100.61100809505291</v>
      </c>
      <c r="AL66" s="1">
        <f t="shared" si="163"/>
        <v>100.03483448876736</v>
      </c>
      <c r="AM66" s="1">
        <f t="shared" si="164"/>
        <v>100.33815458878215</v>
      </c>
      <c r="AN66" s="1">
        <f t="shared" si="165"/>
        <v>100.21355183597554</v>
      </c>
      <c r="AO66" s="1">
        <f t="shared" si="166"/>
        <v>99.718819764248181</v>
      </c>
      <c r="AP66" s="1">
        <f t="shared" si="167"/>
        <v>100.02447577996051</v>
      </c>
      <c r="AQ66" s="1">
        <f t="shared" si="168"/>
        <v>100.18498504511625</v>
      </c>
      <c r="AR66" s="1">
        <f t="shared" si="169"/>
        <v>100.42928597005375</v>
      </c>
      <c r="AS66" s="1">
        <f t="shared" si="170"/>
        <v>99.795650929816887</v>
      </c>
      <c r="AT66" s="1">
        <f t="shared" si="171"/>
        <v>98.347641363906874</v>
      </c>
      <c r="AU66" s="1">
        <f t="shared" ref="AU66:AW66" si="179">AT66*O66</f>
        <v>99.555966239477044</v>
      </c>
      <c r="AV66" s="1">
        <f t="shared" si="179"/>
        <v>99.506184362111696</v>
      </c>
      <c r="AW66" s="1">
        <f t="shared" si="179"/>
        <v>100.03639906042623</v>
      </c>
      <c r="AX66" s="1" t="b">
        <f t="shared" si="173"/>
        <v>1</v>
      </c>
      <c r="AY66" s="1" t="s">
        <v>73</v>
      </c>
      <c r="AZ66" s="1" t="str">
        <f t="shared" si="46"/>
        <v>C13</v>
      </c>
      <c r="BA66" s="1" t="str">
        <f t="shared" si="47"/>
        <v>C1392</v>
      </c>
      <c r="BB66" s="1">
        <v>27120</v>
      </c>
      <c r="BC66" s="1" t="s">
        <v>288</v>
      </c>
      <c r="BD66" s="1">
        <v>5.3208621750274361E-3</v>
      </c>
      <c r="BE66" s="1">
        <f t="shared" si="79"/>
        <v>0.5326994746450453</v>
      </c>
      <c r="BF66" s="1">
        <f t="shared" si="80"/>
        <v>0.53307769056151366</v>
      </c>
      <c r="BG66" s="1">
        <f t="shared" si="81"/>
        <v>0.53533730736434626</v>
      </c>
      <c r="BH66" s="1">
        <f t="shared" si="82"/>
        <v>0.53227156701641232</v>
      </c>
      <c r="BI66" s="1">
        <f t="shared" si="83"/>
        <v>0.5338854914635065</v>
      </c>
      <c r="BJ66" s="1">
        <f t="shared" si="84"/>
        <v>0.53322249738919347</v>
      </c>
      <c r="BK66" s="1">
        <f t="shared" si="85"/>
        <v>0.53059009622196651</v>
      </c>
      <c r="BL66" s="1">
        <f t="shared" si="86"/>
        <v>0.53221644975453974</v>
      </c>
      <c r="BM66" s="1">
        <f t="shared" si="87"/>
        <v>0.53307049743224844</v>
      </c>
      <c r="BN66" s="1">
        <f t="shared" si="88"/>
        <v>0.53437038898307254</v>
      </c>
      <c r="BO66" s="1">
        <f t="shared" si="89"/>
        <v>0.53099890426470431</v>
      </c>
      <c r="BP66" s="1">
        <f t="shared" si="90"/>
        <v>0.52329424493637577</v>
      </c>
      <c r="BQ66" s="1">
        <f t="shared" si="91"/>
        <v>0.52972357506194179</v>
      </c>
      <c r="BR66" s="1">
        <f t="shared" si="92"/>
        <v>0.52945869255366673</v>
      </c>
      <c r="BS66" s="1">
        <f t="shared" si="93"/>
        <v>0.5322798918865721</v>
      </c>
      <c r="BV66" s="1" t="s">
        <v>73</v>
      </c>
      <c r="BW66" s="1">
        <f>((AJ66-AI66)/BE$154)*$BD66</f>
        <v>3.799347652118656E-6</v>
      </c>
      <c r="BX66" s="1">
        <f>((AK66-AJ66)/BF$154)*$BD66</f>
        <v>2.2711277502863556E-5</v>
      </c>
      <c r="BY66" s="1">
        <f>((AL66-AK66)/BG$154)*$BD66</f>
        <v>-3.082761568204599E-5</v>
      </c>
      <c r="BZ66" s="1">
        <f>((AM66-AL66)/BH$154)*$BD66</f>
        <v>1.6192336176919466E-5</v>
      </c>
      <c r="CA66" s="1">
        <f>((AN66-AM66)/BI$154)*$BD66</f>
        <v>-6.6446123151201836E-6</v>
      </c>
      <c r="CB66" s="1">
        <f>((AO66-AN66)/BJ$154)*$BD66</f>
        <v>-2.636829758048815E-5</v>
      </c>
      <c r="CC66" s="1">
        <f>((AP66-AO66)/BK$154)*$BD66</f>
        <v>1.6286217701234545E-5</v>
      </c>
      <c r="CD66" s="1">
        <f>((AQ66-AP66)/BL$154)*$BD66</f>
        <v>8.5399548984255299E-6</v>
      </c>
      <c r="CE66" s="1">
        <f>((AR66-AQ66)/BM$154)*$BD66</f>
        <v>1.29463257428945E-5</v>
      </c>
      <c r="CF66" s="1">
        <f>((AS66-AR66)/BN$154)*$BD66</f>
        <v>-3.3550639363679732E-5</v>
      </c>
      <c r="CG66" s="1">
        <f>((AT66-AS66)/BO$154)*$BD66</f>
        <v>-7.6495836027007895E-5</v>
      </c>
      <c r="CH66" s="1">
        <f>((AU66-AT66)/BP$154)*$BD66</f>
        <v>6.3817505872877214E-5</v>
      </c>
      <c r="CI66" s="1">
        <f>((AV66-AU66)/BQ$154)*$BD66</f>
        <v>-2.6201060824069171E-6</v>
      </c>
      <c r="CJ66" s="1">
        <f>((AW66-AV66)/BR$154)*$BD66</f>
        <v>2.7856070466810896E-5</v>
      </c>
    </row>
    <row r="67" spans="1:88" x14ac:dyDescent="0.35">
      <c r="A67" s="1" t="s">
        <v>74</v>
      </c>
      <c r="B67" s="1">
        <v>1.0033241835905613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0.96845026399596157</v>
      </c>
      <c r="O67" s="1">
        <v>1.0325777121155832</v>
      </c>
      <c r="P67" s="1">
        <v>1</v>
      </c>
      <c r="Q67" s="1">
        <v>1</v>
      </c>
      <c r="S67" s="1">
        <f t="shared" si="145"/>
        <v>100</v>
      </c>
      <c r="T67" s="1">
        <f t="shared" si="146"/>
        <v>100</v>
      </c>
      <c r="U67" s="1">
        <f t="shared" si="147"/>
        <v>100</v>
      </c>
      <c r="V67" s="1">
        <f t="shared" si="148"/>
        <v>100</v>
      </c>
      <c r="W67" s="1">
        <f t="shared" si="149"/>
        <v>100</v>
      </c>
      <c r="X67" s="1">
        <f t="shared" si="150"/>
        <v>100</v>
      </c>
      <c r="Y67" s="1">
        <f t="shared" si="151"/>
        <v>100</v>
      </c>
      <c r="Z67" s="1">
        <f t="shared" si="152"/>
        <v>100</v>
      </c>
      <c r="AA67" s="1">
        <f t="shared" si="153"/>
        <v>100</v>
      </c>
      <c r="AB67" s="1">
        <f t="shared" si="154"/>
        <v>100</v>
      </c>
      <c r="AC67" s="1">
        <f t="shared" si="155"/>
        <v>100</v>
      </c>
      <c r="AD67" s="1">
        <f t="shared" si="156"/>
        <v>96.845026399596151</v>
      </c>
      <c r="AE67" s="1">
        <f t="shared" si="157"/>
        <v>99.737085533299691</v>
      </c>
      <c r="AF67" s="1">
        <f t="shared" si="158"/>
        <v>1.0026360752902943</v>
      </c>
      <c r="AH67" s="1" t="str">
        <f t="shared" si="159"/>
        <v>C1392.27180</v>
      </c>
      <c r="AI67" s="1">
        <f t="shared" si="160"/>
        <v>100.26360752902943</v>
      </c>
      <c r="AJ67" s="1">
        <f t="shared" si="161"/>
        <v>100.26360752902943</v>
      </c>
      <c r="AK67" s="1">
        <f t="shared" si="162"/>
        <v>100.26360752902943</v>
      </c>
      <c r="AL67" s="1">
        <f t="shared" si="163"/>
        <v>100.26360752902943</v>
      </c>
      <c r="AM67" s="1">
        <f t="shared" si="164"/>
        <v>100.26360752902943</v>
      </c>
      <c r="AN67" s="1">
        <f t="shared" si="165"/>
        <v>100.26360752902943</v>
      </c>
      <c r="AO67" s="1">
        <f t="shared" si="166"/>
        <v>100.26360752902943</v>
      </c>
      <c r="AP67" s="1">
        <f t="shared" si="167"/>
        <v>100.26360752902943</v>
      </c>
      <c r="AQ67" s="1">
        <f t="shared" si="168"/>
        <v>100.26360752902943</v>
      </c>
      <c r="AR67" s="1">
        <f t="shared" si="169"/>
        <v>100.26360752902943</v>
      </c>
      <c r="AS67" s="1">
        <f t="shared" si="170"/>
        <v>100.26360752902943</v>
      </c>
      <c r="AT67" s="1">
        <f t="shared" si="171"/>
        <v>97.100317180676029</v>
      </c>
      <c r="AU67" s="1">
        <f t="shared" ref="AU67:AW67" si="180">AT67*O67</f>
        <v>100.26362336011991</v>
      </c>
      <c r="AV67" s="1">
        <f t="shared" si="180"/>
        <v>100.26362336011991</v>
      </c>
      <c r="AW67" s="1">
        <f t="shared" si="180"/>
        <v>100.26362336011991</v>
      </c>
      <c r="AX67" s="1" t="b">
        <f t="shared" si="173"/>
        <v>1</v>
      </c>
      <c r="AY67" s="1" t="s">
        <v>74</v>
      </c>
      <c r="AZ67" s="1" t="str">
        <f t="shared" si="46"/>
        <v>C13</v>
      </c>
      <c r="BA67" s="1" t="str">
        <f t="shared" si="47"/>
        <v>C1392</v>
      </c>
      <c r="BB67" s="1">
        <v>27180</v>
      </c>
      <c r="BC67" s="1" t="s">
        <v>289</v>
      </c>
      <c r="BD67" s="1">
        <v>4.4340518125228637E-3</v>
      </c>
      <c r="BE67" s="1">
        <f t="shared" ref="BE67:BE98" si="181">$BD67*AI67</f>
        <v>0.444574030694174</v>
      </c>
      <c r="BF67" s="1">
        <f t="shared" ref="BF67:BF98" si="182">$BD67*AJ67</f>
        <v>0.444574030694174</v>
      </c>
      <c r="BG67" s="1">
        <f t="shared" ref="BG67:BG98" si="183">$BD67*AK67</f>
        <v>0.444574030694174</v>
      </c>
      <c r="BH67" s="1">
        <f t="shared" ref="BH67:BH98" si="184">$BD67*AL67</f>
        <v>0.444574030694174</v>
      </c>
      <c r="BI67" s="1">
        <f t="shared" ref="BI67:BI98" si="185">$BD67*AM67</f>
        <v>0.444574030694174</v>
      </c>
      <c r="BJ67" s="1">
        <f t="shared" ref="BJ67:BJ98" si="186">$BD67*AN67</f>
        <v>0.444574030694174</v>
      </c>
      <c r="BK67" s="1">
        <f t="shared" ref="BK67:BK98" si="187">$BD67*AO67</f>
        <v>0.444574030694174</v>
      </c>
      <c r="BL67" s="1">
        <f t="shared" ref="BL67:BL98" si="188">$BD67*AP67</f>
        <v>0.444574030694174</v>
      </c>
      <c r="BM67" s="1">
        <f t="shared" ref="BM67:BM98" si="189">$BD67*AQ67</f>
        <v>0.444574030694174</v>
      </c>
      <c r="BN67" s="1">
        <f t="shared" ref="BN67:BN98" si="190">$BD67*AR67</f>
        <v>0.444574030694174</v>
      </c>
      <c r="BO67" s="1">
        <f t="shared" ref="BO67:BO98" si="191">$BD67*AS67</f>
        <v>0.444574030694174</v>
      </c>
      <c r="BP67" s="1">
        <f t="shared" ref="BP67:BP98" si="192">$BD67*AT67</f>
        <v>0.43054783739152153</v>
      </c>
      <c r="BQ67" s="1">
        <f t="shared" ref="BQ67:BQ98" si="193">$BD67*AU67</f>
        <v>0.4445741008900494</v>
      </c>
      <c r="BR67" s="1">
        <f t="shared" ref="BR67:BR98" si="194">$BD67*AV67</f>
        <v>0.4445741008900494</v>
      </c>
      <c r="BS67" s="1">
        <f t="shared" ref="BS67:BS98" si="195">$BD67*AW67</f>
        <v>0.4445741008900494</v>
      </c>
      <c r="BV67" s="1" t="s">
        <v>74</v>
      </c>
      <c r="BW67" s="1">
        <f>((AJ67-AI67)/BE$154)*$BD67</f>
        <v>0</v>
      </c>
      <c r="BX67" s="1">
        <f>((AK67-AJ67)/BF$154)*$BD67</f>
        <v>0</v>
      </c>
      <c r="BY67" s="1">
        <f>((AL67-AK67)/BG$154)*$BD67</f>
        <v>0</v>
      </c>
      <c r="BZ67" s="1">
        <f>((AM67-AL67)/BH$154)*$BD67</f>
        <v>0</v>
      </c>
      <c r="CA67" s="1">
        <f>((AN67-AM67)/BI$154)*$BD67</f>
        <v>0</v>
      </c>
      <c r="CB67" s="1">
        <f>((AO67-AN67)/BJ$154)*$BD67</f>
        <v>0</v>
      </c>
      <c r="CC67" s="1">
        <f>((AP67-AO67)/BK$154)*$BD67</f>
        <v>0</v>
      </c>
      <c r="CD67" s="1">
        <f>((AQ67-AP67)/BL$154)*$BD67</f>
        <v>0</v>
      </c>
      <c r="CE67" s="1">
        <f>((AR67-AQ67)/BM$154)*$BD67</f>
        <v>0</v>
      </c>
      <c r="CF67" s="1">
        <f>((AS67-AR67)/BN$154)*$BD67</f>
        <v>0</v>
      </c>
      <c r="CG67" s="1">
        <f>((AT67-AS67)/BO$154)*$BD67</f>
        <v>-1.3925928937802805E-4</v>
      </c>
      <c r="CH67" s="1">
        <f>((AU67-AT67)/BP$154)*$BD67</f>
        <v>1.3922463704770793E-4</v>
      </c>
      <c r="CI67" s="1">
        <f>((AV67-AU67)/BQ$154)*$BD67</f>
        <v>0</v>
      </c>
      <c r="CJ67" s="1">
        <f>((AW67-AV67)/BR$154)*$BD67</f>
        <v>0</v>
      </c>
    </row>
    <row r="68" spans="1:88" x14ac:dyDescent="0.35">
      <c r="A68" s="1" t="s">
        <v>75</v>
      </c>
      <c r="B68" s="1">
        <v>1</v>
      </c>
      <c r="C68" s="1">
        <v>1</v>
      </c>
      <c r="D68" s="1">
        <v>0.99490742522183884</v>
      </c>
      <c r="E68" s="1">
        <v>1.009342526128937</v>
      </c>
      <c r="F68" s="1">
        <v>0.98834656771346585</v>
      </c>
      <c r="G68" s="1">
        <v>1.0128480225205478</v>
      </c>
      <c r="H68" s="1">
        <v>0.99796949915266964</v>
      </c>
      <c r="I68" s="1">
        <v>0.98258642270605712</v>
      </c>
      <c r="J68" s="1">
        <v>1.0038975849372618</v>
      </c>
      <c r="K68" s="1">
        <v>1.0113657177603861</v>
      </c>
      <c r="L68" s="1">
        <v>0.99014733523478682</v>
      </c>
      <c r="M68" s="1">
        <v>1.0014567975163666</v>
      </c>
      <c r="N68" s="1">
        <v>0.9925895719369543</v>
      </c>
      <c r="O68" s="1">
        <v>1.0035668658531074</v>
      </c>
      <c r="P68" s="1">
        <v>1.0034343944214474</v>
      </c>
      <c r="Q68" s="1">
        <v>1.0015634167264802</v>
      </c>
      <c r="S68" s="1">
        <f t="shared" si="145"/>
        <v>100</v>
      </c>
      <c r="T68" s="1">
        <f t="shared" si="146"/>
        <v>99.490742522183879</v>
      </c>
      <c r="U68" s="1">
        <f t="shared" si="147"/>
        <v>100.42023738378472</v>
      </c>
      <c r="V68" s="1">
        <f t="shared" si="148"/>
        <v>99.249996947235104</v>
      </c>
      <c r="W68" s="1">
        <f t="shared" si="149"/>
        <v>100.52516314317748</v>
      </c>
      <c r="X68" s="1">
        <f t="shared" si="150"/>
        <v>100.32104671423724</v>
      </c>
      <c r="Y68" s="1">
        <f t="shared" si="151"/>
        <v>98.574098413069621</v>
      </c>
      <c r="Z68" s="1">
        <f t="shared" si="152"/>
        <v>98.958299334248565</v>
      </c>
      <c r="AA68" s="1">
        <f t="shared" si="153"/>
        <v>100.08303143452943</v>
      </c>
      <c r="AB68" s="1">
        <f t="shared" si="154"/>
        <v>99.096946877118725</v>
      </c>
      <c r="AC68" s="1">
        <f t="shared" si="155"/>
        <v>99.241311063208826</v>
      </c>
      <c r="AD68" s="1">
        <f t="shared" si="156"/>
        <v>98.505890466692577</v>
      </c>
      <c r="AE68" s="1">
        <f t="shared" si="157"/>
        <v>99.538897024957166</v>
      </c>
      <c r="AF68" s="1">
        <f t="shared" si="158"/>
        <v>1.004632389837786</v>
      </c>
      <c r="AH68" s="1" t="str">
        <f t="shared" si="159"/>
        <v>C1392.27190</v>
      </c>
      <c r="AI68" s="1">
        <f t="shared" si="160"/>
        <v>100.46323898377861</v>
      </c>
      <c r="AJ68" s="1">
        <f t="shared" si="161"/>
        <v>99.951622426797428</v>
      </c>
      <c r="AK68" s="1">
        <f t="shared" si="162"/>
        <v>100.88542307094943</v>
      </c>
      <c r="AL68" s="1">
        <f t="shared" si="163"/>
        <v>99.709761624493765</v>
      </c>
      <c r="AM68" s="1">
        <f t="shared" si="164"/>
        <v>100.99083488736372</v>
      </c>
      <c r="AN68" s="1">
        <f t="shared" si="165"/>
        <v>100.78577291155233</v>
      </c>
      <c r="AO68" s="1">
        <f t="shared" si="166"/>
        <v>99.030732064827248</v>
      </c>
      <c r="AP68" s="1">
        <f t="shared" si="167"/>
        <v>99.416712754449122</v>
      </c>
      <c r="AQ68" s="1">
        <f t="shared" si="168"/>
        <v>100.54665505228157</v>
      </c>
      <c r="AR68" s="1">
        <f t="shared" si="169"/>
        <v>99.55600256678791</v>
      </c>
      <c r="AS68" s="1">
        <f t="shared" si="170"/>
        <v>99.701035504066596</v>
      </c>
      <c r="AT68" s="1">
        <f t="shared" si="171"/>
        <v>98.962208152652551</v>
      </c>
      <c r="AU68" s="1">
        <f t="shared" ref="AU68:AW68" si="196">AT68*O68</f>
        <v>99.315193073660353</v>
      </c>
      <c r="AV68" s="1">
        <f t="shared" si="196"/>
        <v>99.656280618717503</v>
      </c>
      <c r="AW68" s="1">
        <f t="shared" si="196"/>
        <v>99.812084914735607</v>
      </c>
      <c r="AX68" s="1" t="b">
        <f t="shared" si="173"/>
        <v>1</v>
      </c>
      <c r="AY68" s="1" t="s">
        <v>75</v>
      </c>
      <c r="AZ68" s="1" t="str">
        <f t="shared" ref="AZ68:AZ131" si="197">LEFT(AY68,3)</f>
        <v>C13</v>
      </c>
      <c r="BA68" s="1" t="str">
        <f t="shared" ref="BA68:BA131" si="198">LEFT(AY68,5)</f>
        <v>C1392</v>
      </c>
      <c r="BB68" s="1">
        <v>27190</v>
      </c>
      <c r="BC68" s="1" t="s">
        <v>290</v>
      </c>
      <c r="BD68" s="1">
        <v>4.4340518125228637E-3</v>
      </c>
      <c r="BE68" s="1">
        <f t="shared" si="181"/>
        <v>0.44545920690794116</v>
      </c>
      <c r="BF68" s="1">
        <f t="shared" si="182"/>
        <v>0.44319067258614203</v>
      </c>
      <c r="BG68" s="1">
        <f t="shared" si="183"/>
        <v>0.44733119302487923</v>
      </c>
      <c r="BH68" s="1">
        <f t="shared" si="184"/>
        <v>0.44211824925730925</v>
      </c>
      <c r="BI68" s="1">
        <f t="shared" si="185"/>
        <v>0.44779859448051235</v>
      </c>
      <c r="BJ68" s="1">
        <f t="shared" si="186"/>
        <v>0.44688933905498635</v>
      </c>
      <c r="BK68" s="1">
        <f t="shared" si="187"/>
        <v>0.43910739700751333</v>
      </c>
      <c r="BL68" s="1">
        <f t="shared" si="188"/>
        <v>0.44081885538393001</v>
      </c>
      <c r="BM68" s="1">
        <f t="shared" si="189"/>
        <v>0.44582907807768024</v>
      </c>
      <c r="BN68" s="1">
        <f t="shared" si="190"/>
        <v>0.44143647362879679</v>
      </c>
      <c r="BO68" s="1">
        <f t="shared" si="191"/>
        <v>0.44207955718721287</v>
      </c>
      <c r="BP68" s="1">
        <f t="shared" si="192"/>
        <v>0.43880355843053398</v>
      </c>
      <c r="BQ68" s="1">
        <f t="shared" si="193"/>
        <v>0.44036871185932186</v>
      </c>
      <c r="BR68" s="1">
        <f t="shared" si="194"/>
        <v>0.44188111170671146</v>
      </c>
      <c r="BS68" s="1">
        <f t="shared" si="195"/>
        <v>0.44257195602786942</v>
      </c>
      <c r="BV68" s="1" t="s">
        <v>75</v>
      </c>
      <c r="BW68" s="1">
        <f>((AJ68-AI68)/BE$154)*$BD68</f>
        <v>-2.2788439549972994E-5</v>
      </c>
      <c r="BX68" s="1">
        <f>((AK68-AJ68)/BF$154)*$BD68</f>
        <v>4.1616130917667077E-5</v>
      </c>
      <c r="BY68" s="1">
        <f>((AL68-AK68)/BG$154)*$BD68</f>
        <v>-5.2418864222165834E-5</v>
      </c>
      <c r="BZ68" s="1">
        <f>((AM68-AL68)/BH$154)*$BD68</f>
        <v>5.6990313035200945E-5</v>
      </c>
      <c r="CA68" s="1">
        <f>((AN68-AM68)/BI$154)*$BD68</f>
        <v>-9.1126754101091431E-6</v>
      </c>
      <c r="CB68" s="1">
        <f>((AO68-AN68)/BJ$154)*$BD68</f>
        <v>-7.7950339111129501E-5</v>
      </c>
      <c r="CC68" s="1">
        <f>((AP68-AO68)/BK$154)*$BD68</f>
        <v>1.7138453077186033E-5</v>
      </c>
      <c r="CD68" s="1">
        <f>((AQ68-AP68)/BL$154)*$BD68</f>
        <v>5.0099165365674932E-5</v>
      </c>
      <c r="CE68" s="1">
        <f>((AR68-AQ68)/BM$154)*$BD68</f>
        <v>-4.3748332711967754E-5</v>
      </c>
      <c r="CF68" s="1">
        <f>((AS68-AR68)/BN$154)*$BD68</f>
        <v>6.3995142649115323E-6</v>
      </c>
      <c r="CG68" s="1">
        <f>((AT68-AS68)/BO$154)*$BD68</f>
        <v>-3.2525807181919786E-5</v>
      </c>
      <c r="CH68" s="1">
        <f>((AU68-AT68)/BP$154)*$BD68</f>
        <v>1.5535706859481087E-5</v>
      </c>
      <c r="CI68" s="1">
        <f>((AV68-AU68)/BQ$154)*$BD68</f>
        <v>1.4960021577041449E-5</v>
      </c>
      <c r="CJ68" s="1">
        <f>((AW68-AV68)/BR$154)*$BD68</f>
        <v>6.8212862052369177E-6</v>
      </c>
    </row>
    <row r="69" spans="1:88" x14ac:dyDescent="0.35">
      <c r="A69" s="1" t="s">
        <v>76</v>
      </c>
      <c r="B69" s="1">
        <v>0.99977401392159237</v>
      </c>
      <c r="C69" s="1">
        <v>1</v>
      </c>
      <c r="D69" s="1">
        <v>0.99976068761559966</v>
      </c>
      <c r="E69" s="1">
        <v>1.0000051220061874</v>
      </c>
      <c r="F69" s="1">
        <v>0.99898376790638588</v>
      </c>
      <c r="G69" s="1">
        <v>0.99957746691500204</v>
      </c>
      <c r="H69" s="1">
        <v>1.0001009948000557</v>
      </c>
      <c r="I69" s="1">
        <v>0.99989144032024224</v>
      </c>
      <c r="J69" s="1">
        <v>0.99947178786373614</v>
      </c>
      <c r="K69" s="1">
        <v>1</v>
      </c>
      <c r="L69" s="1">
        <v>0.9994592631467597</v>
      </c>
      <c r="M69" s="1">
        <v>0.99971329144780785</v>
      </c>
      <c r="N69" s="1">
        <v>0.99957570643569804</v>
      </c>
      <c r="O69" s="1">
        <v>0.99996184715709879</v>
      </c>
      <c r="P69" s="1">
        <v>1.0002720718521334</v>
      </c>
      <c r="Q69" s="1">
        <v>0.99965424485479193</v>
      </c>
      <c r="S69" s="1">
        <f t="shared" ref="S69:S132" si="199">C69*100</f>
        <v>100</v>
      </c>
      <c r="T69" s="1">
        <f t="shared" si="146"/>
        <v>99.976068761559972</v>
      </c>
      <c r="U69" s="1">
        <f t="shared" si="147"/>
        <v>99.976580839602761</v>
      </c>
      <c r="V69" s="1">
        <f t="shared" si="148"/>
        <v>99.874981429543752</v>
      </c>
      <c r="W69" s="1">
        <f t="shared" si="149"/>
        <v>99.83278094552621</v>
      </c>
      <c r="X69" s="1">
        <f t="shared" si="150"/>
        <v>99.842863537276799</v>
      </c>
      <c r="Y69" s="1">
        <f t="shared" si="151"/>
        <v>99.832024627985092</v>
      </c>
      <c r="Z69" s="1">
        <f t="shared" si="152"/>
        <v>99.779292140988801</v>
      </c>
      <c r="AA69" s="1">
        <f t="shared" si="153"/>
        <v>99.779292140988801</v>
      </c>
      <c r="AB69" s="1">
        <f t="shared" si="154"/>
        <v>99.725337800537943</v>
      </c>
      <c r="AC69" s="1">
        <f t="shared" si="155"/>
        <v>99.696745693320281</v>
      </c>
      <c r="AD69" s="1">
        <f t="shared" si="156"/>
        <v>99.654445005740754</v>
      </c>
      <c r="AE69" s="1">
        <f t="shared" si="157"/>
        <v>99.83086774358928</v>
      </c>
      <c r="AF69" s="1">
        <f t="shared" si="158"/>
        <v>1.0016941879824699</v>
      </c>
      <c r="AH69" s="1" t="str">
        <f t="shared" si="159"/>
        <v>C1399.27911</v>
      </c>
      <c r="AI69" s="1">
        <f t="shared" si="160"/>
        <v>100.16941879824699</v>
      </c>
      <c r="AJ69" s="1">
        <f t="shared" si="161"/>
        <v>100.1454470157904</v>
      </c>
      <c r="AK69" s="1">
        <f t="shared" si="162"/>
        <v>100.14595996138965</v>
      </c>
      <c r="AL69" s="1">
        <f t="shared" si="163"/>
        <v>100.04418842283108</v>
      </c>
      <c r="AM69" s="1">
        <f t="shared" si="164"/>
        <v>100.00191644326067</v>
      </c>
      <c r="AN69" s="1">
        <f t="shared" si="165"/>
        <v>100.01201611681704</v>
      </c>
      <c r="AO69" s="1">
        <f t="shared" si="166"/>
        <v>100.00115884437547</v>
      </c>
      <c r="AP69" s="1">
        <f t="shared" si="167"/>
        <v>99.948337018633424</v>
      </c>
      <c r="AQ69" s="1">
        <f t="shared" si="168"/>
        <v>99.948337018633424</v>
      </c>
      <c r="AR69" s="1">
        <f t="shared" si="169"/>
        <v>99.894291269387367</v>
      </c>
      <c r="AS69" s="1">
        <f t="shared" si="170"/>
        <v>99.865650721765263</v>
      </c>
      <c r="AT69" s="1">
        <f t="shared" si="171"/>
        <v>99.823278368869182</v>
      </c>
      <c r="AU69" s="1">
        <f t="shared" ref="AU69:AW69" si="200">AT69*O69</f>
        <v>99.819469827011687</v>
      </c>
      <c r="AV69" s="1">
        <f t="shared" si="200"/>
        <v>99.846627895046495</v>
      </c>
      <c r="AW69" s="1">
        <f t="shared" si="200"/>
        <v>99.812105409720104</v>
      </c>
      <c r="AX69" s="1" t="b">
        <f t="shared" si="173"/>
        <v>1</v>
      </c>
      <c r="AY69" s="1" t="s">
        <v>76</v>
      </c>
      <c r="AZ69" s="1" t="str">
        <f t="shared" si="197"/>
        <v>C13</v>
      </c>
      <c r="BA69" s="1" t="str">
        <f t="shared" si="198"/>
        <v>C1399</v>
      </c>
      <c r="BB69" s="1">
        <v>27911</v>
      </c>
      <c r="BC69" s="1" t="s">
        <v>291</v>
      </c>
      <c r="BD69" s="1">
        <v>3.5472414500182913E-3</v>
      </c>
      <c r="BE69" s="1">
        <f t="shared" si="181"/>
        <v>0.35532511438538317</v>
      </c>
      <c r="BF69" s="1">
        <f t="shared" si="182"/>
        <v>0.35524008068502227</v>
      </c>
      <c r="BG69" s="1">
        <f t="shared" si="183"/>
        <v>0.35524190022691354</v>
      </c>
      <c r="BH69" s="1">
        <f t="shared" si="184"/>
        <v>0.35488089200690648</v>
      </c>
      <c r="BI69" s="1">
        <f t="shared" si="185"/>
        <v>0.35473094308879999</v>
      </c>
      <c r="BJ69" s="1">
        <f t="shared" si="186"/>
        <v>0.3547667690694708</v>
      </c>
      <c r="BK69" s="1">
        <f t="shared" si="187"/>
        <v>0.35472825570263189</v>
      </c>
      <c r="BL69" s="1">
        <f t="shared" si="188"/>
        <v>0.35454088393289407</v>
      </c>
      <c r="BM69" s="1">
        <f t="shared" si="189"/>
        <v>0.35454088393289407</v>
      </c>
      <c r="BN69" s="1">
        <f t="shared" si="190"/>
        <v>0.35434917061097115</v>
      </c>
      <c r="BO69" s="1">
        <f t="shared" si="191"/>
        <v>0.35424757567329485</v>
      </c>
      <c r="BP69" s="1">
        <f t="shared" si="192"/>
        <v>0.35409727070676705</v>
      </c>
      <c r="BQ69" s="1">
        <f t="shared" si="193"/>
        <v>0.354083760889226</v>
      </c>
      <c r="BR69" s="1">
        <f t="shared" si="194"/>
        <v>0.3541800971138615</v>
      </c>
      <c r="BS69" s="1">
        <f t="shared" si="195"/>
        <v>0.35405763752295411</v>
      </c>
      <c r="BV69" s="1" t="s">
        <v>76</v>
      </c>
      <c r="BW69" s="1">
        <f>((AJ69-AI69)/BE$154)*$BD69</f>
        <v>-8.5420146469168142E-7</v>
      </c>
      <c r="BX69" s="1">
        <f>((AK69-AJ69)/BF$154)*$BD69</f>
        <v>1.8288110076516599E-8</v>
      </c>
      <c r="BY69" s="1">
        <f>((AL69-AK69)/BG$154)*$BD69</f>
        <v>-3.6301256471174561E-6</v>
      </c>
      <c r="BZ69" s="1">
        <f>((AM69-AL69)/BH$154)*$BD69</f>
        <v>-1.5044219050757913E-6</v>
      </c>
      <c r="CA69" s="1">
        <f>((AN69-AM69)/BI$154)*$BD69</f>
        <v>3.5905260935122731E-7</v>
      </c>
      <c r="CB69" s="1">
        <f>((AO69-AN69)/BJ$154)*$BD69</f>
        <v>-3.8578159373168417E-7</v>
      </c>
      <c r="CC69" s="1">
        <f>((AP69-AO69)/BK$154)*$BD69</f>
        <v>-1.8763309279915941E-6</v>
      </c>
      <c r="CD69" s="1">
        <f>((AQ69-AP69)/BL$154)*$BD69</f>
        <v>0</v>
      </c>
      <c r="CE69" s="1">
        <f>((AR69-AQ69)/BM$154)*$BD69</f>
        <v>-1.9093770655657435E-6</v>
      </c>
      <c r="CF69" s="1">
        <f>((AS69-AR69)/BN$154)*$BD69</f>
        <v>-1.0110012056659377E-6</v>
      </c>
      <c r="CG69" s="1">
        <f>((AT69-AS69)/BO$154)*$BD69</f>
        <v>-1.4923053159896652E-6</v>
      </c>
      <c r="CH69" s="1">
        <f>((AU69-AT69)/BP$154)*$BD69</f>
        <v>-1.3409839647807508E-7</v>
      </c>
      <c r="CI69" s="1">
        <f>((AV69-AU69)/BQ$154)*$BD69</f>
        <v>9.52917313291904E-7</v>
      </c>
      <c r="CJ69" s="1">
        <f>((AW69-AV69)/BR$154)*$BD69</f>
        <v>-1.2091463917017791E-6</v>
      </c>
    </row>
    <row r="70" spans="1:88" x14ac:dyDescent="0.35">
      <c r="A70" s="1" t="s">
        <v>77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S70" s="1">
        <f t="shared" si="199"/>
        <v>100</v>
      </c>
      <c r="T70" s="1">
        <f t="shared" ref="T70:T133" si="201">S70*D70</f>
        <v>100</v>
      </c>
      <c r="U70" s="1">
        <f t="shared" ref="U70:U133" si="202">T70*E70</f>
        <v>100</v>
      </c>
      <c r="V70" s="1">
        <f t="shared" ref="V70:V133" si="203">U70*F70</f>
        <v>100</v>
      </c>
      <c r="W70" s="1">
        <f t="shared" ref="W70:W133" si="204">V70*G70</f>
        <v>100</v>
      </c>
      <c r="X70" s="1">
        <f t="shared" ref="X70:X133" si="205">W70*H70</f>
        <v>100</v>
      </c>
      <c r="Y70" s="1">
        <f t="shared" ref="Y70:Y133" si="206">X70*I70</f>
        <v>100</v>
      </c>
      <c r="Z70" s="1">
        <f t="shared" ref="Z70:Z133" si="207">Y70*J70</f>
        <v>100</v>
      </c>
      <c r="AA70" s="1">
        <f t="shared" ref="AA70:AA133" si="208">Z70*K70</f>
        <v>100</v>
      </c>
      <c r="AB70" s="1">
        <f t="shared" ref="AB70:AB133" si="209">AA70*L70</f>
        <v>100</v>
      </c>
      <c r="AC70" s="1">
        <f t="shared" ref="AC70:AC133" si="210">AB70*M70</f>
        <v>100</v>
      </c>
      <c r="AD70" s="1">
        <f t="shared" ref="AD70:AD133" si="211">AC70*N70</f>
        <v>100</v>
      </c>
      <c r="AE70" s="1">
        <f t="shared" ref="AE70:AE133" si="212">AVERAGE(S70:AD70)</f>
        <v>100</v>
      </c>
      <c r="AF70" s="1">
        <f t="shared" ref="AF70:AF133" si="213">100/AE70</f>
        <v>1</v>
      </c>
      <c r="AH70" s="1" t="str">
        <f t="shared" ref="AH70:AH133" si="214">A70</f>
        <v>C1410.28221</v>
      </c>
      <c r="AI70" s="1">
        <f t="shared" si="160"/>
        <v>100</v>
      </c>
      <c r="AJ70" s="1">
        <f t="shared" si="161"/>
        <v>100</v>
      </c>
      <c r="AK70" s="1">
        <f t="shared" si="162"/>
        <v>100</v>
      </c>
      <c r="AL70" s="1">
        <f t="shared" si="163"/>
        <v>100</v>
      </c>
      <c r="AM70" s="1">
        <f t="shared" si="164"/>
        <v>100</v>
      </c>
      <c r="AN70" s="1">
        <f t="shared" si="165"/>
        <v>100</v>
      </c>
      <c r="AO70" s="1">
        <f t="shared" si="166"/>
        <v>100</v>
      </c>
      <c r="AP70" s="1">
        <f t="shared" si="167"/>
        <v>100</v>
      </c>
      <c r="AQ70" s="1">
        <f t="shared" si="168"/>
        <v>100</v>
      </c>
      <c r="AR70" s="1">
        <f t="shared" si="169"/>
        <v>100</v>
      </c>
      <c r="AS70" s="1">
        <f t="shared" si="170"/>
        <v>100</v>
      </c>
      <c r="AT70" s="1">
        <f t="shared" si="171"/>
        <v>100</v>
      </c>
      <c r="AU70" s="1">
        <f t="shared" ref="AU70:AW70" si="215">AT70*O70</f>
        <v>100</v>
      </c>
      <c r="AV70" s="1">
        <f t="shared" si="215"/>
        <v>100</v>
      </c>
      <c r="AW70" s="1">
        <f t="shared" si="215"/>
        <v>100</v>
      </c>
      <c r="AX70" s="1" t="b">
        <f t="shared" si="173"/>
        <v>1</v>
      </c>
      <c r="AY70" s="1" t="s">
        <v>77</v>
      </c>
      <c r="AZ70" s="1" t="str">
        <f t="shared" si="197"/>
        <v>C14</v>
      </c>
      <c r="BA70" s="1" t="str">
        <f t="shared" si="198"/>
        <v>C1410</v>
      </c>
      <c r="BB70" s="1" t="s">
        <v>292</v>
      </c>
      <c r="BC70" s="1" t="s">
        <v>293</v>
      </c>
      <c r="BD70" s="1">
        <v>6.2446449293731198E-3</v>
      </c>
      <c r="BE70" s="1">
        <f t="shared" si="181"/>
        <v>0.62446449293731199</v>
      </c>
      <c r="BF70" s="1">
        <f t="shared" si="182"/>
        <v>0.62446449293731199</v>
      </c>
      <c r="BG70" s="1">
        <f t="shared" si="183"/>
        <v>0.62446449293731199</v>
      </c>
      <c r="BH70" s="1">
        <f t="shared" si="184"/>
        <v>0.62446449293731199</v>
      </c>
      <c r="BI70" s="1">
        <f t="shared" si="185"/>
        <v>0.62446449293731199</v>
      </c>
      <c r="BJ70" s="1">
        <f t="shared" si="186"/>
        <v>0.62446449293731199</v>
      </c>
      <c r="BK70" s="1">
        <f t="shared" si="187"/>
        <v>0.62446449293731199</v>
      </c>
      <c r="BL70" s="1">
        <f t="shared" si="188"/>
        <v>0.62446449293731199</v>
      </c>
      <c r="BM70" s="1">
        <f t="shared" si="189"/>
        <v>0.62446449293731199</v>
      </c>
      <c r="BN70" s="1">
        <f t="shared" si="190"/>
        <v>0.62446449293731199</v>
      </c>
      <c r="BO70" s="1">
        <f t="shared" si="191"/>
        <v>0.62446449293731199</v>
      </c>
      <c r="BP70" s="1">
        <f t="shared" si="192"/>
        <v>0.62446449293731199</v>
      </c>
      <c r="BQ70" s="1">
        <f t="shared" si="193"/>
        <v>0.62446449293731199</v>
      </c>
      <c r="BR70" s="1">
        <f t="shared" si="194"/>
        <v>0.62446449293731199</v>
      </c>
      <c r="BS70" s="1">
        <f t="shared" si="195"/>
        <v>0.62446449293731199</v>
      </c>
      <c r="BV70" s="1" t="s">
        <v>77</v>
      </c>
      <c r="BW70" s="1">
        <f>((AJ70-AI70)/BE$154)*$BD70</f>
        <v>0</v>
      </c>
      <c r="BX70" s="1">
        <f>((AK70-AJ70)/BF$154)*$BD70</f>
        <v>0</v>
      </c>
      <c r="BY70" s="1">
        <f>((AL70-AK70)/BG$154)*$BD70</f>
        <v>0</v>
      </c>
      <c r="BZ70" s="1">
        <f>((AM70-AL70)/BH$154)*$BD70</f>
        <v>0</v>
      </c>
      <c r="CA70" s="1">
        <f>((AN70-AM70)/BI$154)*$BD70</f>
        <v>0</v>
      </c>
      <c r="CB70" s="1">
        <f>((AO70-AN70)/BJ$154)*$BD70</f>
        <v>0</v>
      </c>
      <c r="CC70" s="1">
        <f>((AP70-AO70)/BK$154)*$BD70</f>
        <v>0</v>
      </c>
      <c r="CD70" s="1">
        <f>((AQ70-AP70)/BL$154)*$BD70</f>
        <v>0</v>
      </c>
      <c r="CE70" s="1">
        <f>((AR70-AQ70)/BM$154)*$BD70</f>
        <v>0</v>
      </c>
      <c r="CF70" s="1">
        <f>((AS70-AR70)/BN$154)*$BD70</f>
        <v>0</v>
      </c>
      <c r="CG70" s="1">
        <f>((AT70-AS70)/BO$154)*$BD70</f>
        <v>0</v>
      </c>
      <c r="CH70" s="1">
        <f>((AU70-AT70)/BP$154)*$BD70</f>
        <v>0</v>
      </c>
      <c r="CI70" s="1">
        <f>((AV70-AU70)/BQ$154)*$BD70</f>
        <v>0</v>
      </c>
      <c r="CJ70" s="1">
        <f>((AW70-AV70)/BR$154)*$BD70</f>
        <v>0</v>
      </c>
    </row>
    <row r="71" spans="1:88" x14ac:dyDescent="0.35">
      <c r="A71" s="1" t="s">
        <v>78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1.0129094569634631</v>
      </c>
      <c r="P71" s="1">
        <v>0.99999996444444883</v>
      </c>
      <c r="Q71" s="1">
        <v>1</v>
      </c>
      <c r="S71" s="1">
        <f t="shared" si="199"/>
        <v>100</v>
      </c>
      <c r="T71" s="1">
        <f t="shared" si="201"/>
        <v>100</v>
      </c>
      <c r="U71" s="1">
        <f t="shared" si="202"/>
        <v>100</v>
      </c>
      <c r="V71" s="1">
        <f t="shared" si="203"/>
        <v>100</v>
      </c>
      <c r="W71" s="1">
        <f t="shared" si="204"/>
        <v>100</v>
      </c>
      <c r="X71" s="1">
        <f t="shared" si="205"/>
        <v>100</v>
      </c>
      <c r="Y71" s="1">
        <f t="shared" si="206"/>
        <v>100</v>
      </c>
      <c r="Z71" s="1">
        <f t="shared" si="207"/>
        <v>100</v>
      </c>
      <c r="AA71" s="1">
        <f t="shared" si="208"/>
        <v>100</v>
      </c>
      <c r="AB71" s="1">
        <f t="shared" si="209"/>
        <v>100</v>
      </c>
      <c r="AC71" s="1">
        <f t="shared" si="210"/>
        <v>100</v>
      </c>
      <c r="AD71" s="1">
        <f t="shared" si="211"/>
        <v>100</v>
      </c>
      <c r="AE71" s="1">
        <f t="shared" si="212"/>
        <v>100</v>
      </c>
      <c r="AF71" s="1">
        <f t="shared" si="213"/>
        <v>1</v>
      </c>
      <c r="AH71" s="1" t="str">
        <f t="shared" si="214"/>
        <v>C1410.28222</v>
      </c>
      <c r="AI71" s="1">
        <f t="shared" si="160"/>
        <v>100</v>
      </c>
      <c r="AJ71" s="1">
        <f t="shared" si="161"/>
        <v>100</v>
      </c>
      <c r="AK71" s="1">
        <f t="shared" si="162"/>
        <v>100</v>
      </c>
      <c r="AL71" s="1">
        <f t="shared" si="163"/>
        <v>100</v>
      </c>
      <c r="AM71" s="1">
        <f t="shared" si="164"/>
        <v>100</v>
      </c>
      <c r="AN71" s="1">
        <f t="shared" si="165"/>
        <v>100</v>
      </c>
      <c r="AO71" s="1">
        <f t="shared" si="166"/>
        <v>100</v>
      </c>
      <c r="AP71" s="1">
        <f t="shared" si="167"/>
        <v>100</v>
      </c>
      <c r="AQ71" s="1">
        <f t="shared" si="168"/>
        <v>100</v>
      </c>
      <c r="AR71" s="1">
        <f t="shared" si="169"/>
        <v>100</v>
      </c>
      <c r="AS71" s="1">
        <f t="shared" si="170"/>
        <v>100</v>
      </c>
      <c r="AT71" s="1">
        <f t="shared" si="171"/>
        <v>100</v>
      </c>
      <c r="AU71" s="1">
        <f t="shared" ref="AU71:AW71" si="216">AT71*O71</f>
        <v>101.29094569634631</v>
      </c>
      <c r="AV71" s="1">
        <f t="shared" si="216"/>
        <v>101.29094209489091</v>
      </c>
      <c r="AW71" s="1">
        <f t="shared" si="216"/>
        <v>101.29094209489091</v>
      </c>
      <c r="AX71" s="1" t="b">
        <f t="shared" si="173"/>
        <v>1</v>
      </c>
      <c r="AY71" s="1" t="s">
        <v>78</v>
      </c>
      <c r="AZ71" s="1" t="str">
        <f t="shared" si="197"/>
        <v>C14</v>
      </c>
      <c r="BA71" s="1" t="str">
        <f t="shared" si="198"/>
        <v>C1410</v>
      </c>
      <c r="BB71" s="1" t="s">
        <v>294</v>
      </c>
      <c r="BC71" s="1" t="s">
        <v>295</v>
      </c>
      <c r="BD71" s="1">
        <v>6.2446449293731198E-3</v>
      </c>
      <c r="BE71" s="1">
        <f t="shared" si="181"/>
        <v>0.62446449293731199</v>
      </c>
      <c r="BF71" s="1">
        <f t="shared" si="182"/>
        <v>0.62446449293731199</v>
      </c>
      <c r="BG71" s="1">
        <f t="shared" si="183"/>
        <v>0.62446449293731199</v>
      </c>
      <c r="BH71" s="1">
        <f t="shared" si="184"/>
        <v>0.62446449293731199</v>
      </c>
      <c r="BI71" s="1">
        <f t="shared" si="185"/>
        <v>0.62446449293731199</v>
      </c>
      <c r="BJ71" s="1">
        <f t="shared" si="186"/>
        <v>0.62446449293731199</v>
      </c>
      <c r="BK71" s="1">
        <f t="shared" si="187"/>
        <v>0.62446449293731199</v>
      </c>
      <c r="BL71" s="1">
        <f t="shared" si="188"/>
        <v>0.62446449293731199</v>
      </c>
      <c r="BM71" s="1">
        <f t="shared" si="189"/>
        <v>0.62446449293731199</v>
      </c>
      <c r="BN71" s="1">
        <f t="shared" si="190"/>
        <v>0.62446449293731199</v>
      </c>
      <c r="BO71" s="1">
        <f t="shared" si="191"/>
        <v>0.62446449293731199</v>
      </c>
      <c r="BP71" s="1">
        <f t="shared" si="192"/>
        <v>0.62446449293731199</v>
      </c>
      <c r="BQ71" s="1">
        <f t="shared" si="193"/>
        <v>0.63252599043409707</v>
      </c>
      <c r="BR71" s="1">
        <f t="shared" si="194"/>
        <v>0.63252596794428684</v>
      </c>
      <c r="BS71" s="1">
        <f t="shared" si="195"/>
        <v>0.63252596794428684</v>
      </c>
      <c r="BV71" s="1" t="s">
        <v>78</v>
      </c>
      <c r="BW71" s="1">
        <f>((AJ71-AI71)/BE$154)*$BD71</f>
        <v>0</v>
      </c>
      <c r="BX71" s="1">
        <f>((AK71-AJ71)/BF$154)*$BD71</f>
        <v>0</v>
      </c>
      <c r="BY71" s="1">
        <f>((AL71-AK71)/BG$154)*$BD71</f>
        <v>0</v>
      </c>
      <c r="BZ71" s="1">
        <f>((AM71-AL71)/BH$154)*$BD71</f>
        <v>0</v>
      </c>
      <c r="CA71" s="1">
        <f>((AN71-AM71)/BI$154)*$BD71</f>
        <v>0</v>
      </c>
      <c r="CB71" s="1">
        <f>((AO71-AN71)/BJ$154)*$BD71</f>
        <v>0</v>
      </c>
      <c r="CC71" s="1">
        <f>((AP71-AO71)/BK$154)*$BD71</f>
        <v>0</v>
      </c>
      <c r="CD71" s="1">
        <f>((AQ71-AP71)/BL$154)*$BD71</f>
        <v>0</v>
      </c>
      <c r="CE71" s="1">
        <f>((AR71-AQ71)/BM$154)*$BD71</f>
        <v>0</v>
      </c>
      <c r="CF71" s="1">
        <f>((AS71-AR71)/BN$154)*$BD71</f>
        <v>0</v>
      </c>
      <c r="CG71" s="1">
        <f>((AT71-AS71)/BO$154)*$BD71</f>
        <v>0</v>
      </c>
      <c r="CH71" s="1">
        <f>((AU71-AT71)/BP$154)*$BD71</f>
        <v>8.0018392864835287E-5</v>
      </c>
      <c r="CI71" s="1">
        <f>((AV71-AU71)/BQ$154)*$BD71</f>
        <v>-2.2245971979630064E-10</v>
      </c>
      <c r="CJ71" s="1">
        <f>((AW71-AV71)/BR$154)*$BD71</f>
        <v>0</v>
      </c>
    </row>
    <row r="72" spans="1:88" x14ac:dyDescent="0.35">
      <c r="A72" s="1" t="s">
        <v>79</v>
      </c>
      <c r="B72" s="1">
        <v>0.99927387875135909</v>
      </c>
      <c r="C72" s="1">
        <v>1</v>
      </c>
      <c r="D72" s="1">
        <v>0.98025992919182314</v>
      </c>
      <c r="E72" s="1">
        <v>1.018140142449359</v>
      </c>
      <c r="F72" s="1">
        <v>1.002887260187701</v>
      </c>
      <c r="G72" s="1">
        <v>0.99260792473656501</v>
      </c>
      <c r="H72" s="1">
        <v>0.97507781260163384</v>
      </c>
      <c r="I72" s="1">
        <v>1.0046533570176079</v>
      </c>
      <c r="J72" s="1">
        <v>1.0168479001866211</v>
      </c>
      <c r="K72" s="1">
        <v>1.0048526644218609</v>
      </c>
      <c r="L72" s="1">
        <v>0.97517663968781787</v>
      </c>
      <c r="M72" s="1">
        <v>1.0180220345613971</v>
      </c>
      <c r="N72" s="1">
        <v>0.96270480420630933</v>
      </c>
      <c r="O72" s="1">
        <v>0.98337505763690458</v>
      </c>
      <c r="P72" s="1">
        <v>1.022614570144543</v>
      </c>
      <c r="Q72" s="1">
        <v>0.9998418023851261</v>
      </c>
      <c r="S72" s="1">
        <f t="shared" si="199"/>
        <v>100</v>
      </c>
      <c r="T72" s="1">
        <f t="shared" si="201"/>
        <v>98.025992919182315</v>
      </c>
      <c r="U72" s="1">
        <f t="shared" si="202"/>
        <v>99.804198394476145</v>
      </c>
      <c r="V72" s="1">
        <f t="shared" si="203"/>
        <v>100.09235908306593</v>
      </c>
      <c r="W72" s="1">
        <f t="shared" si="204"/>
        <v>99.35246883142915</v>
      </c>
      <c r="X72" s="1">
        <f t="shared" si="205"/>
        <v>96.876387984721944</v>
      </c>
      <c r="Y72" s="1">
        <f t="shared" si="206"/>
        <v>97.327188404591155</v>
      </c>
      <c r="Z72" s="1">
        <f t="shared" si="207"/>
        <v>98.966947160276177</v>
      </c>
      <c r="AA72" s="1">
        <f t="shared" si="208"/>
        <v>99.447200543701044</v>
      </c>
      <c r="AB72" s="1">
        <f t="shared" si="209"/>
        <v>96.97858685256692</v>
      </c>
      <c r="AC72" s="1">
        <f t="shared" si="210"/>
        <v>98.726338296539325</v>
      </c>
      <c r="AD72" s="1">
        <f t="shared" si="211"/>
        <v>95.044320179775752</v>
      </c>
      <c r="AE72" s="1">
        <f t="shared" si="212"/>
        <v>98.38683238752715</v>
      </c>
      <c r="AF72" s="1">
        <f t="shared" si="213"/>
        <v>1.0163961738916329</v>
      </c>
      <c r="AH72" s="1" t="str">
        <f t="shared" si="214"/>
        <v>C1410.28224</v>
      </c>
      <c r="AI72" s="1">
        <f t="shared" si="160"/>
        <v>101.63961738916329</v>
      </c>
      <c r="AJ72" s="1">
        <f t="shared" si="161"/>
        <v>99.633244144985213</v>
      </c>
      <c r="AK72" s="1">
        <f t="shared" si="162"/>
        <v>101.44060538646701</v>
      </c>
      <c r="AL72" s="1">
        <f t="shared" si="163"/>
        <v>101.73349080781564</v>
      </c>
      <c r="AM72" s="1">
        <f t="shared" si="164"/>
        <v>100.98146918695231</v>
      </c>
      <c r="AN72" s="1">
        <f t="shared" si="165"/>
        <v>98.46479008811275</v>
      </c>
      <c r="AO72" s="1">
        <f t="shared" si="166"/>
        <v>98.922981910056549</v>
      </c>
      <c r="AP72" s="1">
        <f t="shared" si="167"/>
        <v>100.58962643544011</v>
      </c>
      <c r="AQ72" s="1">
        <f t="shared" si="168"/>
        <v>101.07775413685167</v>
      </c>
      <c r="AR72" s="1">
        <f t="shared" si="169"/>
        <v>98.568664626366441</v>
      </c>
      <c r="AS72" s="1">
        <f t="shared" si="170"/>
        <v>100.34507250693356</v>
      </c>
      <c r="AT72" s="1">
        <f t="shared" si="171"/>
        <v>96.602683380855396</v>
      </c>
      <c r="AU72" s="1">
        <f t="shared" ref="AU72:AW72" si="217">AT72*O72</f>
        <v>94.996669337528317</v>
      </c>
      <c r="AV72" s="1">
        <f t="shared" si="217"/>
        <v>97.144978179759818</v>
      </c>
      <c r="AW72" s="1">
        <f t="shared" si="217"/>
        <v>97.129610075914798</v>
      </c>
      <c r="AX72" s="1" t="b">
        <f t="shared" si="173"/>
        <v>1</v>
      </c>
      <c r="AY72" s="1" t="s">
        <v>79</v>
      </c>
      <c r="AZ72" s="1" t="str">
        <f t="shared" si="197"/>
        <v>C14</v>
      </c>
      <c r="BA72" s="1" t="str">
        <f t="shared" si="198"/>
        <v>C1410</v>
      </c>
      <c r="BB72" s="1" t="s">
        <v>296</v>
      </c>
      <c r="BC72" s="1" t="s">
        <v>297</v>
      </c>
      <c r="BD72" s="1">
        <v>6.2446449293731198E-3</v>
      </c>
      <c r="BE72" s="1">
        <f t="shared" si="181"/>
        <v>0.6347033213526625</v>
      </c>
      <c r="BF72" s="1">
        <f t="shared" si="182"/>
        <v>0.62217423284697604</v>
      </c>
      <c r="BG72" s="1">
        <f t="shared" si="183"/>
        <v>0.63346056205914081</v>
      </c>
      <c r="BH72" s="1">
        <f t="shared" si="184"/>
        <v>0.63528952752045287</v>
      </c>
      <c r="BI72" s="1">
        <f t="shared" si="185"/>
        <v>0.63059341951894965</v>
      </c>
      <c r="BJ72" s="1">
        <f t="shared" si="186"/>
        <v>0.61487765214552192</v>
      </c>
      <c r="BK72" s="1">
        <f t="shared" si="187"/>
        <v>0.6177388973831035</v>
      </c>
      <c r="BL72" s="1">
        <f t="shared" si="188"/>
        <v>0.62814650066760747</v>
      </c>
      <c r="BM72" s="1">
        <f t="shared" si="189"/>
        <v>0.6311946848431137</v>
      </c>
      <c r="BN72" s="1">
        <f t="shared" si="190"/>
        <v>0.61552631175411876</v>
      </c>
      <c r="BO72" s="1">
        <f t="shared" si="191"/>
        <v>0.62661934821800069</v>
      </c>
      <c r="BP72" s="1">
        <f t="shared" si="192"/>
        <v>0.60324945693809562</v>
      </c>
      <c r="BQ72" s="1">
        <f t="shared" si="193"/>
        <v>0.5932204694859311</v>
      </c>
      <c r="BR72" s="1">
        <f t="shared" si="194"/>
        <v>0.60663589540429952</v>
      </c>
      <c r="BS72" s="1">
        <f t="shared" si="195"/>
        <v>0.60653992705254967</v>
      </c>
      <c r="BV72" s="1" t="s">
        <v>79</v>
      </c>
      <c r="BW72" s="1">
        <f>((AJ72-AI72)/BE$154)*$BD72</f>
        <v>-1.258602848916397E-4</v>
      </c>
      <c r="BX72" s="1">
        <f>((AK72-AJ72)/BF$154)*$BD72</f>
        <v>1.1343824068082418E-4</v>
      </c>
      <c r="BY72" s="1">
        <f>((AL72-AK72)/BG$154)*$BD72</f>
        <v>1.839120014682929E-5</v>
      </c>
      <c r="BZ72" s="1">
        <f>((AM72-AL72)/BH$154)*$BD72</f>
        <v>-4.7115563321671027E-5</v>
      </c>
      <c r="CA72" s="1">
        <f>((AN72-AM72)/BI$154)*$BD72</f>
        <v>-1.5750545212527174E-4</v>
      </c>
      <c r="CB72" s="1">
        <f>((AO72-AN72)/BJ$154)*$BD72</f>
        <v>2.8660588216795259E-5</v>
      </c>
      <c r="CC72" s="1">
        <f>((AP72-AO72)/BK$154)*$BD72</f>
        <v>1.0422118527410161E-4</v>
      </c>
      <c r="CD72" s="1">
        <f>((AQ72-AP72)/BL$154)*$BD72</f>
        <v>3.0479979116340347E-5</v>
      </c>
      <c r="CE72" s="1">
        <f>((AR72-AQ72)/BM$154)*$BD72</f>
        <v>-1.5604983488254456E-4</v>
      </c>
      <c r="CF72" s="1">
        <f>((AS72-AR72)/BN$154)*$BD72</f>
        <v>1.1039007942707525E-4</v>
      </c>
      <c r="CG72" s="1">
        <f>((AT72-AS72)/BO$154)*$BD72</f>
        <v>-2.3202834741097668E-4</v>
      </c>
      <c r="CH72" s="1">
        <f>((AU72-AT72)/BP$154)*$BD72</f>
        <v>-9.9547690525716848E-5</v>
      </c>
      <c r="CI72" s="1">
        <f>((AV72-AU72)/BQ$154)*$BD72</f>
        <v>1.326997364819811E-4</v>
      </c>
      <c r="CJ72" s="1">
        <f>((AW72-AV72)/BR$154)*$BD72</f>
        <v>-9.4757613818637656E-7</v>
      </c>
    </row>
    <row r="73" spans="1:88" x14ac:dyDescent="0.35">
      <c r="A73" s="1" t="s">
        <v>80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1.0193771360600143</v>
      </c>
      <c r="P73" s="1">
        <v>1</v>
      </c>
      <c r="Q73" s="1">
        <v>1</v>
      </c>
      <c r="S73" s="1">
        <f t="shared" si="199"/>
        <v>100</v>
      </c>
      <c r="T73" s="1">
        <f t="shared" si="201"/>
        <v>100</v>
      </c>
      <c r="U73" s="1">
        <f t="shared" si="202"/>
        <v>100</v>
      </c>
      <c r="V73" s="1">
        <f t="shared" si="203"/>
        <v>100</v>
      </c>
      <c r="W73" s="1">
        <f t="shared" si="204"/>
        <v>100</v>
      </c>
      <c r="X73" s="1">
        <f t="shared" si="205"/>
        <v>100</v>
      </c>
      <c r="Y73" s="1">
        <f t="shared" si="206"/>
        <v>100</v>
      </c>
      <c r="Z73" s="1">
        <f t="shared" si="207"/>
        <v>100</v>
      </c>
      <c r="AA73" s="1">
        <f t="shared" si="208"/>
        <v>100</v>
      </c>
      <c r="AB73" s="1">
        <f t="shared" si="209"/>
        <v>100</v>
      </c>
      <c r="AC73" s="1">
        <f t="shared" si="210"/>
        <v>100</v>
      </c>
      <c r="AD73" s="1">
        <f t="shared" si="211"/>
        <v>100</v>
      </c>
      <c r="AE73" s="1">
        <f t="shared" si="212"/>
        <v>100</v>
      </c>
      <c r="AF73" s="1">
        <f t="shared" si="213"/>
        <v>1</v>
      </c>
      <c r="AH73" s="1" t="str">
        <f t="shared" si="214"/>
        <v>C1410.28225</v>
      </c>
      <c r="AI73" s="1">
        <f t="shared" si="160"/>
        <v>100</v>
      </c>
      <c r="AJ73" s="1">
        <f t="shared" si="161"/>
        <v>100</v>
      </c>
      <c r="AK73" s="1">
        <f t="shared" si="162"/>
        <v>100</v>
      </c>
      <c r="AL73" s="1">
        <f t="shared" si="163"/>
        <v>100</v>
      </c>
      <c r="AM73" s="1">
        <f t="shared" si="164"/>
        <v>100</v>
      </c>
      <c r="AN73" s="1">
        <f t="shared" si="165"/>
        <v>100</v>
      </c>
      <c r="AO73" s="1">
        <f t="shared" si="166"/>
        <v>100</v>
      </c>
      <c r="AP73" s="1">
        <f t="shared" si="167"/>
        <v>100</v>
      </c>
      <c r="AQ73" s="1">
        <f t="shared" si="168"/>
        <v>100</v>
      </c>
      <c r="AR73" s="1">
        <f t="shared" si="169"/>
        <v>100</v>
      </c>
      <c r="AS73" s="1">
        <f t="shared" si="170"/>
        <v>100</v>
      </c>
      <c r="AT73" s="1">
        <f t="shared" si="171"/>
        <v>100</v>
      </c>
      <c r="AU73" s="1">
        <f t="shared" ref="AU73:AW73" si="218">AT73*O73</f>
        <v>101.93771360600144</v>
      </c>
      <c r="AV73" s="1">
        <f t="shared" si="218"/>
        <v>101.93771360600144</v>
      </c>
      <c r="AW73" s="1">
        <f t="shared" si="218"/>
        <v>101.93771360600144</v>
      </c>
      <c r="AX73" s="1" t="b">
        <f t="shared" si="173"/>
        <v>1</v>
      </c>
      <c r="AY73" s="1" t="s">
        <v>80</v>
      </c>
      <c r="AZ73" s="1" t="str">
        <f t="shared" si="197"/>
        <v>C14</v>
      </c>
      <c r="BA73" s="1" t="str">
        <f t="shared" si="198"/>
        <v>C1410</v>
      </c>
      <c r="BB73" s="1" t="s">
        <v>298</v>
      </c>
      <c r="BC73" s="1" t="s">
        <v>299</v>
      </c>
      <c r="BD73" s="1">
        <v>6.2446449293731198E-3</v>
      </c>
      <c r="BE73" s="1">
        <f t="shared" si="181"/>
        <v>0.62446449293731199</v>
      </c>
      <c r="BF73" s="1">
        <f t="shared" si="182"/>
        <v>0.62446449293731199</v>
      </c>
      <c r="BG73" s="1">
        <f t="shared" si="183"/>
        <v>0.62446449293731199</v>
      </c>
      <c r="BH73" s="1">
        <f t="shared" si="184"/>
        <v>0.62446449293731199</v>
      </c>
      <c r="BI73" s="1">
        <f t="shared" si="185"/>
        <v>0.62446449293731199</v>
      </c>
      <c r="BJ73" s="1">
        <f t="shared" si="186"/>
        <v>0.62446449293731199</v>
      </c>
      <c r="BK73" s="1">
        <f t="shared" si="187"/>
        <v>0.62446449293731199</v>
      </c>
      <c r="BL73" s="1">
        <f t="shared" si="188"/>
        <v>0.62446449293731199</v>
      </c>
      <c r="BM73" s="1">
        <f t="shared" si="189"/>
        <v>0.62446449293731199</v>
      </c>
      <c r="BN73" s="1">
        <f t="shared" si="190"/>
        <v>0.62446449293731199</v>
      </c>
      <c r="BO73" s="1">
        <f t="shared" si="191"/>
        <v>0.62446449293731199</v>
      </c>
      <c r="BP73" s="1">
        <f t="shared" si="192"/>
        <v>0.62446449293731199</v>
      </c>
      <c r="BQ73" s="1">
        <f t="shared" si="193"/>
        <v>0.63656482638160616</v>
      </c>
      <c r="BR73" s="1">
        <f t="shared" si="194"/>
        <v>0.63656482638160616</v>
      </c>
      <c r="BS73" s="1">
        <f t="shared" si="195"/>
        <v>0.63656482638160616</v>
      </c>
      <c r="BV73" s="1" t="s">
        <v>80</v>
      </c>
      <c r="BW73" s="1">
        <f>((AJ73-AI73)/BE$154)*$BD73</f>
        <v>0</v>
      </c>
      <c r="BX73" s="1">
        <f>((AK73-AJ73)/BF$154)*$BD73</f>
        <v>0</v>
      </c>
      <c r="BY73" s="1">
        <f>((AL73-AK73)/BG$154)*$BD73</f>
        <v>0</v>
      </c>
      <c r="BZ73" s="1">
        <f>((AM73-AL73)/BH$154)*$BD73</f>
        <v>0</v>
      </c>
      <c r="CA73" s="1">
        <f>((AN73-AM73)/BI$154)*$BD73</f>
        <v>0</v>
      </c>
      <c r="CB73" s="1">
        <f>((AO73-AN73)/BJ$154)*$BD73</f>
        <v>0</v>
      </c>
      <c r="CC73" s="1">
        <f>((AP73-AO73)/BK$154)*$BD73</f>
        <v>0</v>
      </c>
      <c r="CD73" s="1">
        <f>((AQ73-AP73)/BL$154)*$BD73</f>
        <v>0</v>
      </c>
      <c r="CE73" s="1">
        <f>((AR73-AQ73)/BM$154)*$BD73</f>
        <v>0</v>
      </c>
      <c r="CF73" s="1">
        <f>((AS73-AR73)/BN$154)*$BD73</f>
        <v>0</v>
      </c>
      <c r="CG73" s="1">
        <f>((AT73-AS73)/BO$154)*$BD73</f>
        <v>0</v>
      </c>
      <c r="CH73" s="1">
        <f>((AU73-AT73)/BP$154)*$BD73</f>
        <v>1.2010786280429632E-4</v>
      </c>
      <c r="CI73" s="1">
        <f>((AV73-AU73)/BQ$154)*$BD73</f>
        <v>0</v>
      </c>
      <c r="CJ73" s="1">
        <f>((AW73-AV73)/BR$154)*$BD73</f>
        <v>0</v>
      </c>
    </row>
    <row r="74" spans="1:88" x14ac:dyDescent="0.35">
      <c r="A74" s="1" t="s">
        <v>81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0.99292272066190967</v>
      </c>
      <c r="Q74" s="1">
        <v>1</v>
      </c>
      <c r="S74" s="1">
        <f t="shared" si="199"/>
        <v>100</v>
      </c>
      <c r="T74" s="1">
        <f t="shared" si="201"/>
        <v>100</v>
      </c>
      <c r="U74" s="1">
        <f t="shared" si="202"/>
        <v>100</v>
      </c>
      <c r="V74" s="1">
        <f t="shared" si="203"/>
        <v>100</v>
      </c>
      <c r="W74" s="1">
        <f t="shared" si="204"/>
        <v>100</v>
      </c>
      <c r="X74" s="1">
        <f t="shared" si="205"/>
        <v>100</v>
      </c>
      <c r="Y74" s="1">
        <f t="shared" si="206"/>
        <v>100</v>
      </c>
      <c r="Z74" s="1">
        <f t="shared" si="207"/>
        <v>100</v>
      </c>
      <c r="AA74" s="1">
        <f t="shared" si="208"/>
        <v>100</v>
      </c>
      <c r="AB74" s="1">
        <f t="shared" si="209"/>
        <v>100</v>
      </c>
      <c r="AC74" s="1">
        <f t="shared" si="210"/>
        <v>100</v>
      </c>
      <c r="AD74" s="1">
        <f t="shared" si="211"/>
        <v>100</v>
      </c>
      <c r="AE74" s="1">
        <f t="shared" si="212"/>
        <v>100</v>
      </c>
      <c r="AF74" s="1">
        <f t="shared" si="213"/>
        <v>1</v>
      </c>
      <c r="AH74" s="1" t="str">
        <f t="shared" si="214"/>
        <v>C1410.28231</v>
      </c>
      <c r="AI74" s="1">
        <f t="shared" si="160"/>
        <v>100</v>
      </c>
      <c r="AJ74" s="1">
        <f t="shared" si="161"/>
        <v>100</v>
      </c>
      <c r="AK74" s="1">
        <f t="shared" si="162"/>
        <v>100</v>
      </c>
      <c r="AL74" s="1">
        <f t="shared" si="163"/>
        <v>100</v>
      </c>
      <c r="AM74" s="1">
        <f t="shared" si="164"/>
        <v>100</v>
      </c>
      <c r="AN74" s="1">
        <f t="shared" si="165"/>
        <v>100</v>
      </c>
      <c r="AO74" s="1">
        <f t="shared" si="166"/>
        <v>100</v>
      </c>
      <c r="AP74" s="1">
        <f t="shared" si="167"/>
        <v>100</v>
      </c>
      <c r="AQ74" s="1">
        <f t="shared" si="168"/>
        <v>100</v>
      </c>
      <c r="AR74" s="1">
        <f t="shared" si="169"/>
        <v>100</v>
      </c>
      <c r="AS74" s="1">
        <f t="shared" si="170"/>
        <v>100</v>
      </c>
      <c r="AT74" s="1">
        <f t="shared" si="171"/>
        <v>100</v>
      </c>
      <c r="AU74" s="1">
        <f t="shared" ref="AU74:AW74" si="219">AT74*O74</f>
        <v>100</v>
      </c>
      <c r="AV74" s="1">
        <f t="shared" si="219"/>
        <v>99.292272066190961</v>
      </c>
      <c r="AW74" s="1">
        <f t="shared" si="219"/>
        <v>99.292272066190961</v>
      </c>
      <c r="AX74" s="1" t="b">
        <f t="shared" si="173"/>
        <v>1</v>
      </c>
      <c r="AY74" s="1" t="s">
        <v>81</v>
      </c>
      <c r="AZ74" s="1" t="str">
        <f t="shared" si="197"/>
        <v>C14</v>
      </c>
      <c r="BA74" s="1" t="str">
        <f t="shared" si="198"/>
        <v>C1410</v>
      </c>
      <c r="BB74" s="1" t="s">
        <v>300</v>
      </c>
      <c r="BC74" s="1" t="s">
        <v>301</v>
      </c>
      <c r="BD74" s="1">
        <v>6.2446449293731198E-3</v>
      </c>
      <c r="BE74" s="1">
        <f t="shared" si="181"/>
        <v>0.62446449293731199</v>
      </c>
      <c r="BF74" s="1">
        <f t="shared" si="182"/>
        <v>0.62446449293731199</v>
      </c>
      <c r="BG74" s="1">
        <f t="shared" si="183"/>
        <v>0.62446449293731199</v>
      </c>
      <c r="BH74" s="1">
        <f t="shared" si="184"/>
        <v>0.62446449293731199</v>
      </c>
      <c r="BI74" s="1">
        <f t="shared" si="185"/>
        <v>0.62446449293731199</v>
      </c>
      <c r="BJ74" s="1">
        <f t="shared" si="186"/>
        <v>0.62446449293731199</v>
      </c>
      <c r="BK74" s="1">
        <f t="shared" si="187"/>
        <v>0.62446449293731199</v>
      </c>
      <c r="BL74" s="1">
        <f t="shared" si="188"/>
        <v>0.62446449293731199</v>
      </c>
      <c r="BM74" s="1">
        <f t="shared" si="189"/>
        <v>0.62446449293731199</v>
      </c>
      <c r="BN74" s="1">
        <f t="shared" si="190"/>
        <v>0.62446449293731199</v>
      </c>
      <c r="BO74" s="1">
        <f t="shared" si="191"/>
        <v>0.62446449293731199</v>
      </c>
      <c r="BP74" s="1">
        <f t="shared" si="192"/>
        <v>0.62446449293731199</v>
      </c>
      <c r="BQ74" s="1">
        <f t="shared" si="193"/>
        <v>0.62446449293731199</v>
      </c>
      <c r="BR74" s="1">
        <f t="shared" si="194"/>
        <v>0.62004498328407565</v>
      </c>
      <c r="BS74" s="1">
        <f t="shared" si="195"/>
        <v>0.62004498328407565</v>
      </c>
      <c r="BV74" s="1" t="s">
        <v>81</v>
      </c>
      <c r="BW74" s="1">
        <f>((AJ74-AI74)/BE$154)*$BD74</f>
        <v>0</v>
      </c>
      <c r="BX74" s="1">
        <f>((AK74-AJ74)/BF$154)*$BD74</f>
        <v>0</v>
      </c>
      <c r="BY74" s="1">
        <f>((AL74-AK74)/BG$154)*$BD74</f>
        <v>0</v>
      </c>
      <c r="BZ74" s="1">
        <f>((AM74-AL74)/BH$154)*$BD74</f>
        <v>0</v>
      </c>
      <c r="CA74" s="1">
        <f>((AN74-AM74)/BI$154)*$BD74</f>
        <v>0</v>
      </c>
      <c r="CB74" s="1">
        <f>((AO74-AN74)/BJ$154)*$BD74</f>
        <v>0</v>
      </c>
      <c r="CC74" s="1">
        <f>((AP74-AO74)/BK$154)*$BD74</f>
        <v>0</v>
      </c>
      <c r="CD74" s="1">
        <f>((AQ74-AP74)/BL$154)*$BD74</f>
        <v>0</v>
      </c>
      <c r="CE74" s="1">
        <f>((AR74-AQ74)/BM$154)*$BD74</f>
        <v>0</v>
      </c>
      <c r="CF74" s="1">
        <f>((AS74-AR74)/BN$154)*$BD74</f>
        <v>0</v>
      </c>
      <c r="CG74" s="1">
        <f>((AT74-AS74)/BO$154)*$BD74</f>
        <v>0</v>
      </c>
      <c r="CH74" s="1">
        <f>((AU74-AT74)/BP$154)*$BD74</f>
        <v>0</v>
      </c>
      <c r="CI74" s="1">
        <f>((AV74-AU74)/BQ$154)*$BD74</f>
        <v>-4.3715925974518793E-5</v>
      </c>
      <c r="CJ74" s="1">
        <f>((AW74-AV74)/BR$154)*$BD74</f>
        <v>0</v>
      </c>
    </row>
    <row r="75" spans="1:88" x14ac:dyDescent="0.35">
      <c r="A75" s="1" t="s">
        <v>82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1.0055084403557144</v>
      </c>
      <c r="P75" s="1">
        <v>1.0018083127683635</v>
      </c>
      <c r="Q75" s="1">
        <v>1.0229789180697952</v>
      </c>
      <c r="S75" s="1">
        <f t="shared" si="199"/>
        <v>100</v>
      </c>
      <c r="T75" s="1">
        <f t="shared" si="201"/>
        <v>100</v>
      </c>
      <c r="U75" s="1">
        <f t="shared" si="202"/>
        <v>100</v>
      </c>
      <c r="V75" s="1">
        <f t="shared" si="203"/>
        <v>100</v>
      </c>
      <c r="W75" s="1">
        <f t="shared" si="204"/>
        <v>100</v>
      </c>
      <c r="X75" s="1">
        <f t="shared" si="205"/>
        <v>100</v>
      </c>
      <c r="Y75" s="1">
        <f t="shared" si="206"/>
        <v>100</v>
      </c>
      <c r="Z75" s="1">
        <f t="shared" si="207"/>
        <v>100</v>
      </c>
      <c r="AA75" s="1">
        <f t="shared" si="208"/>
        <v>100</v>
      </c>
      <c r="AB75" s="1">
        <f t="shared" si="209"/>
        <v>100</v>
      </c>
      <c r="AC75" s="1">
        <f t="shared" si="210"/>
        <v>100</v>
      </c>
      <c r="AD75" s="1">
        <f t="shared" si="211"/>
        <v>100</v>
      </c>
      <c r="AE75" s="1">
        <f t="shared" si="212"/>
        <v>100</v>
      </c>
      <c r="AF75" s="1">
        <f t="shared" si="213"/>
        <v>1</v>
      </c>
      <c r="AH75" s="1" t="str">
        <f t="shared" si="214"/>
        <v>C1410.28232</v>
      </c>
      <c r="AI75" s="1">
        <f t="shared" si="160"/>
        <v>100</v>
      </c>
      <c r="AJ75" s="1">
        <f t="shared" si="161"/>
        <v>100</v>
      </c>
      <c r="AK75" s="1">
        <f t="shared" si="162"/>
        <v>100</v>
      </c>
      <c r="AL75" s="1">
        <f t="shared" si="163"/>
        <v>100</v>
      </c>
      <c r="AM75" s="1">
        <f t="shared" si="164"/>
        <v>100</v>
      </c>
      <c r="AN75" s="1">
        <f t="shared" si="165"/>
        <v>100</v>
      </c>
      <c r="AO75" s="1">
        <f t="shared" si="166"/>
        <v>100</v>
      </c>
      <c r="AP75" s="1">
        <f t="shared" si="167"/>
        <v>100</v>
      </c>
      <c r="AQ75" s="1">
        <f t="shared" si="168"/>
        <v>100</v>
      </c>
      <c r="AR75" s="1">
        <f t="shared" si="169"/>
        <v>100</v>
      </c>
      <c r="AS75" s="1">
        <f t="shared" si="170"/>
        <v>100</v>
      </c>
      <c r="AT75" s="1">
        <f t="shared" si="171"/>
        <v>100</v>
      </c>
      <c r="AU75" s="1">
        <f t="shared" ref="AU75:AW75" si="220">AT75*O75</f>
        <v>100.55084403557144</v>
      </c>
      <c r="AV75" s="1">
        <f t="shared" si="220"/>
        <v>100.73267141071069</v>
      </c>
      <c r="AW75" s="1">
        <f t="shared" si="220"/>
        <v>103.04739921400902</v>
      </c>
      <c r="AX75" s="1" t="b">
        <f t="shared" si="173"/>
        <v>1</v>
      </c>
      <c r="AY75" s="1" t="s">
        <v>82</v>
      </c>
      <c r="AZ75" s="1" t="str">
        <f t="shared" si="197"/>
        <v>C14</v>
      </c>
      <c r="BA75" s="1" t="str">
        <f t="shared" si="198"/>
        <v>C1410</v>
      </c>
      <c r="BB75" s="1" t="s">
        <v>302</v>
      </c>
      <c r="BC75" s="1" t="s">
        <v>303</v>
      </c>
      <c r="BD75" s="1">
        <v>6.2446449293731198E-3</v>
      </c>
      <c r="BE75" s="1">
        <f t="shared" si="181"/>
        <v>0.62446449293731199</v>
      </c>
      <c r="BF75" s="1">
        <f t="shared" si="182"/>
        <v>0.62446449293731199</v>
      </c>
      <c r="BG75" s="1">
        <f t="shared" si="183"/>
        <v>0.62446449293731199</v>
      </c>
      <c r="BH75" s="1">
        <f t="shared" si="184"/>
        <v>0.62446449293731199</v>
      </c>
      <c r="BI75" s="1">
        <f t="shared" si="185"/>
        <v>0.62446449293731199</v>
      </c>
      <c r="BJ75" s="1">
        <f t="shared" si="186"/>
        <v>0.62446449293731199</v>
      </c>
      <c r="BK75" s="1">
        <f t="shared" si="187"/>
        <v>0.62446449293731199</v>
      </c>
      <c r="BL75" s="1">
        <f t="shared" si="188"/>
        <v>0.62446449293731199</v>
      </c>
      <c r="BM75" s="1">
        <f t="shared" si="189"/>
        <v>0.62446449293731199</v>
      </c>
      <c r="BN75" s="1">
        <f t="shared" si="190"/>
        <v>0.62446449293731199</v>
      </c>
      <c r="BO75" s="1">
        <f t="shared" si="191"/>
        <v>0.62446449293731199</v>
      </c>
      <c r="BP75" s="1">
        <f t="shared" si="192"/>
        <v>0.62446449293731199</v>
      </c>
      <c r="BQ75" s="1">
        <f t="shared" si="193"/>
        <v>0.62790431835091864</v>
      </c>
      <c r="BR75" s="1">
        <f t="shared" si="194"/>
        <v>0.62903976574710319</v>
      </c>
      <c r="BS75" s="1">
        <f t="shared" si="195"/>
        <v>0.643494418986849</v>
      </c>
      <c r="BV75" s="1" t="s">
        <v>82</v>
      </c>
      <c r="BW75" s="1">
        <f>((AJ75-AI75)/BE$154)*$BD75</f>
        <v>0</v>
      </c>
      <c r="BX75" s="1">
        <f>((AK75-AJ75)/BF$154)*$BD75</f>
        <v>0</v>
      </c>
      <c r="BY75" s="1">
        <f>((AL75-AK75)/BG$154)*$BD75</f>
        <v>0</v>
      </c>
      <c r="BZ75" s="1">
        <f>((AM75-AL75)/BH$154)*$BD75</f>
        <v>0</v>
      </c>
      <c r="CA75" s="1">
        <f>((AN75-AM75)/BI$154)*$BD75</f>
        <v>0</v>
      </c>
      <c r="CB75" s="1">
        <f>((AO75-AN75)/BJ$154)*$BD75</f>
        <v>0</v>
      </c>
      <c r="CC75" s="1">
        <f>((AP75-AO75)/BK$154)*$BD75</f>
        <v>0</v>
      </c>
      <c r="CD75" s="1">
        <f>((AQ75-AP75)/BL$154)*$BD75</f>
        <v>0</v>
      </c>
      <c r="CE75" s="1">
        <f>((AR75-AQ75)/BM$154)*$BD75</f>
        <v>0</v>
      </c>
      <c r="CF75" s="1">
        <f>((AS75-AR75)/BN$154)*$BD75</f>
        <v>0</v>
      </c>
      <c r="CG75" s="1">
        <f>((AT75-AS75)/BO$154)*$BD75</f>
        <v>0</v>
      </c>
      <c r="CH75" s="1">
        <f>((AU75-AT75)/BP$154)*$BD75</f>
        <v>3.414369370482236E-5</v>
      </c>
      <c r="CI75" s="1">
        <f>((AV75-AU75)/BQ$154)*$BD75</f>
        <v>1.1231366874199495E-5</v>
      </c>
      <c r="CJ75" s="1">
        <f>((AW75-AV75)/BR$154)*$BD75</f>
        <v>1.4272293152891438E-4</v>
      </c>
    </row>
    <row r="76" spans="1:88" x14ac:dyDescent="0.35">
      <c r="A76" s="1" t="s">
        <v>83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0.98756537921295107</v>
      </c>
      <c r="Q76" s="1">
        <v>1</v>
      </c>
      <c r="S76" s="1">
        <f t="shared" si="199"/>
        <v>100</v>
      </c>
      <c r="T76" s="1">
        <f t="shared" si="201"/>
        <v>100</v>
      </c>
      <c r="U76" s="1">
        <f t="shared" si="202"/>
        <v>100</v>
      </c>
      <c r="V76" s="1">
        <f t="shared" si="203"/>
        <v>100</v>
      </c>
      <c r="W76" s="1">
        <f t="shared" si="204"/>
        <v>100</v>
      </c>
      <c r="X76" s="1">
        <f t="shared" si="205"/>
        <v>100</v>
      </c>
      <c r="Y76" s="1">
        <f t="shared" si="206"/>
        <v>100</v>
      </c>
      <c r="Z76" s="1">
        <f t="shared" si="207"/>
        <v>100</v>
      </c>
      <c r="AA76" s="1">
        <f t="shared" si="208"/>
        <v>100</v>
      </c>
      <c r="AB76" s="1">
        <f t="shared" si="209"/>
        <v>100</v>
      </c>
      <c r="AC76" s="1">
        <f t="shared" si="210"/>
        <v>100</v>
      </c>
      <c r="AD76" s="1">
        <f t="shared" si="211"/>
        <v>100</v>
      </c>
      <c r="AE76" s="1">
        <f t="shared" si="212"/>
        <v>100</v>
      </c>
      <c r="AF76" s="1">
        <f t="shared" si="213"/>
        <v>1</v>
      </c>
      <c r="AH76" s="1" t="str">
        <f t="shared" si="214"/>
        <v>C1410.28233</v>
      </c>
      <c r="AI76" s="1">
        <f t="shared" si="160"/>
        <v>100</v>
      </c>
      <c r="AJ76" s="1">
        <f t="shared" si="161"/>
        <v>100</v>
      </c>
      <c r="AK76" s="1">
        <f t="shared" si="162"/>
        <v>100</v>
      </c>
      <c r="AL76" s="1">
        <f t="shared" si="163"/>
        <v>100</v>
      </c>
      <c r="AM76" s="1">
        <f t="shared" si="164"/>
        <v>100</v>
      </c>
      <c r="AN76" s="1">
        <f t="shared" si="165"/>
        <v>100</v>
      </c>
      <c r="AO76" s="1">
        <f t="shared" si="166"/>
        <v>100</v>
      </c>
      <c r="AP76" s="1">
        <f t="shared" si="167"/>
        <v>100</v>
      </c>
      <c r="AQ76" s="1">
        <f t="shared" si="168"/>
        <v>100</v>
      </c>
      <c r="AR76" s="1">
        <f t="shared" si="169"/>
        <v>100</v>
      </c>
      <c r="AS76" s="1">
        <f t="shared" si="170"/>
        <v>100</v>
      </c>
      <c r="AT76" s="1">
        <f t="shared" si="171"/>
        <v>100</v>
      </c>
      <c r="AU76" s="1">
        <f t="shared" ref="AU76:AW76" si="221">AT76*O76</f>
        <v>100</v>
      </c>
      <c r="AV76" s="1">
        <f t="shared" si="221"/>
        <v>98.756537921295106</v>
      </c>
      <c r="AW76" s="1">
        <f t="shared" si="221"/>
        <v>98.756537921295106</v>
      </c>
      <c r="AX76" s="1" t="b">
        <f t="shared" si="173"/>
        <v>1</v>
      </c>
      <c r="AY76" s="1" t="s">
        <v>83</v>
      </c>
      <c r="AZ76" s="1" t="str">
        <f t="shared" si="197"/>
        <v>C14</v>
      </c>
      <c r="BA76" s="1" t="str">
        <f t="shared" si="198"/>
        <v>C1410</v>
      </c>
      <c r="BB76" s="1" t="s">
        <v>304</v>
      </c>
      <c r="BC76" s="1" t="s">
        <v>305</v>
      </c>
      <c r="BD76" s="1">
        <v>6.2446449293731198E-3</v>
      </c>
      <c r="BE76" s="1">
        <f t="shared" si="181"/>
        <v>0.62446449293731199</v>
      </c>
      <c r="BF76" s="1">
        <f t="shared" si="182"/>
        <v>0.62446449293731199</v>
      </c>
      <c r="BG76" s="1">
        <f t="shared" si="183"/>
        <v>0.62446449293731199</v>
      </c>
      <c r="BH76" s="1">
        <f t="shared" si="184"/>
        <v>0.62446449293731199</v>
      </c>
      <c r="BI76" s="1">
        <f t="shared" si="185"/>
        <v>0.62446449293731199</v>
      </c>
      <c r="BJ76" s="1">
        <f t="shared" si="186"/>
        <v>0.62446449293731199</v>
      </c>
      <c r="BK76" s="1">
        <f t="shared" si="187"/>
        <v>0.62446449293731199</v>
      </c>
      <c r="BL76" s="1">
        <f t="shared" si="188"/>
        <v>0.62446449293731199</v>
      </c>
      <c r="BM76" s="1">
        <f t="shared" si="189"/>
        <v>0.62446449293731199</v>
      </c>
      <c r="BN76" s="1">
        <f t="shared" si="190"/>
        <v>0.62446449293731199</v>
      </c>
      <c r="BO76" s="1">
        <f t="shared" si="191"/>
        <v>0.62446449293731199</v>
      </c>
      <c r="BP76" s="1">
        <f t="shared" si="192"/>
        <v>0.62446449293731199</v>
      </c>
      <c r="BQ76" s="1">
        <f t="shared" si="193"/>
        <v>0.62446449293731199</v>
      </c>
      <c r="BR76" s="1">
        <f t="shared" si="194"/>
        <v>0.61669951377265975</v>
      </c>
      <c r="BS76" s="1">
        <f t="shared" si="195"/>
        <v>0.61669951377265975</v>
      </c>
      <c r="BV76" s="1" t="s">
        <v>83</v>
      </c>
      <c r="BW76" s="1">
        <f>((AJ76-AI76)/BE$154)*$BD76</f>
        <v>0</v>
      </c>
      <c r="BX76" s="1">
        <f>((AK76-AJ76)/BF$154)*$BD76</f>
        <v>0</v>
      </c>
      <c r="BY76" s="1">
        <f>((AL76-AK76)/BG$154)*$BD76</f>
        <v>0</v>
      </c>
      <c r="BZ76" s="1">
        <f>((AM76-AL76)/BH$154)*$BD76</f>
        <v>0</v>
      </c>
      <c r="CA76" s="1">
        <f>((AN76-AM76)/BI$154)*$BD76</f>
        <v>0</v>
      </c>
      <c r="CB76" s="1">
        <f>((AO76-AN76)/BJ$154)*$BD76</f>
        <v>0</v>
      </c>
      <c r="CC76" s="1">
        <f>((AP76-AO76)/BK$154)*$BD76</f>
        <v>0</v>
      </c>
      <c r="CD76" s="1">
        <f>((AQ76-AP76)/BL$154)*$BD76</f>
        <v>0</v>
      </c>
      <c r="CE76" s="1">
        <f>((AR76-AQ76)/BM$154)*$BD76</f>
        <v>0</v>
      </c>
      <c r="CF76" s="1">
        <f>((AS76-AR76)/BN$154)*$BD76</f>
        <v>0</v>
      </c>
      <c r="CG76" s="1">
        <f>((AT76-AS76)/BO$154)*$BD76</f>
        <v>0</v>
      </c>
      <c r="CH76" s="1">
        <f>((AU76-AT76)/BP$154)*$BD76</f>
        <v>0</v>
      </c>
      <c r="CI76" s="1">
        <f>((AV76-AU76)/BQ$154)*$BD76</f>
        <v>-7.680789974223586E-5</v>
      </c>
      <c r="CJ76" s="1">
        <f>((AW76-AV76)/BR$154)*$BD76</f>
        <v>0</v>
      </c>
    </row>
    <row r="77" spans="1:88" x14ac:dyDescent="0.35">
      <c r="A77" s="1" t="s">
        <v>84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1.0063434138556873</v>
      </c>
      <c r="Q77" s="1">
        <v>1</v>
      </c>
      <c r="S77" s="1">
        <f t="shared" si="199"/>
        <v>100</v>
      </c>
      <c r="T77" s="1">
        <f t="shared" si="201"/>
        <v>100</v>
      </c>
      <c r="U77" s="1">
        <f t="shared" si="202"/>
        <v>100</v>
      </c>
      <c r="V77" s="1">
        <f t="shared" si="203"/>
        <v>100</v>
      </c>
      <c r="W77" s="1">
        <f t="shared" si="204"/>
        <v>100</v>
      </c>
      <c r="X77" s="1">
        <f t="shared" si="205"/>
        <v>100</v>
      </c>
      <c r="Y77" s="1">
        <f t="shared" si="206"/>
        <v>100</v>
      </c>
      <c r="Z77" s="1">
        <f t="shared" si="207"/>
        <v>100</v>
      </c>
      <c r="AA77" s="1">
        <f t="shared" si="208"/>
        <v>100</v>
      </c>
      <c r="AB77" s="1">
        <f t="shared" si="209"/>
        <v>100</v>
      </c>
      <c r="AC77" s="1">
        <f t="shared" si="210"/>
        <v>100</v>
      </c>
      <c r="AD77" s="1">
        <f t="shared" si="211"/>
        <v>100</v>
      </c>
      <c r="AE77" s="1">
        <f t="shared" si="212"/>
        <v>100</v>
      </c>
      <c r="AF77" s="1">
        <f t="shared" si="213"/>
        <v>1</v>
      </c>
      <c r="AH77" s="1" t="str">
        <f t="shared" si="214"/>
        <v>C1410.28234</v>
      </c>
      <c r="AI77" s="1">
        <f t="shared" si="160"/>
        <v>100</v>
      </c>
      <c r="AJ77" s="1">
        <f t="shared" si="161"/>
        <v>100</v>
      </c>
      <c r="AK77" s="1">
        <f t="shared" si="162"/>
        <v>100</v>
      </c>
      <c r="AL77" s="1">
        <f t="shared" si="163"/>
        <v>100</v>
      </c>
      <c r="AM77" s="1">
        <f t="shared" si="164"/>
        <v>100</v>
      </c>
      <c r="AN77" s="1">
        <f t="shared" si="165"/>
        <v>100</v>
      </c>
      <c r="AO77" s="1">
        <f t="shared" si="166"/>
        <v>100</v>
      </c>
      <c r="AP77" s="1">
        <f t="shared" si="167"/>
        <v>100</v>
      </c>
      <c r="AQ77" s="1">
        <f t="shared" si="168"/>
        <v>100</v>
      </c>
      <c r="AR77" s="1">
        <f t="shared" si="169"/>
        <v>100</v>
      </c>
      <c r="AS77" s="1">
        <f t="shared" si="170"/>
        <v>100</v>
      </c>
      <c r="AT77" s="1">
        <f t="shared" si="171"/>
        <v>100</v>
      </c>
      <c r="AU77" s="1">
        <f t="shared" ref="AU77:AW77" si="222">AT77*O77</f>
        <v>100</v>
      </c>
      <c r="AV77" s="1">
        <f t="shared" si="222"/>
        <v>100.63434138556873</v>
      </c>
      <c r="AW77" s="1">
        <f t="shared" si="222"/>
        <v>100.63434138556873</v>
      </c>
      <c r="AX77" s="1" t="b">
        <f t="shared" si="173"/>
        <v>1</v>
      </c>
      <c r="AY77" s="1" t="s">
        <v>84</v>
      </c>
      <c r="AZ77" s="1" t="str">
        <f t="shared" si="197"/>
        <v>C14</v>
      </c>
      <c r="BA77" s="1" t="str">
        <f t="shared" si="198"/>
        <v>C1410</v>
      </c>
      <c r="BB77" s="1" t="s">
        <v>306</v>
      </c>
      <c r="BC77" s="1" t="s">
        <v>307</v>
      </c>
      <c r="BD77" s="1">
        <v>6.2446449293731198E-3</v>
      </c>
      <c r="BE77" s="1">
        <f t="shared" si="181"/>
        <v>0.62446449293731199</v>
      </c>
      <c r="BF77" s="1">
        <f t="shared" si="182"/>
        <v>0.62446449293731199</v>
      </c>
      <c r="BG77" s="1">
        <f t="shared" si="183"/>
        <v>0.62446449293731199</v>
      </c>
      <c r="BH77" s="1">
        <f t="shared" si="184"/>
        <v>0.62446449293731199</v>
      </c>
      <c r="BI77" s="1">
        <f t="shared" si="185"/>
        <v>0.62446449293731199</v>
      </c>
      <c r="BJ77" s="1">
        <f t="shared" si="186"/>
        <v>0.62446449293731199</v>
      </c>
      <c r="BK77" s="1">
        <f t="shared" si="187"/>
        <v>0.62446449293731199</v>
      </c>
      <c r="BL77" s="1">
        <f t="shared" si="188"/>
        <v>0.62446449293731199</v>
      </c>
      <c r="BM77" s="1">
        <f t="shared" si="189"/>
        <v>0.62446449293731199</v>
      </c>
      <c r="BN77" s="1">
        <f t="shared" si="190"/>
        <v>0.62446449293731199</v>
      </c>
      <c r="BO77" s="1">
        <f t="shared" si="191"/>
        <v>0.62446449293731199</v>
      </c>
      <c r="BP77" s="1">
        <f t="shared" si="192"/>
        <v>0.62446449293731199</v>
      </c>
      <c r="BQ77" s="1">
        <f t="shared" si="193"/>
        <v>0.62446449293731199</v>
      </c>
      <c r="BR77" s="1">
        <f t="shared" si="194"/>
        <v>0.6284257296541953</v>
      </c>
      <c r="BS77" s="1">
        <f t="shared" si="195"/>
        <v>0.6284257296541953</v>
      </c>
      <c r="BV77" s="1" t="s">
        <v>84</v>
      </c>
      <c r="BW77" s="1">
        <f>((AJ77-AI77)/BE$154)*$BD77</f>
        <v>0</v>
      </c>
      <c r="BX77" s="1">
        <f>((AK77-AJ77)/BF$154)*$BD77</f>
        <v>0</v>
      </c>
      <c r="BY77" s="1">
        <f>((AL77-AK77)/BG$154)*$BD77</f>
        <v>0</v>
      </c>
      <c r="BZ77" s="1">
        <f>((AM77-AL77)/BH$154)*$BD77</f>
        <v>0</v>
      </c>
      <c r="CA77" s="1">
        <f>((AN77-AM77)/BI$154)*$BD77</f>
        <v>0</v>
      </c>
      <c r="CB77" s="1">
        <f>((AO77-AN77)/BJ$154)*$BD77</f>
        <v>0</v>
      </c>
      <c r="CC77" s="1">
        <f>((AP77-AO77)/BK$154)*$BD77</f>
        <v>0</v>
      </c>
      <c r="CD77" s="1">
        <f>((AQ77-AP77)/BL$154)*$BD77</f>
        <v>0</v>
      </c>
      <c r="CE77" s="1">
        <f>((AR77-AQ77)/BM$154)*$BD77</f>
        <v>0</v>
      </c>
      <c r="CF77" s="1">
        <f>((AS77-AR77)/BN$154)*$BD77</f>
        <v>0</v>
      </c>
      <c r="CG77" s="1">
        <f>((AT77-AS77)/BO$154)*$BD77</f>
        <v>0</v>
      </c>
      <c r="CH77" s="1">
        <f>((AU77-AT77)/BP$154)*$BD77</f>
        <v>0</v>
      </c>
      <c r="CI77" s="1">
        <f>((AV77-AU77)/BQ$154)*$BD77</f>
        <v>3.9182883321910468E-5</v>
      </c>
      <c r="CJ77" s="1">
        <f>((AW77-AV77)/BR$154)*$BD77</f>
        <v>0</v>
      </c>
    </row>
    <row r="78" spans="1:88" x14ac:dyDescent="0.35">
      <c r="A78" s="1" t="s">
        <v>85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S78" s="1">
        <f t="shared" si="199"/>
        <v>100</v>
      </c>
      <c r="T78" s="1">
        <f t="shared" si="201"/>
        <v>100</v>
      </c>
      <c r="U78" s="1">
        <f t="shared" si="202"/>
        <v>100</v>
      </c>
      <c r="V78" s="1">
        <f t="shared" si="203"/>
        <v>100</v>
      </c>
      <c r="W78" s="1">
        <f t="shared" si="204"/>
        <v>100</v>
      </c>
      <c r="X78" s="1">
        <f t="shared" si="205"/>
        <v>100</v>
      </c>
      <c r="Y78" s="1">
        <f t="shared" si="206"/>
        <v>100</v>
      </c>
      <c r="Z78" s="1">
        <f t="shared" si="207"/>
        <v>100</v>
      </c>
      <c r="AA78" s="1">
        <f t="shared" si="208"/>
        <v>100</v>
      </c>
      <c r="AB78" s="1">
        <f t="shared" si="209"/>
        <v>100</v>
      </c>
      <c r="AC78" s="1">
        <f t="shared" si="210"/>
        <v>100</v>
      </c>
      <c r="AD78" s="1">
        <f t="shared" si="211"/>
        <v>100</v>
      </c>
      <c r="AE78" s="1">
        <f t="shared" si="212"/>
        <v>100</v>
      </c>
      <c r="AF78" s="1">
        <f t="shared" si="213"/>
        <v>1</v>
      </c>
      <c r="AH78" s="1" t="str">
        <f t="shared" si="214"/>
        <v>C1410.88221</v>
      </c>
      <c r="AI78" s="1">
        <f t="shared" si="160"/>
        <v>100</v>
      </c>
      <c r="AJ78" s="1">
        <f t="shared" si="161"/>
        <v>100</v>
      </c>
      <c r="AK78" s="1">
        <f t="shared" si="162"/>
        <v>100</v>
      </c>
      <c r="AL78" s="1">
        <f t="shared" si="163"/>
        <v>100</v>
      </c>
      <c r="AM78" s="1">
        <f t="shared" si="164"/>
        <v>100</v>
      </c>
      <c r="AN78" s="1">
        <f t="shared" si="165"/>
        <v>100</v>
      </c>
      <c r="AO78" s="1">
        <f t="shared" si="166"/>
        <v>100</v>
      </c>
      <c r="AP78" s="1">
        <f t="shared" si="167"/>
        <v>100</v>
      </c>
      <c r="AQ78" s="1">
        <f t="shared" si="168"/>
        <v>100</v>
      </c>
      <c r="AR78" s="1">
        <f t="shared" si="169"/>
        <v>100</v>
      </c>
      <c r="AS78" s="1">
        <f t="shared" si="170"/>
        <v>100</v>
      </c>
      <c r="AT78" s="1">
        <f t="shared" si="171"/>
        <v>100</v>
      </c>
      <c r="AU78" s="1">
        <f t="shared" ref="AU78:AW78" si="223">AT78*O78</f>
        <v>100</v>
      </c>
      <c r="AV78" s="1">
        <f t="shared" si="223"/>
        <v>100</v>
      </c>
      <c r="AW78" s="1">
        <f t="shared" si="223"/>
        <v>100</v>
      </c>
      <c r="AX78" s="1" t="b">
        <f t="shared" si="173"/>
        <v>1</v>
      </c>
      <c r="AY78" s="1" t="s">
        <v>85</v>
      </c>
      <c r="AZ78" s="1" t="str">
        <f t="shared" si="197"/>
        <v>C14</v>
      </c>
      <c r="BA78" s="1" t="str">
        <f t="shared" si="198"/>
        <v>C1410</v>
      </c>
      <c r="BB78" s="1" t="s">
        <v>308</v>
      </c>
      <c r="BC78" s="1" t="s">
        <v>309</v>
      </c>
      <c r="BD78" s="1">
        <v>1.2537708851376882E-2</v>
      </c>
      <c r="BE78" s="1">
        <f t="shared" si="181"/>
        <v>1.2537708851376883</v>
      </c>
      <c r="BF78" s="1">
        <f t="shared" si="182"/>
        <v>1.2537708851376883</v>
      </c>
      <c r="BG78" s="1">
        <f t="shared" si="183"/>
        <v>1.2537708851376883</v>
      </c>
      <c r="BH78" s="1">
        <f t="shared" si="184"/>
        <v>1.2537708851376883</v>
      </c>
      <c r="BI78" s="1">
        <f t="shared" si="185"/>
        <v>1.2537708851376883</v>
      </c>
      <c r="BJ78" s="1">
        <f t="shared" si="186"/>
        <v>1.2537708851376883</v>
      </c>
      <c r="BK78" s="1">
        <f t="shared" si="187"/>
        <v>1.2537708851376883</v>
      </c>
      <c r="BL78" s="1">
        <f t="shared" si="188"/>
        <v>1.2537708851376883</v>
      </c>
      <c r="BM78" s="1">
        <f t="shared" si="189"/>
        <v>1.2537708851376883</v>
      </c>
      <c r="BN78" s="1">
        <f t="shared" si="190"/>
        <v>1.2537708851376883</v>
      </c>
      <c r="BO78" s="1">
        <f t="shared" si="191"/>
        <v>1.2537708851376883</v>
      </c>
      <c r="BP78" s="1">
        <f t="shared" si="192"/>
        <v>1.2537708851376883</v>
      </c>
      <c r="BQ78" s="1">
        <f t="shared" si="193"/>
        <v>1.2537708851376883</v>
      </c>
      <c r="BR78" s="1">
        <f t="shared" si="194"/>
        <v>1.2537708851376883</v>
      </c>
      <c r="BS78" s="1">
        <f t="shared" si="195"/>
        <v>1.2537708851376883</v>
      </c>
      <c r="BV78" s="1" t="s">
        <v>85</v>
      </c>
      <c r="BW78" s="1">
        <f>((AJ78-AI78)/BE$154)*$BD78</f>
        <v>0</v>
      </c>
      <c r="BX78" s="1">
        <f>((AK78-AJ78)/BF$154)*$BD78</f>
        <v>0</v>
      </c>
      <c r="BY78" s="1">
        <f>((AL78-AK78)/BG$154)*$BD78</f>
        <v>0</v>
      </c>
      <c r="BZ78" s="1">
        <f>((AM78-AL78)/BH$154)*$BD78</f>
        <v>0</v>
      </c>
      <c r="CA78" s="1">
        <f>((AN78-AM78)/BI$154)*$BD78</f>
        <v>0</v>
      </c>
      <c r="CB78" s="1">
        <f>((AO78-AN78)/BJ$154)*$BD78</f>
        <v>0</v>
      </c>
      <c r="CC78" s="1">
        <f>((AP78-AO78)/BK$154)*$BD78</f>
        <v>0</v>
      </c>
      <c r="CD78" s="1">
        <f>((AQ78-AP78)/BL$154)*$BD78</f>
        <v>0</v>
      </c>
      <c r="CE78" s="1">
        <f>((AR78-AQ78)/BM$154)*$BD78</f>
        <v>0</v>
      </c>
      <c r="CF78" s="1">
        <f>((AS78-AR78)/BN$154)*$BD78</f>
        <v>0</v>
      </c>
      <c r="CG78" s="1">
        <f>((AT78-AS78)/BO$154)*$BD78</f>
        <v>0</v>
      </c>
      <c r="CH78" s="1">
        <f>((AU78-AT78)/BP$154)*$BD78</f>
        <v>0</v>
      </c>
      <c r="CI78" s="1">
        <f>((AV78-AU78)/BQ$154)*$BD78</f>
        <v>0</v>
      </c>
      <c r="CJ78" s="1">
        <f>((AW78-AV78)/BR$154)*$BD78</f>
        <v>0</v>
      </c>
    </row>
    <row r="79" spans="1:88" x14ac:dyDescent="0.35">
      <c r="A79" s="1" t="s">
        <v>86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S79" s="1">
        <f t="shared" si="199"/>
        <v>100</v>
      </c>
      <c r="T79" s="1">
        <f t="shared" si="201"/>
        <v>100</v>
      </c>
      <c r="U79" s="1">
        <f t="shared" si="202"/>
        <v>100</v>
      </c>
      <c r="V79" s="1">
        <f t="shared" si="203"/>
        <v>100</v>
      </c>
      <c r="W79" s="1">
        <f t="shared" si="204"/>
        <v>100</v>
      </c>
      <c r="X79" s="1">
        <f t="shared" si="205"/>
        <v>100</v>
      </c>
      <c r="Y79" s="1">
        <f t="shared" si="206"/>
        <v>100</v>
      </c>
      <c r="Z79" s="1">
        <f t="shared" si="207"/>
        <v>100</v>
      </c>
      <c r="AA79" s="1">
        <f t="shared" si="208"/>
        <v>100</v>
      </c>
      <c r="AB79" s="1">
        <f t="shared" si="209"/>
        <v>100</v>
      </c>
      <c r="AC79" s="1">
        <f t="shared" si="210"/>
        <v>100</v>
      </c>
      <c r="AD79" s="1">
        <f t="shared" si="211"/>
        <v>100</v>
      </c>
      <c r="AE79" s="1">
        <f t="shared" si="212"/>
        <v>100</v>
      </c>
      <c r="AF79" s="1">
        <f t="shared" si="213"/>
        <v>1</v>
      </c>
      <c r="AH79" s="1" t="str">
        <f t="shared" si="214"/>
        <v>C1410.88223</v>
      </c>
      <c r="AI79" s="1">
        <f t="shared" si="160"/>
        <v>100</v>
      </c>
      <c r="AJ79" s="1">
        <f t="shared" si="161"/>
        <v>100</v>
      </c>
      <c r="AK79" s="1">
        <f t="shared" si="162"/>
        <v>100</v>
      </c>
      <c r="AL79" s="1">
        <f t="shared" si="163"/>
        <v>100</v>
      </c>
      <c r="AM79" s="1">
        <f t="shared" si="164"/>
        <v>100</v>
      </c>
      <c r="AN79" s="1">
        <f t="shared" si="165"/>
        <v>100</v>
      </c>
      <c r="AO79" s="1">
        <f t="shared" si="166"/>
        <v>100</v>
      </c>
      <c r="AP79" s="1">
        <f t="shared" si="167"/>
        <v>100</v>
      </c>
      <c r="AQ79" s="1">
        <f t="shared" si="168"/>
        <v>100</v>
      </c>
      <c r="AR79" s="1">
        <f t="shared" si="169"/>
        <v>100</v>
      </c>
      <c r="AS79" s="1">
        <f t="shared" si="170"/>
        <v>100</v>
      </c>
      <c r="AT79" s="1">
        <f t="shared" si="171"/>
        <v>100</v>
      </c>
      <c r="AU79" s="1">
        <f t="shared" ref="AU79:AW79" si="224">AT79*O79</f>
        <v>100</v>
      </c>
      <c r="AV79" s="1">
        <f t="shared" si="224"/>
        <v>100</v>
      </c>
      <c r="AW79" s="1">
        <f t="shared" si="224"/>
        <v>100</v>
      </c>
      <c r="AX79" s="1" t="b">
        <f t="shared" si="173"/>
        <v>1</v>
      </c>
      <c r="AY79" s="1" t="s">
        <v>86</v>
      </c>
      <c r="AZ79" s="1" t="str">
        <f t="shared" si="197"/>
        <v>C14</v>
      </c>
      <c r="BA79" s="1" t="str">
        <f t="shared" si="198"/>
        <v>C1410</v>
      </c>
      <c r="BB79" s="1" t="s">
        <v>310</v>
      </c>
      <c r="BC79" s="1" t="s">
        <v>311</v>
      </c>
      <c r="BD79" s="1">
        <v>1.2537708851376882E-2</v>
      </c>
      <c r="BE79" s="1">
        <f t="shared" si="181"/>
        <v>1.2537708851376883</v>
      </c>
      <c r="BF79" s="1">
        <f t="shared" si="182"/>
        <v>1.2537708851376883</v>
      </c>
      <c r="BG79" s="1">
        <f t="shared" si="183"/>
        <v>1.2537708851376883</v>
      </c>
      <c r="BH79" s="1">
        <f t="shared" si="184"/>
        <v>1.2537708851376883</v>
      </c>
      <c r="BI79" s="1">
        <f t="shared" si="185"/>
        <v>1.2537708851376883</v>
      </c>
      <c r="BJ79" s="1">
        <f t="shared" si="186"/>
        <v>1.2537708851376883</v>
      </c>
      <c r="BK79" s="1">
        <f t="shared" si="187"/>
        <v>1.2537708851376883</v>
      </c>
      <c r="BL79" s="1">
        <f t="shared" si="188"/>
        <v>1.2537708851376883</v>
      </c>
      <c r="BM79" s="1">
        <f t="shared" si="189"/>
        <v>1.2537708851376883</v>
      </c>
      <c r="BN79" s="1">
        <f t="shared" si="190"/>
        <v>1.2537708851376883</v>
      </c>
      <c r="BO79" s="1">
        <f t="shared" si="191"/>
        <v>1.2537708851376883</v>
      </c>
      <c r="BP79" s="1">
        <f t="shared" si="192"/>
        <v>1.2537708851376883</v>
      </c>
      <c r="BQ79" s="1">
        <f t="shared" si="193"/>
        <v>1.2537708851376883</v>
      </c>
      <c r="BR79" s="1">
        <f t="shared" si="194"/>
        <v>1.2537708851376883</v>
      </c>
      <c r="BS79" s="1">
        <f t="shared" si="195"/>
        <v>1.2537708851376883</v>
      </c>
      <c r="BV79" s="1" t="s">
        <v>86</v>
      </c>
      <c r="BW79" s="1">
        <f>((AJ79-AI79)/BE$154)*$BD79</f>
        <v>0</v>
      </c>
      <c r="BX79" s="1">
        <f>((AK79-AJ79)/BF$154)*$BD79</f>
        <v>0</v>
      </c>
      <c r="BY79" s="1">
        <f>((AL79-AK79)/BG$154)*$BD79</f>
        <v>0</v>
      </c>
      <c r="BZ79" s="1">
        <f>((AM79-AL79)/BH$154)*$BD79</f>
        <v>0</v>
      </c>
      <c r="CA79" s="1">
        <f>((AN79-AM79)/BI$154)*$BD79</f>
        <v>0</v>
      </c>
      <c r="CB79" s="1">
        <f>((AO79-AN79)/BJ$154)*$BD79</f>
        <v>0</v>
      </c>
      <c r="CC79" s="1">
        <f>((AP79-AO79)/BK$154)*$BD79</f>
        <v>0</v>
      </c>
      <c r="CD79" s="1">
        <f>((AQ79-AP79)/BL$154)*$BD79</f>
        <v>0</v>
      </c>
      <c r="CE79" s="1">
        <f>((AR79-AQ79)/BM$154)*$BD79</f>
        <v>0</v>
      </c>
      <c r="CF79" s="1">
        <f>((AS79-AR79)/BN$154)*$BD79</f>
        <v>0</v>
      </c>
      <c r="CG79" s="1">
        <f>((AT79-AS79)/BO$154)*$BD79</f>
        <v>0</v>
      </c>
      <c r="CH79" s="1">
        <f>((AU79-AT79)/BP$154)*$BD79</f>
        <v>0</v>
      </c>
      <c r="CI79" s="1">
        <f>((AV79-AU79)/BQ$154)*$BD79</f>
        <v>0</v>
      </c>
      <c r="CJ79" s="1">
        <f>((AW79-AV79)/BR$154)*$BD79</f>
        <v>0</v>
      </c>
    </row>
    <row r="80" spans="1:88" x14ac:dyDescent="0.35">
      <c r="A80" s="1" t="s">
        <v>87</v>
      </c>
      <c r="B80" s="1">
        <v>1</v>
      </c>
      <c r="C80" s="1">
        <v>1</v>
      </c>
      <c r="D80" s="1">
        <v>0.98529198113254879</v>
      </c>
      <c r="E80" s="1">
        <v>1.038136735973034</v>
      </c>
      <c r="F80" s="1">
        <v>1</v>
      </c>
      <c r="G80" s="1">
        <v>1</v>
      </c>
      <c r="H80" s="1">
        <v>0.98529198113254879</v>
      </c>
      <c r="I80" s="1">
        <v>1.0276698812961371</v>
      </c>
      <c r="J80" s="1">
        <v>1</v>
      </c>
      <c r="K80" s="1">
        <v>0.98973886832140168</v>
      </c>
      <c r="L80" s="1">
        <v>1</v>
      </c>
      <c r="M80" s="1">
        <v>1</v>
      </c>
      <c r="N80" s="1">
        <v>1</v>
      </c>
      <c r="O80" s="1">
        <v>1</v>
      </c>
      <c r="P80" s="1">
        <v>1.0142876446230167</v>
      </c>
      <c r="Q80" s="1">
        <v>0.99441329125265832</v>
      </c>
      <c r="S80" s="1">
        <f t="shared" si="199"/>
        <v>100</v>
      </c>
      <c r="T80" s="1">
        <f t="shared" si="201"/>
        <v>98.529198113254878</v>
      </c>
      <c r="U80" s="1">
        <f t="shared" si="202"/>
        <v>102.28678012733484</v>
      </c>
      <c r="V80" s="1">
        <f t="shared" si="203"/>
        <v>102.28678012733484</v>
      </c>
      <c r="W80" s="1">
        <f t="shared" si="204"/>
        <v>102.28678012733484</v>
      </c>
      <c r="X80" s="1">
        <f t="shared" si="205"/>
        <v>100.78234423533117</v>
      </c>
      <c r="Y80" s="1">
        <f t="shared" si="206"/>
        <v>103.57097973706921</v>
      </c>
      <c r="Z80" s="1">
        <f t="shared" si="207"/>
        <v>103.57097973706921</v>
      </c>
      <c r="AA80" s="1">
        <f t="shared" si="208"/>
        <v>102.5082242759057</v>
      </c>
      <c r="AB80" s="1">
        <f t="shared" si="209"/>
        <v>102.5082242759057</v>
      </c>
      <c r="AC80" s="1">
        <f t="shared" si="210"/>
        <v>102.5082242759057</v>
      </c>
      <c r="AD80" s="1">
        <f t="shared" si="211"/>
        <v>102.5082242759057</v>
      </c>
      <c r="AE80" s="1">
        <f t="shared" si="212"/>
        <v>101.94556160902931</v>
      </c>
      <c r="AF80" s="1">
        <f t="shared" si="213"/>
        <v>0.98091568109173088</v>
      </c>
      <c r="AH80" s="1" t="str">
        <f t="shared" si="214"/>
        <v>C1520.29320</v>
      </c>
      <c r="AI80" s="1">
        <f t="shared" si="160"/>
        <v>98.091568109173082</v>
      </c>
      <c r="AJ80" s="1">
        <f t="shared" si="161"/>
        <v>96.648835474685498</v>
      </c>
      <c r="AK80" s="1">
        <f t="shared" si="162"/>
        <v>100.33470659528477</v>
      </c>
      <c r="AL80" s="1">
        <f t="shared" si="163"/>
        <v>100.33470659528477</v>
      </c>
      <c r="AM80" s="1">
        <f t="shared" si="164"/>
        <v>100.33470659528477</v>
      </c>
      <c r="AN80" s="1">
        <f t="shared" si="165"/>
        <v>98.858981837621144</v>
      </c>
      <c r="AO80" s="1">
        <f t="shared" si="166"/>
        <v>101.5943981301251</v>
      </c>
      <c r="AP80" s="1">
        <f t="shared" si="167"/>
        <v>101.5943981301251</v>
      </c>
      <c r="AQ80" s="1">
        <f t="shared" si="168"/>
        <v>100.55192463310395</v>
      </c>
      <c r="AR80" s="1">
        <f t="shared" si="169"/>
        <v>100.55192463310395</v>
      </c>
      <c r="AS80" s="1">
        <f t="shared" si="170"/>
        <v>100.55192463310395</v>
      </c>
      <c r="AT80" s="1">
        <f t="shared" si="171"/>
        <v>100.55192463310395</v>
      </c>
      <c r="AU80" s="1">
        <f t="shared" ref="AU80:AW80" si="225">AT80*O80</f>
        <v>100.55192463310395</v>
      </c>
      <c r="AV80" s="1">
        <f t="shared" si="225"/>
        <v>101.98857479842209</v>
      </c>
      <c r="AW80" s="1">
        <f t="shared" si="225"/>
        <v>101.41879433546684</v>
      </c>
      <c r="AX80" s="1" t="b">
        <f t="shared" si="173"/>
        <v>1</v>
      </c>
      <c r="AY80" s="1" t="s">
        <v>87</v>
      </c>
      <c r="AZ80" s="1" t="str">
        <f t="shared" si="197"/>
        <v>C15</v>
      </c>
      <c r="BA80" s="1" t="str">
        <f t="shared" si="198"/>
        <v>C1520</v>
      </c>
      <c r="BB80" s="1" t="s">
        <v>312</v>
      </c>
      <c r="BC80" s="1" t="s">
        <v>313</v>
      </c>
      <c r="BD80" s="1">
        <v>3.5270241000204925E-3</v>
      </c>
      <c r="BE80" s="1">
        <f t="shared" si="181"/>
        <v>0.34597132472985503</v>
      </c>
      <c r="BF80" s="1">
        <f t="shared" si="182"/>
        <v>0.34088277195813127</v>
      </c>
      <c r="BG80" s="1">
        <f t="shared" si="183"/>
        <v>0.35388292823005446</v>
      </c>
      <c r="BH80" s="1">
        <f t="shared" si="184"/>
        <v>0.35388292823005446</v>
      </c>
      <c r="BI80" s="1">
        <f t="shared" si="185"/>
        <v>0.35388292823005446</v>
      </c>
      <c r="BJ80" s="1">
        <f t="shared" si="186"/>
        <v>0.34867801144477795</v>
      </c>
      <c r="BK80" s="1">
        <f t="shared" si="187"/>
        <v>0.35832589063202808</v>
      </c>
      <c r="BL80" s="1">
        <f t="shared" si="188"/>
        <v>0.35832589063202808</v>
      </c>
      <c r="BM80" s="1">
        <f t="shared" si="189"/>
        <v>0.35464906148440184</v>
      </c>
      <c r="BN80" s="1">
        <f t="shared" si="190"/>
        <v>0.35464906148440184</v>
      </c>
      <c r="BO80" s="1">
        <f t="shared" si="191"/>
        <v>0.35464906148440184</v>
      </c>
      <c r="BP80" s="1">
        <f t="shared" si="192"/>
        <v>0.35464906148440184</v>
      </c>
      <c r="BQ80" s="1">
        <f t="shared" si="193"/>
        <v>0.35464906148440184</v>
      </c>
      <c r="BR80" s="1">
        <f t="shared" si="194"/>
        <v>0.35971616124077738</v>
      </c>
      <c r="BS80" s="1">
        <f t="shared" si="195"/>
        <v>0.35770653181621337</v>
      </c>
      <c r="BV80" s="1" t="s">
        <v>87</v>
      </c>
      <c r="BW80" s="1">
        <f>((AJ80-AI80)/BE$154)*$BD80</f>
        <v>-5.1116783255591052E-5</v>
      </c>
      <c r="BX80" s="1">
        <f>((AK80-AJ80)/BF$154)*$BD80</f>
        <v>1.3066381711364968E-4</v>
      </c>
      <c r="BY80" s="1">
        <f>((AL80-AK80)/BG$154)*$BD80</f>
        <v>0</v>
      </c>
      <c r="BZ80" s="1">
        <f>((AM80-AL80)/BH$154)*$BD80</f>
        <v>0</v>
      </c>
      <c r="CA80" s="1">
        <f>((AN80-AM80)/BI$154)*$BD80</f>
        <v>-5.2164348838957507E-5</v>
      </c>
      <c r="CB80" s="1">
        <f>((AO80-AN80)/BJ$154)*$BD80</f>
        <v>9.6641101894811719E-5</v>
      </c>
      <c r="CC80" s="1">
        <f>((AP80-AO80)/BK$154)*$BD80</f>
        <v>0</v>
      </c>
      <c r="CD80" s="1">
        <f>((AQ80-AP80)/BL$154)*$BD80</f>
        <v>-3.6766044694588322E-5</v>
      </c>
      <c r="CE80" s="1">
        <f>((AR80-AQ80)/BM$154)*$BD80</f>
        <v>0</v>
      </c>
      <c r="CF80" s="1">
        <f>((AS80-AR80)/BN$154)*$BD80</f>
        <v>0</v>
      </c>
      <c r="CG80" s="1">
        <f>((AT80-AS80)/BO$154)*$BD80</f>
        <v>0</v>
      </c>
      <c r="CH80" s="1">
        <f>((AU80-AT80)/BP$154)*$BD80</f>
        <v>0</v>
      </c>
      <c r="CI80" s="1">
        <f>((AV80-AU80)/BQ$154)*$BD80</f>
        <v>5.012161421414791E-5</v>
      </c>
      <c r="CJ80" s="1">
        <f>((AW80-AV80)/BR$154)*$BD80</f>
        <v>-1.9842759144983991E-5</v>
      </c>
    </row>
    <row r="81" spans="1:88" x14ac:dyDescent="0.35">
      <c r="A81" s="1" t="s">
        <v>88</v>
      </c>
      <c r="B81" s="1">
        <v>1</v>
      </c>
      <c r="C81" s="1">
        <v>1</v>
      </c>
      <c r="D81" s="1">
        <v>1.0027290917562159</v>
      </c>
      <c r="E81" s="1">
        <v>0.99910317412707306</v>
      </c>
      <c r="F81" s="1">
        <v>1.0011723627453795</v>
      </c>
      <c r="G81" s="1">
        <v>1.0043236770520434</v>
      </c>
      <c r="H81" s="1">
        <v>0.99931711196542772</v>
      </c>
      <c r="I81" s="1">
        <v>1.00243733262146</v>
      </c>
      <c r="J81" s="1">
        <v>1.000729890667821</v>
      </c>
      <c r="K81" s="1">
        <v>0.99915450725414956</v>
      </c>
      <c r="L81" s="1">
        <v>1.0012202135136066</v>
      </c>
      <c r="M81" s="1">
        <v>1.0002433270682141</v>
      </c>
      <c r="N81" s="1">
        <v>1.0051856481961867</v>
      </c>
      <c r="O81" s="1">
        <v>1.0111349066258799</v>
      </c>
      <c r="P81" s="1">
        <v>0.99964991492766342</v>
      </c>
      <c r="Q81" s="1">
        <v>1.0003502076748159</v>
      </c>
      <c r="S81" s="1">
        <f t="shared" si="199"/>
        <v>100</v>
      </c>
      <c r="T81" s="1">
        <f t="shared" si="201"/>
        <v>100.27290917562159</v>
      </c>
      <c r="U81" s="1">
        <f t="shared" si="202"/>
        <v>100.18298183631924</v>
      </c>
      <c r="V81" s="1">
        <f t="shared" si="203"/>
        <v>100.30043263194517</v>
      </c>
      <c r="W81" s="1">
        <f t="shared" si="204"/>
        <v>100.73409931082594</v>
      </c>
      <c r="X81" s="1">
        <f t="shared" si="205"/>
        <v>100.66530919973316</v>
      </c>
      <c r="Y81" s="1">
        <f t="shared" si="206"/>
        <v>100.91066404169501</v>
      </c>
      <c r="Z81" s="1">
        <f t="shared" si="207"/>
        <v>100.98431779366267</v>
      </c>
      <c r="AA81" s="1">
        <f t="shared" si="208"/>
        <v>100.89893628552348</v>
      </c>
      <c r="AB81" s="1">
        <f t="shared" si="209"/>
        <v>101.0220545310876</v>
      </c>
      <c r="AC81" s="1">
        <f t="shared" si="210"/>
        <v>101.04663593144161</v>
      </c>
      <c r="AD81" s="1">
        <f t="shared" si="211"/>
        <v>101.57062823679023</v>
      </c>
      <c r="AE81" s="1">
        <f t="shared" si="212"/>
        <v>100.7157474145538</v>
      </c>
      <c r="AF81" s="1">
        <f t="shared" si="213"/>
        <v>0.99289339122304543</v>
      </c>
      <c r="AH81" s="1" t="str">
        <f t="shared" si="214"/>
        <v>C1520.29330</v>
      </c>
      <c r="AI81" s="1">
        <f t="shared" si="160"/>
        <v>99.28933912230454</v>
      </c>
      <c r="AJ81" s="1">
        <f t="shared" si="161"/>
        <v>99.56030883918335</v>
      </c>
      <c r="AK81" s="1">
        <f t="shared" si="162"/>
        <v>99.471020578299772</v>
      </c>
      <c r="AL81" s="1">
        <f t="shared" si="163"/>
        <v>99.58763669707065</v>
      </c>
      <c r="AM81" s="1">
        <f t="shared" si="164"/>
        <v>100.01822147652501</v>
      </c>
      <c r="AN81" s="1">
        <f t="shared" si="165"/>
        <v>99.949920229839492</v>
      </c>
      <c r="AO81" s="1">
        <f t="shared" si="166"/>
        <v>100.19353143092799</v>
      </c>
      <c r="AP81" s="1">
        <f t="shared" si="167"/>
        <v>100.26666175449546</v>
      </c>
      <c r="AQ81" s="1">
        <f t="shared" si="168"/>
        <v>100.1818870193314</v>
      </c>
      <c r="AR81" s="1">
        <f t="shared" si="169"/>
        <v>100.304130311691</v>
      </c>
      <c r="AS81" s="1">
        <f t="shared" si="170"/>
        <v>100.3285370216495</v>
      </c>
      <c r="AT81" s="1">
        <f t="shared" si="171"/>
        <v>100.84880551868187</v>
      </c>
      <c r="AU81" s="1">
        <f t="shared" ref="AU81:AW81" si="226">AT81*O81</f>
        <v>101.97174755146392</v>
      </c>
      <c r="AV81" s="1">
        <f t="shared" si="226"/>
        <v>101.93604876484608</v>
      </c>
      <c r="AW81" s="1">
        <f t="shared" si="226"/>
        <v>101.97174755146393</v>
      </c>
      <c r="AX81" s="1" t="b">
        <f t="shared" si="173"/>
        <v>1</v>
      </c>
      <c r="AY81" s="1" t="s">
        <v>88</v>
      </c>
      <c r="AZ81" s="1" t="str">
        <f t="shared" si="197"/>
        <v>C15</v>
      </c>
      <c r="BA81" s="1" t="str">
        <f t="shared" si="198"/>
        <v>C1520</v>
      </c>
      <c r="BB81" s="1" t="s">
        <v>314</v>
      </c>
      <c r="BC81" s="1" t="s">
        <v>315</v>
      </c>
      <c r="BD81" s="1">
        <v>3.5270241000204925E-3</v>
      </c>
      <c r="BE81" s="1">
        <f t="shared" si="181"/>
        <v>0.35019589195947565</v>
      </c>
      <c r="BF81" s="1">
        <f t="shared" si="182"/>
        <v>0.35115160868128292</v>
      </c>
      <c r="BG81" s="1">
        <f t="shared" si="183"/>
        <v>0.35083668683329766</v>
      </c>
      <c r="BH81" s="1">
        <f t="shared" si="184"/>
        <v>0.3512479946946534</v>
      </c>
      <c r="BI81" s="1">
        <f t="shared" si="185"/>
        <v>0.35276667758889091</v>
      </c>
      <c r="BJ81" s="1">
        <f t="shared" si="186"/>
        <v>0.35252577744576963</v>
      </c>
      <c r="BK81" s="1">
        <f t="shared" si="187"/>
        <v>0.35338500002304374</v>
      </c>
      <c r="BL81" s="1">
        <f t="shared" si="188"/>
        <v>0.35364293243670847</v>
      </c>
      <c r="BM81" s="1">
        <f t="shared" si="189"/>
        <v>0.35334392990271196</v>
      </c>
      <c r="BN81" s="1">
        <f t="shared" si="190"/>
        <v>0.35377508494093013</v>
      </c>
      <c r="BO81" s="1">
        <f t="shared" si="191"/>
        <v>0.35386116799515599</v>
      </c>
      <c r="BP81" s="1">
        <f t="shared" si="192"/>
        <v>0.35569616752267058</v>
      </c>
      <c r="BQ81" s="1">
        <f t="shared" si="193"/>
        <v>0.35965681113521891</v>
      </c>
      <c r="BR81" s="1">
        <f t="shared" si="194"/>
        <v>0.35953090065447629</v>
      </c>
      <c r="BS81" s="1">
        <f t="shared" si="195"/>
        <v>0.35965681113521891</v>
      </c>
      <c r="BV81" s="1" t="s">
        <v>88</v>
      </c>
      <c r="BW81" s="1">
        <f>((AJ81-AI81)/BE$154)*$BD81</f>
        <v>9.6006009397870793E-6</v>
      </c>
      <c r="BX81" s="1">
        <f>((AK81-AJ81)/BF$154)*$BD81</f>
        <v>-3.1652612391370797E-6</v>
      </c>
      <c r="BY81" s="1">
        <f>((AL81-AK81)/BG$154)*$BD81</f>
        <v>4.1359147344047081E-6</v>
      </c>
      <c r="BZ81" s="1">
        <f>((AM81-AL81)/BH$154)*$BD81</f>
        <v>1.5236787579434845E-5</v>
      </c>
      <c r="CA81" s="1">
        <f>((AN81-AM81)/BI$154)*$BD81</f>
        <v>-2.4143323744734252E-6</v>
      </c>
      <c r="CB81" s="1">
        <f>((AO81-AN81)/BJ$154)*$BD81</f>
        <v>8.6066808081925551E-6</v>
      </c>
      <c r="CC81" s="1">
        <f>((AP81-AO81)/BK$154)*$BD81</f>
        <v>2.582921460195952E-6</v>
      </c>
      <c r="CD81" s="1">
        <f>((AQ81-AP81)/BL$154)*$BD81</f>
        <v>-2.9898426299757622E-6</v>
      </c>
      <c r="CE81" s="1">
        <f>((AR81-AQ81)/BM$154)*$BD81</f>
        <v>4.2941071252622749E-6</v>
      </c>
      <c r="CF81" s="1">
        <f>((AS81-AR81)/BN$154)*$BD81</f>
        <v>8.5663787586519327E-7</v>
      </c>
      <c r="CG81" s="1">
        <f>((AT81-AS81)/BO$154)*$BD81</f>
        <v>1.8218822790812365E-5</v>
      </c>
      <c r="CH81" s="1">
        <f>((AU81-AT81)/BP$154)*$BD81</f>
        <v>3.9313333126119525E-5</v>
      </c>
      <c r="CI81" s="1">
        <f>((AV81-AU81)/BQ$154)*$BD81</f>
        <v>-1.245453384524183E-6</v>
      </c>
      <c r="CJ81" s="1">
        <f>((AW81-AV81)/BR$154)*$BD81</f>
        <v>1.2432199253591269E-6</v>
      </c>
    </row>
    <row r="82" spans="1:88" x14ac:dyDescent="0.35">
      <c r="A82" s="1" t="s">
        <v>89</v>
      </c>
      <c r="B82" s="1">
        <v>1</v>
      </c>
      <c r="C82" s="1">
        <v>1</v>
      </c>
      <c r="D82" s="1">
        <v>1</v>
      </c>
      <c r="E82" s="1">
        <v>1</v>
      </c>
      <c r="F82" s="1">
        <v>1.071428571428571</v>
      </c>
      <c r="G82" s="1">
        <v>1</v>
      </c>
      <c r="H82" s="1">
        <v>0.93333333333333335</v>
      </c>
      <c r="I82" s="1">
        <v>1</v>
      </c>
      <c r="J82" s="1">
        <v>1</v>
      </c>
      <c r="K82" s="1">
        <v>1.071428571428571</v>
      </c>
      <c r="L82" s="1">
        <v>0.93333333333333335</v>
      </c>
      <c r="M82" s="1">
        <v>1</v>
      </c>
      <c r="N82" s="1">
        <v>1</v>
      </c>
      <c r="O82" s="1">
        <v>1.071428571428571</v>
      </c>
      <c r="P82" s="1">
        <v>1</v>
      </c>
      <c r="Q82" s="1">
        <v>1</v>
      </c>
      <c r="S82" s="1">
        <f t="shared" si="199"/>
        <v>100</v>
      </c>
      <c r="T82" s="1">
        <f t="shared" si="201"/>
        <v>100</v>
      </c>
      <c r="U82" s="1">
        <f t="shared" si="202"/>
        <v>100</v>
      </c>
      <c r="V82" s="1">
        <f t="shared" si="203"/>
        <v>107.1428571428571</v>
      </c>
      <c r="W82" s="1">
        <f t="shared" si="204"/>
        <v>107.1428571428571</v>
      </c>
      <c r="X82" s="1">
        <f t="shared" si="205"/>
        <v>99.999999999999957</v>
      </c>
      <c r="Y82" s="1">
        <f t="shared" si="206"/>
        <v>99.999999999999957</v>
      </c>
      <c r="Z82" s="1">
        <f t="shared" si="207"/>
        <v>99.999999999999957</v>
      </c>
      <c r="AA82" s="1">
        <f t="shared" si="208"/>
        <v>107.14285714285705</v>
      </c>
      <c r="AB82" s="1">
        <f t="shared" si="209"/>
        <v>99.999999999999915</v>
      </c>
      <c r="AC82" s="1">
        <f t="shared" si="210"/>
        <v>99.999999999999915</v>
      </c>
      <c r="AD82" s="1">
        <f t="shared" si="211"/>
        <v>99.999999999999915</v>
      </c>
      <c r="AE82" s="1">
        <f t="shared" si="212"/>
        <v>101.78571428571426</v>
      </c>
      <c r="AF82" s="1">
        <f t="shared" si="213"/>
        <v>0.98245614035087736</v>
      </c>
      <c r="AH82" s="1" t="str">
        <f t="shared" si="214"/>
        <v>C1520.29490</v>
      </c>
      <c r="AI82" s="1">
        <f t="shared" si="160"/>
        <v>98.24561403508774</v>
      </c>
      <c r="AJ82" s="1">
        <f t="shared" si="161"/>
        <v>98.24561403508774</v>
      </c>
      <c r="AK82" s="1">
        <f t="shared" si="162"/>
        <v>98.24561403508774</v>
      </c>
      <c r="AL82" s="1">
        <f t="shared" si="163"/>
        <v>105.26315789473682</v>
      </c>
      <c r="AM82" s="1">
        <f t="shared" si="164"/>
        <v>105.26315789473682</v>
      </c>
      <c r="AN82" s="1">
        <f t="shared" si="165"/>
        <v>98.245614035087698</v>
      </c>
      <c r="AO82" s="1">
        <f t="shared" si="166"/>
        <v>98.245614035087698</v>
      </c>
      <c r="AP82" s="1">
        <f t="shared" si="167"/>
        <v>98.245614035087698</v>
      </c>
      <c r="AQ82" s="1">
        <f t="shared" si="168"/>
        <v>105.26315789473678</v>
      </c>
      <c r="AR82" s="1">
        <f t="shared" si="169"/>
        <v>98.245614035087655</v>
      </c>
      <c r="AS82" s="1">
        <f t="shared" si="170"/>
        <v>98.245614035087655</v>
      </c>
      <c r="AT82" s="1">
        <f t="shared" si="171"/>
        <v>98.245614035087655</v>
      </c>
      <c r="AU82" s="1">
        <f t="shared" ref="AU82:AW82" si="227">AT82*O82</f>
        <v>105.26315789473672</v>
      </c>
      <c r="AV82" s="1">
        <f t="shared" si="227"/>
        <v>105.26315789473672</v>
      </c>
      <c r="AW82" s="1">
        <f t="shared" si="227"/>
        <v>105.26315789473672</v>
      </c>
      <c r="AX82" s="1" t="b">
        <f t="shared" si="173"/>
        <v>1</v>
      </c>
      <c r="AY82" s="1" t="s">
        <v>89</v>
      </c>
      <c r="AZ82" s="1" t="str">
        <f t="shared" si="197"/>
        <v>C15</v>
      </c>
      <c r="BA82" s="1" t="str">
        <f t="shared" si="198"/>
        <v>C1520</v>
      </c>
      <c r="BB82" s="1" t="s">
        <v>316</v>
      </c>
      <c r="BC82" s="1" t="s">
        <v>317</v>
      </c>
      <c r="BD82" s="1">
        <v>3.0231635143032794E-3</v>
      </c>
      <c r="BE82" s="1">
        <f t="shared" si="181"/>
        <v>0.29701255579119945</v>
      </c>
      <c r="BF82" s="1">
        <f t="shared" si="182"/>
        <v>0.29701255579119945</v>
      </c>
      <c r="BG82" s="1">
        <f t="shared" si="183"/>
        <v>0.29701255579119945</v>
      </c>
      <c r="BH82" s="1">
        <f t="shared" si="184"/>
        <v>0.31822773834771356</v>
      </c>
      <c r="BI82" s="1">
        <f t="shared" si="185"/>
        <v>0.31822773834771356</v>
      </c>
      <c r="BJ82" s="1">
        <f t="shared" si="186"/>
        <v>0.29701255579119928</v>
      </c>
      <c r="BK82" s="1">
        <f t="shared" si="187"/>
        <v>0.29701255579119928</v>
      </c>
      <c r="BL82" s="1">
        <f t="shared" si="188"/>
        <v>0.29701255579119928</v>
      </c>
      <c r="BM82" s="1">
        <f t="shared" si="189"/>
        <v>0.31822773834771345</v>
      </c>
      <c r="BN82" s="1">
        <f t="shared" si="190"/>
        <v>0.29701255579119917</v>
      </c>
      <c r="BO82" s="1">
        <f t="shared" si="191"/>
        <v>0.29701255579119917</v>
      </c>
      <c r="BP82" s="1">
        <f t="shared" si="192"/>
        <v>0.29701255579119917</v>
      </c>
      <c r="BQ82" s="1">
        <f t="shared" si="193"/>
        <v>0.31822773834771323</v>
      </c>
      <c r="BR82" s="1">
        <f t="shared" si="194"/>
        <v>0.31822773834771323</v>
      </c>
      <c r="BS82" s="1">
        <f t="shared" si="195"/>
        <v>0.31822773834771323</v>
      </c>
      <c r="BV82" s="1" t="s">
        <v>89</v>
      </c>
      <c r="BW82" s="1">
        <f>((AJ82-AI82)/BE$154)*$BD82</f>
        <v>0</v>
      </c>
      <c r="BX82" s="1">
        <f>((AK82-AJ82)/BF$154)*$BD82</f>
        <v>0</v>
      </c>
      <c r="BY82" s="1">
        <f>((AL82-AK82)/BG$154)*$BD82</f>
        <v>2.1332970840711151E-4</v>
      </c>
      <c r="BZ82" s="1">
        <f>((AM82-AL82)/BH$154)*$BD82</f>
        <v>0</v>
      </c>
      <c r="CA82" s="1">
        <f>((AN82-AM82)/BI$154)*$BD82</f>
        <v>-2.1262130197560543E-4</v>
      </c>
      <c r="CB82" s="1">
        <f>((AO82-AN82)/BJ$154)*$BD82</f>
        <v>0</v>
      </c>
      <c r="CC82" s="1">
        <f>((AP82-AO82)/BK$154)*$BD82</f>
        <v>0</v>
      </c>
      <c r="CD82" s="1">
        <f>((AQ82-AP82)/BL$154)*$BD82</f>
        <v>2.1213886170920305E-4</v>
      </c>
      <c r="CE82" s="1">
        <f>((AR82-AQ82)/BM$154)*$BD82</f>
        <v>-2.1129352206148355E-4</v>
      </c>
      <c r="CF82" s="1">
        <f>((AS82-AR82)/BN$154)*$BD82</f>
        <v>0</v>
      </c>
      <c r="CG82" s="1">
        <f>((AT82-AS82)/BO$154)*$BD82</f>
        <v>0</v>
      </c>
      <c r="CH82" s="1">
        <f>((AU82-AT82)/BP$154)*$BD82</f>
        <v>2.1058181971567354E-4</v>
      </c>
      <c r="CI82" s="1">
        <f>((AV82-AU82)/BQ$154)*$BD82</f>
        <v>0</v>
      </c>
      <c r="CJ82" s="1">
        <f>((AW82-AV82)/BR$154)*$BD82</f>
        <v>0</v>
      </c>
    </row>
    <row r="83" spans="1:88" x14ac:dyDescent="0.35">
      <c r="A83" s="1" t="s">
        <v>90</v>
      </c>
      <c r="B83" s="1">
        <v>1.0067681132442379</v>
      </c>
      <c r="C83" s="1">
        <v>1</v>
      </c>
      <c r="D83" s="1">
        <v>1.0193579554090446</v>
      </c>
      <c r="E83" s="1">
        <v>1.0089517059243147</v>
      </c>
      <c r="F83" s="1">
        <v>0.99992309128089063</v>
      </c>
      <c r="G83" s="1">
        <v>1.0013881324528253</v>
      </c>
      <c r="H83" s="1">
        <v>0.98933290159938525</v>
      </c>
      <c r="I83" s="1">
        <v>1.0019178259985555</v>
      </c>
      <c r="J83" s="1">
        <v>1.0000021390043068</v>
      </c>
      <c r="K83" s="1">
        <v>0.99994157436063391</v>
      </c>
      <c r="L83" s="1">
        <v>1.00010798884689</v>
      </c>
      <c r="M83" s="1">
        <v>1.0007757099401648</v>
      </c>
      <c r="N83" s="1">
        <v>0.99849361161550909</v>
      </c>
      <c r="O83" s="1">
        <v>1.0014996717991724</v>
      </c>
      <c r="P83" s="1">
        <v>1.0104116807452261</v>
      </c>
      <c r="Q83" s="1">
        <v>1.004072660742559</v>
      </c>
      <c r="S83" s="1">
        <f t="shared" si="199"/>
        <v>100</v>
      </c>
      <c r="T83" s="1">
        <f t="shared" si="201"/>
        <v>101.93579554090446</v>
      </c>
      <c r="U83" s="1">
        <f t="shared" si="202"/>
        <v>102.84829480574771</v>
      </c>
      <c r="V83" s="1">
        <f t="shared" si="203"/>
        <v>102.84038487513162</v>
      </c>
      <c r="W83" s="1">
        <f t="shared" si="204"/>
        <v>102.98314095083784</v>
      </c>
      <c r="X83" s="1">
        <f t="shared" si="205"/>
        <v>101.88460965271086</v>
      </c>
      <c r="Y83" s="1">
        <f t="shared" si="206"/>
        <v>102.08000660595552</v>
      </c>
      <c r="Z83" s="1">
        <f t="shared" si="207"/>
        <v>102.08022495552929</v>
      </c>
      <c r="AA83" s="1">
        <f t="shared" si="208"/>
        <v>102.07426085311963</v>
      </c>
      <c r="AB83" s="1">
        <f t="shared" si="209"/>
        <v>102.0852837348463</v>
      </c>
      <c r="AC83" s="1">
        <f t="shared" si="210"/>
        <v>102.16447230418397</v>
      </c>
      <c r="AD83" s="1">
        <f t="shared" si="211"/>
        <v>102.01057292979731</v>
      </c>
      <c r="AE83" s="1">
        <f t="shared" si="212"/>
        <v>102.08225393406371</v>
      </c>
      <c r="AF83" s="1">
        <f t="shared" si="213"/>
        <v>0.97960219476140609</v>
      </c>
      <c r="AH83" s="1" t="str">
        <f t="shared" si="214"/>
        <v>C1610.31100</v>
      </c>
      <c r="AI83" s="1">
        <f t="shared" si="160"/>
        <v>97.960219476140608</v>
      </c>
      <c r="AJ83" s="1">
        <f t="shared" si="161"/>
        <v>99.85652903661996</v>
      </c>
      <c r="AK83" s="1">
        <f t="shared" si="162"/>
        <v>100.75041531917859</v>
      </c>
      <c r="AL83" s="1">
        <f t="shared" si="163"/>
        <v>100.74266673378665</v>
      </c>
      <c r="AM83" s="1">
        <f t="shared" si="164"/>
        <v>100.88251089886398</v>
      </c>
      <c r="AN83" s="1">
        <f t="shared" si="165"/>
        <v>99.806387228204699</v>
      </c>
      <c r="AO83" s="1">
        <f t="shared" si="166"/>
        <v>99.99779851245286</v>
      </c>
      <c r="AP83" s="1">
        <f t="shared" si="167"/>
        <v>99.998012408174546</v>
      </c>
      <c r="AQ83" s="1">
        <f t="shared" si="168"/>
        <v>99.992169960364265</v>
      </c>
      <c r="AR83" s="1">
        <f t="shared" si="169"/>
        <v>100.00296799949631</v>
      </c>
      <c r="AS83" s="1">
        <f t="shared" si="170"/>
        <v>100.0805412958195</v>
      </c>
      <c r="AT83" s="1">
        <f t="shared" si="171"/>
        <v>99.929781130897922</v>
      </c>
      <c r="AU83" s="1">
        <f t="shared" ref="AU83:AW83" si="228">AT83*O83</f>
        <v>100.0796430055574</v>
      </c>
      <c r="AV83" s="1">
        <f t="shared" si="228"/>
        <v>101.12164029762747</v>
      </c>
      <c r="AW83" s="1">
        <f t="shared" si="228"/>
        <v>101.53347443229079</v>
      </c>
      <c r="AX83" s="1" t="b">
        <f t="shared" si="173"/>
        <v>1</v>
      </c>
      <c r="AY83" s="1" t="s">
        <v>90</v>
      </c>
      <c r="AZ83" s="1" t="str">
        <f t="shared" si="197"/>
        <v>C16</v>
      </c>
      <c r="BA83" s="1" t="str">
        <f t="shared" si="198"/>
        <v>C1610</v>
      </c>
      <c r="BB83" s="1" t="s">
        <v>318</v>
      </c>
      <c r="BC83" s="1" t="s">
        <v>319</v>
      </c>
      <c r="BD83" s="1">
        <v>3.9570048382340057E-3</v>
      </c>
      <c r="BE83" s="1">
        <f t="shared" si="181"/>
        <v>0.38762906242155348</v>
      </c>
      <c r="BF83" s="1">
        <f t="shared" si="182"/>
        <v>0.39513276852715967</v>
      </c>
      <c r="BG83" s="1">
        <f t="shared" si="183"/>
        <v>0.39866988087207517</v>
      </c>
      <c r="BH83" s="1">
        <f t="shared" si="184"/>
        <v>0.39863921968218979</v>
      </c>
      <c r="BI83" s="1">
        <f t="shared" si="185"/>
        <v>0.39919258371999961</v>
      </c>
      <c r="BJ83" s="1">
        <f t="shared" si="186"/>
        <v>0.39493435714866265</v>
      </c>
      <c r="BK83" s="1">
        <f t="shared" si="187"/>
        <v>0.39569177252652521</v>
      </c>
      <c r="BL83" s="1">
        <f t="shared" si="188"/>
        <v>0.39569261891293084</v>
      </c>
      <c r="BM83" s="1">
        <f t="shared" si="189"/>
        <v>0.39566950031867842</v>
      </c>
      <c r="BN83" s="1">
        <f t="shared" si="190"/>
        <v>0.39571222821176733</v>
      </c>
      <c r="BO83" s="1">
        <f t="shared" si="191"/>
        <v>0.39601918612063597</v>
      </c>
      <c r="BP83" s="1">
        <f t="shared" si="192"/>
        <v>0.39542262741862833</v>
      </c>
      <c r="BQ83" s="1">
        <f t="shared" si="193"/>
        <v>0.3960156315817227</v>
      </c>
      <c r="BR83" s="1">
        <f t="shared" si="194"/>
        <v>0.4001388199078707</v>
      </c>
      <c r="BS83" s="1">
        <f t="shared" si="195"/>
        <v>0.40176844957128338</v>
      </c>
      <c r="BV83" s="1" t="s">
        <v>90</v>
      </c>
      <c r="BW83" s="1">
        <f>((AJ83-AI83)/BE$154)*$BD83</f>
        <v>7.537807620770594E-5</v>
      </c>
      <c r="BX83" s="1">
        <f>((AK83-AJ83)/BF$154)*$BD83</f>
        <v>3.5551311144208182E-5</v>
      </c>
      <c r="BY83" s="1">
        <f>((AL83-AK83)/BG$154)*$BD83</f>
        <v>-3.0831423110480871E-7</v>
      </c>
      <c r="BZ83" s="1">
        <f>((AM83-AL83)/BH$154)*$BD83</f>
        <v>5.5518438577260886E-6</v>
      </c>
      <c r="CA83" s="1">
        <f>((AN83-AM83)/BI$154)*$BD83</f>
        <v>-4.2676497140335526E-5</v>
      </c>
      <c r="CB83" s="1">
        <f>((AO83-AN83)/BJ$154)*$BD83</f>
        <v>7.5868960719828089E-6</v>
      </c>
      <c r="CC83" s="1">
        <f>((AP83-AO83)/BK$154)*$BD83</f>
        <v>8.4756684107672043E-9</v>
      </c>
      <c r="CD83" s="1">
        <f>((AQ83-AP83)/BL$154)*$BD83</f>
        <v>-2.3117181555986365E-7</v>
      </c>
      <c r="CE83" s="1">
        <f>((AR83-AQ83)/BM$154)*$BD83</f>
        <v>4.2555028678052342E-7</v>
      </c>
      <c r="CF83" s="1">
        <f>((AS83-AR83)/BN$154)*$BD83</f>
        <v>3.0546287349821247E-6</v>
      </c>
      <c r="CG83" s="1">
        <f>((AT83-AS83)/BO$154)*$BD83</f>
        <v>-5.9229428199989772E-6</v>
      </c>
      <c r="CH83" s="1">
        <f>((AU83-AT83)/BP$154)*$BD83</f>
        <v>5.8861570213092851E-6</v>
      </c>
      <c r="CI83" s="1">
        <f>((AV83-AU83)/BQ$154)*$BD83</f>
        <v>4.0784840352796099E-5</v>
      </c>
      <c r="CJ83" s="1">
        <f>((AW83-AV83)/BR$154)*$BD83</f>
        <v>1.6090702351073866E-5</v>
      </c>
    </row>
    <row r="84" spans="1:88" x14ac:dyDescent="0.35">
      <c r="A84" s="1" t="s">
        <v>91</v>
      </c>
      <c r="B84" s="1">
        <v>0.99801765037468171</v>
      </c>
      <c r="C84" s="1">
        <v>1</v>
      </c>
      <c r="D84" s="1">
        <v>1.0002559188876259</v>
      </c>
      <c r="E84" s="1">
        <v>0.99995886388162802</v>
      </c>
      <c r="F84" s="1">
        <v>0.99999999990295108</v>
      </c>
      <c r="G84" s="1">
        <v>1.0000341014403997</v>
      </c>
      <c r="H84" s="1">
        <v>0.9995562309175372</v>
      </c>
      <c r="I84" s="1">
        <v>0.99999196930520318</v>
      </c>
      <c r="J84" s="1">
        <v>1.0005161543017993</v>
      </c>
      <c r="K84" s="1">
        <v>0.99990645787228638</v>
      </c>
      <c r="L84" s="1">
        <v>1.0036950767592014</v>
      </c>
      <c r="M84" s="1">
        <v>1.0001636150714224</v>
      </c>
      <c r="N84" s="1">
        <v>1.0001206671425327</v>
      </c>
      <c r="O84" s="1">
        <v>0.99975260390944065</v>
      </c>
      <c r="P84" s="1">
        <v>1</v>
      </c>
      <c r="Q84" s="1">
        <v>1</v>
      </c>
      <c r="S84" s="1">
        <f t="shared" si="199"/>
        <v>100</v>
      </c>
      <c r="T84" s="1">
        <f t="shared" si="201"/>
        <v>100.02559188876259</v>
      </c>
      <c r="U84" s="1">
        <f t="shared" si="202"/>
        <v>100.02147722417443</v>
      </c>
      <c r="V84" s="1">
        <f t="shared" si="203"/>
        <v>100.02147721446745</v>
      </c>
      <c r="W84" s="1">
        <f t="shared" si="204"/>
        <v>100.02488809091138</v>
      </c>
      <c r="X84" s="1">
        <f t="shared" si="205"/>
        <v>99.980500138099828</v>
      </c>
      <c r="Y84" s="1">
        <f t="shared" si="206"/>
        <v>99.979697225217592</v>
      </c>
      <c r="Z84" s="1">
        <f t="shared" si="207"/>
        <v>100.03130217603298</v>
      </c>
      <c r="AA84" s="1">
        <f t="shared" si="208"/>
        <v>100.02194503518947</v>
      </c>
      <c r="AB84" s="1">
        <f t="shared" si="209"/>
        <v>100.39153379969913</v>
      </c>
      <c r="AC84" s="1">
        <f t="shared" si="210"/>
        <v>100.40795936767198</v>
      </c>
      <c r="AD84" s="1">
        <f t="shared" si="211"/>
        <v>100.42007530921641</v>
      </c>
      <c r="AE84" s="1">
        <f t="shared" si="212"/>
        <v>100.11053728912026</v>
      </c>
      <c r="AF84" s="1">
        <f t="shared" si="213"/>
        <v>0.99889584760891825</v>
      </c>
      <c r="AH84" s="1" t="str">
        <f t="shared" si="214"/>
        <v>C1610.31210</v>
      </c>
      <c r="AI84" s="1">
        <f t="shared" si="160"/>
        <v>99.889584760891822</v>
      </c>
      <c r="AJ84" s="1">
        <f t="shared" si="161"/>
        <v>99.915148392309248</v>
      </c>
      <c r="AK84" s="1">
        <f t="shared" si="162"/>
        <v>99.911038270937837</v>
      </c>
      <c r="AL84" s="1">
        <f t="shared" si="163"/>
        <v>99.911038261241572</v>
      </c>
      <c r="AM84" s="1">
        <f t="shared" si="164"/>
        <v>99.914445371558116</v>
      </c>
      <c r="AN84" s="1">
        <f t="shared" si="165"/>
        <v>99.870106429810789</v>
      </c>
      <c r="AO84" s="1">
        <f t="shared" si="166"/>
        <v>99.869304403466742</v>
      </c>
      <c r="AP84" s="1">
        <f t="shared" si="167"/>
        <v>99.920852374552297</v>
      </c>
      <c r="AQ84" s="1">
        <f t="shared" si="168"/>
        <v>99.911505565418224</v>
      </c>
      <c r="AR84" s="1">
        <f t="shared" si="169"/>
        <v>100.28068624760984</v>
      </c>
      <c r="AS84" s="1">
        <f t="shared" si="170"/>
        <v>100.29709367925253</v>
      </c>
      <c r="AT84" s="1">
        <f t="shared" si="171"/>
        <v>100.30919624295113</v>
      </c>
      <c r="AU84" s="1">
        <f t="shared" ref="AU84:AW84" si="229">AT84*O84</f>
        <v>100.28438013995347</v>
      </c>
      <c r="AV84" s="1">
        <f t="shared" si="229"/>
        <v>100.28438013995347</v>
      </c>
      <c r="AW84" s="1">
        <f t="shared" si="229"/>
        <v>100.28438013995347</v>
      </c>
      <c r="AX84" s="1" t="b">
        <f t="shared" si="173"/>
        <v>1</v>
      </c>
      <c r="AY84" s="1" t="s">
        <v>91</v>
      </c>
      <c r="AZ84" s="1" t="str">
        <f t="shared" si="197"/>
        <v>C16</v>
      </c>
      <c r="BA84" s="1" t="str">
        <f t="shared" si="198"/>
        <v>C1610</v>
      </c>
      <c r="BB84" s="1" t="s">
        <v>320</v>
      </c>
      <c r="BC84" s="1" t="s">
        <v>321</v>
      </c>
      <c r="BD84" s="1">
        <v>3.9570048382340057E-3</v>
      </c>
      <c r="BE84" s="1">
        <f t="shared" si="181"/>
        <v>0.39526357018803476</v>
      </c>
      <c r="BF84" s="1">
        <f t="shared" si="182"/>
        <v>0.39536472560123631</v>
      </c>
      <c r="BG84" s="1">
        <f t="shared" si="183"/>
        <v>0.39534846183108391</v>
      </c>
      <c r="BH84" s="1">
        <f t="shared" si="184"/>
        <v>0.39534846179271577</v>
      </c>
      <c r="BI84" s="1">
        <f t="shared" si="185"/>
        <v>0.39536194374472272</v>
      </c>
      <c r="BJ84" s="1">
        <f t="shared" si="186"/>
        <v>0.39518649433770636</v>
      </c>
      <c r="BK84" s="1">
        <f t="shared" si="187"/>
        <v>0.3951833207155826</v>
      </c>
      <c r="BL84" s="1">
        <f t="shared" si="188"/>
        <v>0.39538729628656927</v>
      </c>
      <c r="BM84" s="1">
        <f t="shared" si="189"/>
        <v>0.3953503109176037</v>
      </c>
      <c r="BN84" s="1">
        <f t="shared" si="190"/>
        <v>0.39681116066321842</v>
      </c>
      <c r="BO84" s="1">
        <f t="shared" si="191"/>
        <v>0.39687608494961157</v>
      </c>
      <c r="BP84" s="1">
        <f t="shared" si="192"/>
        <v>0.39692397485272196</v>
      </c>
      <c r="BQ84" s="1">
        <f t="shared" si="193"/>
        <v>0.39682577741309411</v>
      </c>
      <c r="BR84" s="1">
        <f t="shared" si="194"/>
        <v>0.39682577741309411</v>
      </c>
      <c r="BS84" s="1">
        <f t="shared" si="195"/>
        <v>0.39682577741309411</v>
      </c>
      <c r="BV84" s="1" t="s">
        <v>91</v>
      </c>
      <c r="BW84" s="1">
        <f>((AJ84-AI84)/BE$154)*$BD84</f>
        <v>1.0161512641645958E-6</v>
      </c>
      <c r="BX84" s="1">
        <f>((AK84-AJ84)/BF$154)*$BD84</f>
        <v>-1.6346621104561345E-7</v>
      </c>
      <c r="BY84" s="1">
        <f>((AL84-AK84)/BG$154)*$BD84</f>
        <v>-3.8581190954557519E-13</v>
      </c>
      <c r="BZ84" s="1">
        <f>((AM84-AL84)/BH$154)*$BD84</f>
        <v>1.3526302275852717E-7</v>
      </c>
      <c r="CA84" s="1">
        <f>((AN84-AM84)/BI$154)*$BD84</f>
        <v>-1.7583766366983009E-6</v>
      </c>
      <c r="CB84" s="1">
        <f>((AO84-AN84)/BJ$154)*$BD84</f>
        <v>-3.1789612316633261E-8</v>
      </c>
      <c r="CC84" s="1">
        <f>((AP84-AO84)/BK$154)*$BD84</f>
        <v>2.0426005098451743E-6</v>
      </c>
      <c r="CD84" s="1">
        <f>((AQ84-AP84)/BL$154)*$BD84</f>
        <v>-3.6983108919054599E-7</v>
      </c>
      <c r="CE84" s="1">
        <f>((AR84-AQ84)/BM$154)*$BD84</f>
        <v>1.4549395798566062E-5</v>
      </c>
      <c r="CF84" s="1">
        <f>((AS84-AR84)/BN$154)*$BD84</f>
        <v>6.4608073317147328E-7</v>
      </c>
      <c r="CG84" s="1">
        <f>((AT84-AS84)/BO$154)*$BD84</f>
        <v>4.7547568550033541E-7</v>
      </c>
      <c r="CH84" s="1">
        <f>((AU84-AT84)/BP$154)*$BD84</f>
        <v>-9.7470740462261065E-7</v>
      </c>
      <c r="CI84" s="1">
        <f>((AV84-AU84)/BQ$154)*$BD84</f>
        <v>0</v>
      </c>
      <c r="CJ84" s="1">
        <f>((AW84-AV84)/BR$154)*$BD84</f>
        <v>0</v>
      </c>
    </row>
    <row r="85" spans="1:88" x14ac:dyDescent="0.35">
      <c r="A85" s="1" t="s">
        <v>92</v>
      </c>
      <c r="B85" s="1">
        <v>1</v>
      </c>
      <c r="C85" s="1">
        <v>1</v>
      </c>
      <c r="D85" s="1">
        <v>1</v>
      </c>
      <c r="E85" s="1">
        <v>0.99999342072799036</v>
      </c>
      <c r="F85" s="1">
        <v>1</v>
      </c>
      <c r="G85" s="1">
        <v>1</v>
      </c>
      <c r="H85" s="1">
        <v>1.0000064477353539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1.0066577972826039</v>
      </c>
      <c r="P85" s="1">
        <v>1.0153867981096885</v>
      </c>
      <c r="Q85" s="1">
        <v>1.0120129438460781</v>
      </c>
      <c r="S85" s="1">
        <f t="shared" si="199"/>
        <v>100</v>
      </c>
      <c r="T85" s="1">
        <f t="shared" si="201"/>
        <v>100</v>
      </c>
      <c r="U85" s="1">
        <f t="shared" si="202"/>
        <v>99.999342072799038</v>
      </c>
      <c r="V85" s="1">
        <f t="shared" si="203"/>
        <v>99.999342072799038</v>
      </c>
      <c r="W85" s="1">
        <f t="shared" si="204"/>
        <v>99.999342072799038</v>
      </c>
      <c r="X85" s="1">
        <f t="shared" si="205"/>
        <v>99.999986842092284</v>
      </c>
      <c r="Y85" s="1">
        <f t="shared" si="206"/>
        <v>99.999986842092284</v>
      </c>
      <c r="Z85" s="1">
        <f t="shared" si="207"/>
        <v>99.999986842092284</v>
      </c>
      <c r="AA85" s="1">
        <f t="shared" si="208"/>
        <v>99.999986842092284</v>
      </c>
      <c r="AB85" s="1">
        <f t="shared" si="209"/>
        <v>99.999986842092284</v>
      </c>
      <c r="AC85" s="1">
        <f t="shared" si="210"/>
        <v>99.999986842092284</v>
      </c>
      <c r="AD85" s="1">
        <f t="shared" si="211"/>
        <v>99.999986842092284</v>
      </c>
      <c r="AE85" s="1">
        <f t="shared" si="212"/>
        <v>99.999827842753589</v>
      </c>
      <c r="AF85" s="1">
        <f t="shared" si="213"/>
        <v>1.000001721575428</v>
      </c>
      <c r="AH85" s="1" t="str">
        <f t="shared" si="214"/>
        <v>C1610.31310</v>
      </c>
      <c r="AI85" s="1">
        <f t="shared" si="160"/>
        <v>100.00017215754281</v>
      </c>
      <c r="AJ85" s="1">
        <f t="shared" si="161"/>
        <v>100.00017215754281</v>
      </c>
      <c r="AK85" s="1">
        <f t="shared" si="162"/>
        <v>99.999514229209169</v>
      </c>
      <c r="AL85" s="1">
        <f t="shared" si="163"/>
        <v>99.999514229209169</v>
      </c>
      <c r="AM85" s="1">
        <f t="shared" si="164"/>
        <v>99.999514229209169</v>
      </c>
      <c r="AN85" s="1">
        <f t="shared" si="165"/>
        <v>100.00015899961242</v>
      </c>
      <c r="AO85" s="1">
        <f t="shared" si="166"/>
        <v>100.00015899961242</v>
      </c>
      <c r="AP85" s="1">
        <f t="shared" si="167"/>
        <v>100.00015899961242</v>
      </c>
      <c r="AQ85" s="1">
        <f t="shared" si="168"/>
        <v>100.00015899961242</v>
      </c>
      <c r="AR85" s="1">
        <f t="shared" si="169"/>
        <v>100.00015899961242</v>
      </c>
      <c r="AS85" s="1">
        <f t="shared" si="170"/>
        <v>100.00015899961242</v>
      </c>
      <c r="AT85" s="1">
        <f t="shared" si="171"/>
        <v>100.00015899961242</v>
      </c>
      <c r="AU85" s="1">
        <f t="shared" ref="AU85:AW85" si="230">AT85*O85</f>
        <v>100.66593978646</v>
      </c>
      <c r="AV85" s="1">
        <f t="shared" si="230"/>
        <v>102.21486627847632</v>
      </c>
      <c r="AW85" s="1">
        <f t="shared" si="230"/>
        <v>103.44276772731403</v>
      </c>
      <c r="AX85" s="1" t="b">
        <f t="shared" si="173"/>
        <v>1</v>
      </c>
      <c r="AY85" s="1" t="s">
        <v>92</v>
      </c>
      <c r="AZ85" s="1" t="str">
        <f t="shared" si="197"/>
        <v>C16</v>
      </c>
      <c r="BA85" s="1" t="str">
        <f t="shared" si="198"/>
        <v>C1610</v>
      </c>
      <c r="BB85" s="1" t="s">
        <v>322</v>
      </c>
      <c r="BC85" s="1" t="s">
        <v>323</v>
      </c>
      <c r="BD85" s="1">
        <v>3.9570048382340057E-3</v>
      </c>
      <c r="BE85" s="1">
        <f t="shared" si="181"/>
        <v>0.39570116505163039</v>
      </c>
      <c r="BF85" s="1">
        <f t="shared" si="182"/>
        <v>0.39570116505163039</v>
      </c>
      <c r="BG85" s="1">
        <f t="shared" si="183"/>
        <v>0.39569856162603095</v>
      </c>
      <c r="BH85" s="1">
        <f t="shared" si="184"/>
        <v>0.39569856162603095</v>
      </c>
      <c r="BI85" s="1">
        <f t="shared" si="185"/>
        <v>0.39569856162603095</v>
      </c>
      <c r="BJ85" s="1">
        <f t="shared" si="186"/>
        <v>0.39570111298563621</v>
      </c>
      <c r="BK85" s="1">
        <f t="shared" si="187"/>
        <v>0.39570111298563621</v>
      </c>
      <c r="BL85" s="1">
        <f t="shared" si="188"/>
        <v>0.39570111298563621</v>
      </c>
      <c r="BM85" s="1">
        <f t="shared" si="189"/>
        <v>0.39570111298563621</v>
      </c>
      <c r="BN85" s="1">
        <f t="shared" si="190"/>
        <v>0.39570111298563621</v>
      </c>
      <c r="BO85" s="1">
        <f t="shared" si="191"/>
        <v>0.39570111298563621</v>
      </c>
      <c r="BP85" s="1">
        <f t="shared" si="192"/>
        <v>0.39570111298563621</v>
      </c>
      <c r="BQ85" s="1">
        <f t="shared" si="193"/>
        <v>0.39833561078039531</v>
      </c>
      <c r="BR85" s="1">
        <f t="shared" si="194"/>
        <v>0.40446472040337272</v>
      </c>
      <c r="BS85" s="1">
        <f t="shared" si="195"/>
        <v>0.40932353237729813</v>
      </c>
      <c r="BV85" s="1" t="s">
        <v>92</v>
      </c>
      <c r="BW85" s="1">
        <f>((AJ85-AI85)/BE$154)*$BD85</f>
        <v>0</v>
      </c>
      <c r="BX85" s="1">
        <f>((AK85-AJ85)/BF$154)*$BD85</f>
        <v>-2.6166879787884266E-8</v>
      </c>
      <c r="BY85" s="1">
        <f>((AL85-AK85)/BG$154)*$BD85</f>
        <v>0</v>
      </c>
      <c r="BZ85" s="1">
        <f>((AM85-AL85)/BH$154)*$BD85</f>
        <v>0</v>
      </c>
      <c r="CA85" s="1">
        <f>((AN85-AM85)/BI$154)*$BD85</f>
        <v>2.5570055766767911E-8</v>
      </c>
      <c r="CB85" s="1">
        <f>((AO85-AN85)/BJ$154)*$BD85</f>
        <v>0</v>
      </c>
      <c r="CC85" s="1">
        <f>((AP85-AO85)/BK$154)*$BD85</f>
        <v>0</v>
      </c>
      <c r="CD85" s="1">
        <f>((AQ85-AP85)/BL$154)*$BD85</f>
        <v>0</v>
      </c>
      <c r="CE85" s="1">
        <f>((AR85-AQ85)/BM$154)*$BD85</f>
        <v>0</v>
      </c>
      <c r="CF85" s="1">
        <f>((AS85-AR85)/BN$154)*$BD85</f>
        <v>0</v>
      </c>
      <c r="CG85" s="1">
        <f>((AT85-AS85)/BO$154)*$BD85</f>
        <v>0</v>
      </c>
      <c r="CH85" s="1">
        <f>((AU85-AT85)/BP$154)*$BD85</f>
        <v>2.615001488577615E-5</v>
      </c>
      <c r="CI85" s="1">
        <f>((AV85-AU85)/BQ$154)*$BD85</f>
        <v>6.0626568011132973E-5</v>
      </c>
      <c r="CJ85" s="1">
        <f>((AW85-AV85)/BR$154)*$BD85</f>
        <v>4.7975131410251157E-5</v>
      </c>
    </row>
    <row r="86" spans="1:88" x14ac:dyDescent="0.35">
      <c r="A86" s="1" t="s">
        <v>93</v>
      </c>
      <c r="B86" s="1">
        <v>0.98695476382335656</v>
      </c>
      <c r="C86" s="1">
        <v>1</v>
      </c>
      <c r="D86" s="1">
        <v>0.97071069388358944</v>
      </c>
      <c r="E86" s="1">
        <v>1.008020013168325</v>
      </c>
      <c r="F86" s="1">
        <v>0.99649329817915755</v>
      </c>
      <c r="G86" s="1">
        <v>0.98493831847470548</v>
      </c>
      <c r="H86" s="1">
        <v>1.0169150861247294</v>
      </c>
      <c r="I86" s="1">
        <v>1.0039377438583921</v>
      </c>
      <c r="J86" s="1">
        <v>1.0001729137755888</v>
      </c>
      <c r="K86" s="1">
        <v>0.99962361311935499</v>
      </c>
      <c r="L86" s="1">
        <v>1.0082759504004826</v>
      </c>
      <c r="M86" s="1">
        <v>0.99891079991280063</v>
      </c>
      <c r="N86" s="1">
        <v>1.0014582135656906</v>
      </c>
      <c r="O86" s="1">
        <v>1.0305157761844719</v>
      </c>
      <c r="P86" s="1">
        <v>1.0004255753688174</v>
      </c>
      <c r="Q86" s="1">
        <v>0.99970434546825504</v>
      </c>
      <c r="S86" s="1">
        <f t="shared" si="199"/>
        <v>100</v>
      </c>
      <c r="T86" s="1">
        <f t="shared" si="201"/>
        <v>97.07106938835895</v>
      </c>
      <c r="U86" s="1">
        <f t="shared" si="202"/>
        <v>97.84958064311698</v>
      </c>
      <c r="V86" s="1">
        <f t="shared" si="203"/>
        <v>97.506451340507084</v>
      </c>
      <c r="W86" s="1">
        <f t="shared" si="204"/>
        <v>96.037840223754742</v>
      </c>
      <c r="X86" s="1">
        <f t="shared" si="205"/>
        <v>97.662328562372551</v>
      </c>
      <c r="Y86" s="1">
        <f t="shared" si="206"/>
        <v>98.046897796865295</v>
      </c>
      <c r="Z86" s="1">
        <f t="shared" si="207"/>
        <v>98.063851456148114</v>
      </c>
      <c r="AA86" s="1">
        <f t="shared" si="208"/>
        <v>98.026941508994497</v>
      </c>
      <c r="AB86" s="1">
        <f t="shared" si="209"/>
        <v>98.838207614833948</v>
      </c>
      <c r="AC86" s="1">
        <f t="shared" si="210"/>
        <v>98.730553030481246</v>
      </c>
      <c r="AD86" s="1">
        <f t="shared" si="211"/>
        <v>98.874523262258435</v>
      </c>
      <c r="AE86" s="1">
        <f t="shared" si="212"/>
        <v>98.059020402307638</v>
      </c>
      <c r="AF86" s="1">
        <f t="shared" si="213"/>
        <v>1.0197939933494042</v>
      </c>
      <c r="AH86" s="1" t="str">
        <f t="shared" si="214"/>
        <v>C1621.31420</v>
      </c>
      <c r="AI86" s="1">
        <f t="shared" si="160"/>
        <v>101.97939933494042</v>
      </c>
      <c r="AJ86" s="1">
        <f t="shared" si="161"/>
        <v>98.99249349025169</v>
      </c>
      <c r="AK86" s="1">
        <f t="shared" si="162"/>
        <v>99.786414591608832</v>
      </c>
      <c r="AL86" s="1">
        <f t="shared" si="163"/>
        <v>99.436493389865092</v>
      </c>
      <c r="AM86" s="1">
        <f t="shared" si="164"/>
        <v>97.938812594434893</v>
      </c>
      <c r="AN86" s="1">
        <f t="shared" si="165"/>
        <v>99.595456044423486</v>
      </c>
      <c r="AO86" s="1">
        <f t="shared" si="166"/>
        <v>99.98763743978617</v>
      </c>
      <c r="AP86" s="1">
        <f t="shared" si="167"/>
        <v>100.00492667968807</v>
      </c>
      <c r="AQ86" s="1">
        <f t="shared" si="168"/>
        <v>99.967286137285967</v>
      </c>
      <c r="AR86" s="1">
        <f t="shared" si="169"/>
        <v>100.794610439029</v>
      </c>
      <c r="AS86" s="1">
        <f t="shared" si="170"/>
        <v>100.68482494054959</v>
      </c>
      <c r="AT86" s="1">
        <f t="shared" si="171"/>
        <v>100.83164491813709</v>
      </c>
      <c r="AU86" s="1">
        <f t="shared" ref="AU86:AW86" si="231">AT86*O86</f>
        <v>103.90860082677111</v>
      </c>
      <c r="AV86" s="1">
        <f t="shared" si="231"/>
        <v>103.95282176789125</v>
      </c>
      <c r="AW86" s="1">
        <f t="shared" si="231"/>
        <v>103.9220876450479</v>
      </c>
      <c r="AX86" s="1" t="b">
        <f t="shared" si="173"/>
        <v>1</v>
      </c>
      <c r="AY86" s="1" t="s">
        <v>93</v>
      </c>
      <c r="AZ86" s="1" t="str">
        <f t="shared" si="197"/>
        <v>C16</v>
      </c>
      <c r="BA86" s="1" t="str">
        <f t="shared" si="198"/>
        <v>C1621</v>
      </c>
      <c r="BB86" s="1">
        <v>31420</v>
      </c>
      <c r="BC86" s="1" t="s">
        <v>324</v>
      </c>
      <c r="BD86" s="1">
        <v>1.9604044717117068E-3</v>
      </c>
      <c r="BE86" s="1">
        <f t="shared" si="181"/>
        <v>0.19992087047869106</v>
      </c>
      <c r="BF86" s="1">
        <f t="shared" si="182"/>
        <v>0.19406532690418143</v>
      </c>
      <c r="BG86" s="1">
        <f t="shared" si="183"/>
        <v>0.19562173338146827</v>
      </c>
      <c r="BH86" s="1">
        <f t="shared" si="184"/>
        <v>0.19493574629282309</v>
      </c>
      <c r="BI86" s="1">
        <f t="shared" si="185"/>
        <v>0.19199968616426499</v>
      </c>
      <c r="BJ86" s="1">
        <f t="shared" si="186"/>
        <v>0.19524737739165454</v>
      </c>
      <c r="BK86" s="1">
        <f t="shared" si="187"/>
        <v>0.19601621155284568</v>
      </c>
      <c r="BL86" s="1">
        <f t="shared" si="188"/>
        <v>0.19605010545606186</v>
      </c>
      <c r="BM86" s="1">
        <f t="shared" si="189"/>
        <v>0.19597631476841912</v>
      </c>
      <c r="BN86" s="1">
        <f t="shared" si="190"/>
        <v>0.19759820502911193</v>
      </c>
      <c r="BO86" s="1">
        <f t="shared" si="191"/>
        <v>0.19738298104696381</v>
      </c>
      <c r="BP86" s="1">
        <f t="shared" si="192"/>
        <v>0.19767080758756295</v>
      </c>
      <c r="BQ86" s="1">
        <f t="shared" si="193"/>
        <v>0.20370288571010883</v>
      </c>
      <c r="BR86" s="1">
        <f t="shared" si="194"/>
        <v>0.20378957664082406</v>
      </c>
      <c r="BS86" s="1">
        <f t="shared" si="195"/>
        <v>0.20372932532896781</v>
      </c>
      <c r="BV86" s="1" t="s">
        <v>93</v>
      </c>
      <c r="BW86" s="1">
        <f>((AJ86-AI86)/BE$154)*$BD86</f>
        <v>-5.8821548123688437E-5</v>
      </c>
      <c r="BX86" s="1">
        <f>((AK86-AJ86)/BF$154)*$BD86</f>
        <v>1.5643351283547341E-5</v>
      </c>
      <c r="BY86" s="1">
        <f>((AL86-AK86)/BG$154)*$BD86</f>
        <v>-6.8979574039433258E-6</v>
      </c>
      <c r="BZ86" s="1">
        <f>((AM86-AL86)/BH$154)*$BD86</f>
        <v>-2.9457186005738013E-5</v>
      </c>
      <c r="CA86" s="1">
        <f>((AN86-AM86)/BI$154)*$BD86</f>
        <v>3.2548781295793606E-5</v>
      </c>
      <c r="CB86" s="1">
        <f>((AO86-AN86)/BJ$154)*$BD86</f>
        <v>7.7012760078997812E-6</v>
      </c>
      <c r="CC86" s="1">
        <f>((AP86-AO86)/BK$154)*$BD86</f>
        <v>3.3941174256857628E-7</v>
      </c>
      <c r="CD86" s="1">
        <f>((AQ86-AP86)/BL$154)*$BD86</f>
        <v>-7.3786178551937269E-7</v>
      </c>
      <c r="CE86" s="1">
        <f>((AR86-AQ86)/BM$154)*$BD86</f>
        <v>1.6153285726677598E-5</v>
      </c>
      <c r="CF86" s="1">
        <f>((AS86-AR86)/BN$154)*$BD86</f>
        <v>-2.1417573593398309E-6</v>
      </c>
      <c r="CG86" s="1">
        <f>((AT86-AS86)/BO$154)*$BD86</f>
        <v>2.8576905111091624E-6</v>
      </c>
      <c r="CH86" s="1">
        <f>((AU86-AT86)/BP$154)*$BD86</f>
        <v>5.9874384032712033E-5</v>
      </c>
      <c r="CI86" s="1">
        <f>((AV86-AU86)/BQ$154)*$BD86</f>
        <v>8.5751013283431026E-7</v>
      </c>
      <c r="CJ86" s="1">
        <f>((AW86-AV86)/BR$154)*$BD86</f>
        <v>-5.9491180548985901E-7</v>
      </c>
    </row>
    <row r="87" spans="1:88" x14ac:dyDescent="0.35">
      <c r="A87" s="1" t="s">
        <v>94</v>
      </c>
      <c r="B87" s="1">
        <v>1</v>
      </c>
      <c r="C87" s="1">
        <v>1</v>
      </c>
      <c r="D87" s="1">
        <v>0.94846788876034027</v>
      </c>
      <c r="E87" s="1">
        <v>1</v>
      </c>
      <c r="F87" s="1">
        <v>1</v>
      </c>
      <c r="G87" s="1">
        <v>0.99268820580907979</v>
      </c>
      <c r="H87" s="1">
        <v>1.0019044272893489</v>
      </c>
      <c r="I87" s="1">
        <v>1</v>
      </c>
      <c r="J87" s="1">
        <v>0.99821014844124689</v>
      </c>
      <c r="K87" s="1">
        <v>0.99935889825277868</v>
      </c>
      <c r="L87" s="1">
        <v>1.000138272562624</v>
      </c>
      <c r="M87" s="1">
        <v>0.9999819710404696</v>
      </c>
      <c r="N87" s="1">
        <v>0.99715573383047484</v>
      </c>
      <c r="O87" s="1">
        <v>1</v>
      </c>
      <c r="P87" s="1">
        <v>1.00127323779836</v>
      </c>
      <c r="Q87" s="1">
        <v>0.99911279347194903</v>
      </c>
      <c r="S87" s="1">
        <f t="shared" si="199"/>
        <v>100</v>
      </c>
      <c r="T87" s="1">
        <f t="shared" si="201"/>
        <v>94.846788876034026</v>
      </c>
      <c r="U87" s="1">
        <f t="shared" si="202"/>
        <v>94.846788876034026</v>
      </c>
      <c r="V87" s="1">
        <f t="shared" si="203"/>
        <v>94.846788876034026</v>
      </c>
      <c r="W87" s="1">
        <f t="shared" si="204"/>
        <v>94.153288676102804</v>
      </c>
      <c r="X87" s="1">
        <f t="shared" si="205"/>
        <v>94.332596768439515</v>
      </c>
      <c r="Y87" s="1">
        <f t="shared" si="206"/>
        <v>94.332596768439515</v>
      </c>
      <c r="Z87" s="1">
        <f t="shared" si="207"/>
        <v>94.163755423072288</v>
      </c>
      <c r="AA87" s="1">
        <f t="shared" si="208"/>
        <v>94.103386874945642</v>
      </c>
      <c r="AB87" s="1">
        <f t="shared" si="209"/>
        <v>94.116398791400442</v>
      </c>
      <c r="AC87" s="1">
        <f t="shared" si="210"/>
        <v>94.114701970655489</v>
      </c>
      <c r="AD87" s="1">
        <f t="shared" si="211"/>
        <v>93.847014707785405</v>
      </c>
      <c r="AE87" s="1">
        <f t="shared" si="212"/>
        <v>94.808675550745264</v>
      </c>
      <c r="AF87" s="1">
        <f t="shared" si="213"/>
        <v>1.0547557954912696</v>
      </c>
      <c r="AH87" s="1" t="str">
        <f t="shared" si="214"/>
        <v>C1621.31430</v>
      </c>
      <c r="AI87" s="1">
        <f t="shared" si="160"/>
        <v>105.47557954912696</v>
      </c>
      <c r="AJ87" s="1">
        <f t="shared" si="161"/>
        <v>100.04020025073378</v>
      </c>
      <c r="AK87" s="1">
        <f t="shared" si="162"/>
        <v>100.04020025073378</v>
      </c>
      <c r="AL87" s="1">
        <f t="shared" si="163"/>
        <v>100.04020025073378</v>
      </c>
      <c r="AM87" s="1">
        <f t="shared" si="164"/>
        <v>99.308726895681957</v>
      </c>
      <c r="AN87" s="1">
        <f t="shared" si="165"/>
        <v>99.497853145252591</v>
      </c>
      <c r="AO87" s="1">
        <f t="shared" si="166"/>
        <v>99.497853145252591</v>
      </c>
      <c r="AP87" s="1">
        <f t="shared" si="167"/>
        <v>99.319766757707967</v>
      </c>
      <c r="AQ87" s="1">
        <f t="shared" si="168"/>
        <v>99.256092681705994</v>
      </c>
      <c r="AR87" s="1">
        <f t="shared" si="169"/>
        <v>99.269817075997139</v>
      </c>
      <c r="AS87" s="1">
        <f t="shared" si="170"/>
        <v>99.268027344482491</v>
      </c>
      <c r="AT87" s="1">
        <f t="shared" si="171"/>
        <v>98.98568265259108</v>
      </c>
      <c r="AU87" s="1">
        <f t="shared" ref="AU87:AW87" si="232">AT87*O87</f>
        <v>98.98568265259108</v>
      </c>
      <c r="AV87" s="1">
        <f t="shared" si="232"/>
        <v>99.111714965240822</v>
      </c>
      <c r="AW87" s="1">
        <f t="shared" si="232"/>
        <v>99.023782404717338</v>
      </c>
      <c r="AX87" s="1" t="b">
        <f t="shared" si="173"/>
        <v>1</v>
      </c>
      <c r="AY87" s="1" t="s">
        <v>94</v>
      </c>
      <c r="AZ87" s="1" t="str">
        <f t="shared" si="197"/>
        <v>C16</v>
      </c>
      <c r="BA87" s="1" t="str">
        <f t="shared" si="198"/>
        <v>C1621</v>
      </c>
      <c r="BB87" s="1" t="s">
        <v>325</v>
      </c>
      <c r="BC87" s="1" t="s">
        <v>326</v>
      </c>
      <c r="BD87" s="1">
        <v>1.9604044717117068E-3</v>
      </c>
      <c r="BE87" s="1">
        <f t="shared" si="181"/>
        <v>0.20677479780449234</v>
      </c>
      <c r="BF87" s="1">
        <f t="shared" si="182"/>
        <v>0.19611925592247312</v>
      </c>
      <c r="BG87" s="1">
        <f t="shared" si="183"/>
        <v>0.19611925592247312</v>
      </c>
      <c r="BH87" s="1">
        <f t="shared" si="184"/>
        <v>0.19611925592247312</v>
      </c>
      <c r="BI87" s="1">
        <f t="shared" si="185"/>
        <v>0.19468527228629157</v>
      </c>
      <c r="BJ87" s="1">
        <f t="shared" si="186"/>
        <v>0.1950560362316679</v>
      </c>
      <c r="BK87" s="1">
        <f t="shared" si="187"/>
        <v>0.1950560362316679</v>
      </c>
      <c r="BL87" s="1">
        <f t="shared" si="188"/>
        <v>0.19470691488117442</v>
      </c>
      <c r="BM87" s="1">
        <f t="shared" si="189"/>
        <v>0.19458208793784804</v>
      </c>
      <c r="BN87" s="1">
        <f t="shared" si="190"/>
        <v>0.19460899330178794</v>
      </c>
      <c r="BO87" s="1">
        <f t="shared" si="191"/>
        <v>0.19460548470412348</v>
      </c>
      <c r="BP87" s="1">
        <f t="shared" si="192"/>
        <v>0.19405197490757548</v>
      </c>
      <c r="BQ87" s="1">
        <f t="shared" si="193"/>
        <v>0.19405197490757548</v>
      </c>
      <c r="BR87" s="1">
        <f t="shared" si="194"/>
        <v>0.19429904921687419</v>
      </c>
      <c r="BS87" s="1">
        <f t="shared" si="195"/>
        <v>0.19412666583201491</v>
      </c>
      <c r="BV87" s="1" t="s">
        <v>94</v>
      </c>
      <c r="BW87" s="1">
        <f>((AJ87-AI87)/BE$154)*$BD87</f>
        <v>-1.0703967302466222E-4</v>
      </c>
      <c r="BX87" s="1">
        <f>((AK87-AJ87)/BF$154)*$BD87</f>
        <v>0</v>
      </c>
      <c r="BY87" s="1">
        <f>((AL87-AK87)/BG$154)*$BD87</f>
        <v>0</v>
      </c>
      <c r="BZ87" s="1">
        <f>((AM87-AL87)/BH$154)*$BD87</f>
        <v>-1.4387008729596071E-5</v>
      </c>
      <c r="CA87" s="1">
        <f>((AN87-AM87)/BI$154)*$BD87</f>
        <v>3.7158441876015272E-6</v>
      </c>
      <c r="CB87" s="1">
        <f>((AO87-AN87)/BJ$154)*$BD87</f>
        <v>0</v>
      </c>
      <c r="CC87" s="1">
        <f>((AP87-AO87)/BK$154)*$BD87</f>
        <v>-3.4960826194345457E-6</v>
      </c>
      <c r="CD87" s="1">
        <f>((AQ87-AP87)/BL$154)*$BD87</f>
        <v>-1.2481931558852657E-6</v>
      </c>
      <c r="CE87" s="1">
        <f>((AR87-AQ87)/BM$154)*$BD87</f>
        <v>2.6796512799561395E-7</v>
      </c>
      <c r="CF87" s="1">
        <f>((AS87-AR87)/BN$154)*$BD87</f>
        <v>-3.4915090752715452E-8</v>
      </c>
      <c r="CG87" s="1">
        <f>((AT87-AS87)/BO$154)*$BD87</f>
        <v>-5.4955310587707694E-6</v>
      </c>
      <c r="CH87" s="1">
        <f>((AU87-AT87)/BP$154)*$BD87</f>
        <v>0</v>
      </c>
      <c r="CI87" s="1">
        <f>((AV87-AU87)/BQ$154)*$BD87</f>
        <v>2.443954887076392E-6</v>
      </c>
      <c r="CJ87" s="1">
        <f>((AW87-AV87)/BR$154)*$BD87</f>
        <v>-1.7020859391040416E-6</v>
      </c>
    </row>
    <row r="88" spans="1:88" x14ac:dyDescent="0.35">
      <c r="A88" s="1" t="s">
        <v>95</v>
      </c>
      <c r="B88" s="1">
        <v>1</v>
      </c>
      <c r="C88" s="1">
        <v>1</v>
      </c>
      <c r="D88" s="1">
        <v>0.99870436334056523</v>
      </c>
      <c r="E88" s="1">
        <v>0.99736207240221753</v>
      </c>
      <c r="F88" s="1">
        <v>1.0020338984604951</v>
      </c>
      <c r="G88" s="1">
        <v>0.99399806354392906</v>
      </c>
      <c r="H88" s="1">
        <v>1</v>
      </c>
      <c r="I88" s="1">
        <v>1</v>
      </c>
      <c r="J88" s="1">
        <v>0.9973593184218299</v>
      </c>
      <c r="K88" s="1">
        <v>0.9840880083131115</v>
      </c>
      <c r="L88" s="1">
        <v>1.0010866138089121</v>
      </c>
      <c r="M88" s="1">
        <v>1.046583558494242</v>
      </c>
      <c r="N88" s="1">
        <v>1.0053727065363549</v>
      </c>
      <c r="O88" s="1">
        <v>1.001630309920885</v>
      </c>
      <c r="P88" s="1">
        <v>1</v>
      </c>
      <c r="Q88" s="1">
        <v>1</v>
      </c>
      <c r="S88" s="1">
        <f t="shared" si="199"/>
        <v>100</v>
      </c>
      <c r="T88" s="1">
        <f t="shared" si="201"/>
        <v>99.870436334056521</v>
      </c>
      <c r="U88" s="1">
        <f t="shared" si="202"/>
        <v>99.60698535384833</v>
      </c>
      <c r="V88" s="1">
        <f t="shared" si="203"/>
        <v>99.809575848014077</v>
      </c>
      <c r="W88" s="1">
        <f t="shared" si="204"/>
        <v>99.210525116066904</v>
      </c>
      <c r="X88" s="1">
        <f t="shared" si="205"/>
        <v>99.210525116066904</v>
      </c>
      <c r="Y88" s="1">
        <f t="shared" si="206"/>
        <v>99.210525116066904</v>
      </c>
      <c r="Z88" s="1">
        <f t="shared" si="207"/>
        <v>98.94854171003233</v>
      </c>
      <c r="AA88" s="1">
        <f t="shared" si="208"/>
        <v>97.374073336912559</v>
      </c>
      <c r="AB88" s="1">
        <f t="shared" si="209"/>
        <v>97.47988134963046</v>
      </c>
      <c r="AC88" s="1">
        <f t="shared" si="210"/>
        <v>102.02084110449275</v>
      </c>
      <c r="AD88" s="1">
        <f t="shared" si="211"/>
        <v>102.56896914433928</v>
      </c>
      <c r="AE88" s="1">
        <f t="shared" si="212"/>
        <v>99.609239960793914</v>
      </c>
      <c r="AF88" s="1">
        <f t="shared" si="213"/>
        <v>1.0039229296334344</v>
      </c>
      <c r="AH88" s="1" t="str">
        <f t="shared" si="214"/>
        <v>C1621.31440</v>
      </c>
      <c r="AI88" s="1">
        <f t="shared" si="160"/>
        <v>100.39229296334344</v>
      </c>
      <c r="AJ88" s="1">
        <f t="shared" si="161"/>
        <v>100.26222102825542</v>
      </c>
      <c r="AK88" s="1">
        <f t="shared" si="162"/>
        <v>99.997736548390009</v>
      </c>
      <c r="AL88" s="1">
        <f t="shared" si="163"/>
        <v>100.20112179080877</v>
      </c>
      <c r="AM88" s="1">
        <f t="shared" si="164"/>
        <v>99.599721024993315</v>
      </c>
      <c r="AN88" s="1">
        <f t="shared" si="165"/>
        <v>99.599721024993315</v>
      </c>
      <c r="AO88" s="1">
        <f t="shared" si="166"/>
        <v>99.599721024993315</v>
      </c>
      <c r="AP88" s="1">
        <f t="shared" si="167"/>
        <v>99.336709876491739</v>
      </c>
      <c r="AQ88" s="1">
        <f t="shared" si="168"/>
        <v>97.756064974734159</v>
      </c>
      <c r="AR88" s="1">
        <f t="shared" si="169"/>
        <v>97.862288064840598</v>
      </c>
      <c r="AS88" s="1">
        <f t="shared" si="170"/>
        <v>102.42106168528947</v>
      </c>
      <c r="AT88" s="1">
        <f t="shared" si="171"/>
        <v>102.97133999286643</v>
      </c>
      <c r="AU88" s="1">
        <f t="shared" ref="AU88:AW88" si="233">AT88*O88</f>
        <v>103.13921519002362</v>
      </c>
      <c r="AV88" s="1">
        <f t="shared" si="233"/>
        <v>103.13921519002362</v>
      </c>
      <c r="AW88" s="1">
        <f t="shared" si="233"/>
        <v>103.13921519002362</v>
      </c>
      <c r="AX88" s="1" t="b">
        <f t="shared" si="173"/>
        <v>1</v>
      </c>
      <c r="AY88" s="1" t="s">
        <v>95</v>
      </c>
      <c r="AZ88" s="1" t="str">
        <f t="shared" si="197"/>
        <v>C16</v>
      </c>
      <c r="BA88" s="1" t="str">
        <f t="shared" si="198"/>
        <v>C1621</v>
      </c>
      <c r="BB88" s="1" t="s">
        <v>327</v>
      </c>
      <c r="BC88" s="1" t="s">
        <v>328</v>
      </c>
      <c r="BD88" s="1">
        <v>1.9604044717117068E-3</v>
      </c>
      <c r="BE88" s="1">
        <f t="shared" si="181"/>
        <v>0.1968095000507302</v>
      </c>
      <c r="BF88" s="1">
        <f t="shared" si="182"/>
        <v>0.19655450644753947</v>
      </c>
      <c r="BG88" s="1">
        <f t="shared" si="183"/>
        <v>0.19603600989051295</v>
      </c>
      <c r="BH88" s="1">
        <f t="shared" si="184"/>
        <v>0.19643472722923086</v>
      </c>
      <c r="BI88" s="1">
        <f t="shared" si="185"/>
        <v>0.19525573847863539</v>
      </c>
      <c r="BJ88" s="1">
        <f t="shared" si="186"/>
        <v>0.19525573847863539</v>
      </c>
      <c r="BK88" s="1">
        <f t="shared" si="187"/>
        <v>0.19525573847863539</v>
      </c>
      <c r="BL88" s="1">
        <f t="shared" si="188"/>
        <v>0.19474013024700287</v>
      </c>
      <c r="BM88" s="1">
        <f t="shared" si="189"/>
        <v>0.19164142691340899</v>
      </c>
      <c r="BN88" s="1">
        <f t="shared" si="190"/>
        <v>0.19184966713425269</v>
      </c>
      <c r="BO88" s="1">
        <f t="shared" si="191"/>
        <v>0.20078670732530204</v>
      </c>
      <c r="BP88" s="1">
        <f t="shared" si="192"/>
        <v>0.20186547538016186</v>
      </c>
      <c r="BQ88" s="1">
        <f t="shared" si="193"/>
        <v>0.20219457866735829</v>
      </c>
      <c r="BR88" s="1">
        <f t="shared" si="194"/>
        <v>0.20219457866735829</v>
      </c>
      <c r="BS88" s="1">
        <f t="shared" si="195"/>
        <v>0.20219457866735829</v>
      </c>
      <c r="BV88" s="1" t="s">
        <v>95</v>
      </c>
      <c r="BW88" s="1">
        <f>((AJ88-AI88)/BE$154)*$BD88</f>
        <v>-2.5615245297824445E-6</v>
      </c>
      <c r="BX88" s="1">
        <f>((AK88-AJ88)/BF$154)*$BD88</f>
        <v>-5.2113788391673032E-6</v>
      </c>
      <c r="BY88" s="1">
        <f>((AL88-AK88)/BG$154)*$BD88</f>
        <v>4.0093104727696071E-6</v>
      </c>
      <c r="BZ88" s="1">
        <f>((AM88-AL88)/BH$154)*$BD88</f>
        <v>-1.1828671554495345E-5</v>
      </c>
      <c r="CA88" s="1">
        <f>((AN88-AM88)/BI$154)*$BD88</f>
        <v>0</v>
      </c>
      <c r="CB88" s="1">
        <f>((AO88-AN88)/BJ$154)*$BD88</f>
        <v>0</v>
      </c>
      <c r="CC88" s="1">
        <f>((AP88-AO88)/BK$154)*$BD88</f>
        <v>-5.1632733847412701E-6</v>
      </c>
      <c r="CD88" s="1">
        <f>((AQ88-AP88)/BL$154)*$BD88</f>
        <v>-3.0985139826726406E-5</v>
      </c>
      <c r="CE88" s="1">
        <f>((AR88-AQ88)/BM$154)*$BD88</f>
        <v>2.0739774253517365E-6</v>
      </c>
      <c r="CF88" s="1">
        <f>((AS88-AR88)/BN$154)*$BD88</f>
        <v>8.8935124277745472E-5</v>
      </c>
      <c r="CG88" s="1">
        <f>((AT88-AS88)/BO$154)*$BD88</f>
        <v>1.0710566258564751E-5</v>
      </c>
      <c r="CH88" s="1">
        <f>((AU88-AT88)/BP$154)*$BD88</f>
        <v>3.2666779513973865E-6</v>
      </c>
      <c r="CI88" s="1">
        <f>((AV88-AU88)/BQ$154)*$BD88</f>
        <v>0</v>
      </c>
      <c r="CJ88" s="1">
        <f>((AW88-AV88)/BR$154)*$BD88</f>
        <v>0</v>
      </c>
    </row>
    <row r="89" spans="1:88" x14ac:dyDescent="0.35">
      <c r="A89" s="1" t="s">
        <v>96</v>
      </c>
      <c r="B89" s="1">
        <v>0.99366316298446455</v>
      </c>
      <c r="C89" s="1">
        <v>1</v>
      </c>
      <c r="D89" s="1">
        <v>0.99953609473378391</v>
      </c>
      <c r="E89" s="1">
        <v>0.9994907593939637</v>
      </c>
      <c r="F89" s="1">
        <v>0.99723236736840748</v>
      </c>
      <c r="G89" s="1">
        <v>0.99657214056081977</v>
      </c>
      <c r="H89" s="1">
        <v>1.0036568907135004</v>
      </c>
      <c r="I89" s="1">
        <v>1.0006368235636764</v>
      </c>
      <c r="J89" s="1">
        <v>0.99793840186915495</v>
      </c>
      <c r="K89" s="1">
        <v>0.99487990214855127</v>
      </c>
      <c r="L89" s="1">
        <v>1.0028339054252209</v>
      </c>
      <c r="M89" s="1">
        <v>1.0014224985591791</v>
      </c>
      <c r="N89" s="1">
        <v>1.0009299423280058</v>
      </c>
      <c r="O89" s="1">
        <v>1.0017018085152214</v>
      </c>
      <c r="P89" s="1">
        <v>1.0000301556078341</v>
      </c>
      <c r="Q89" s="1">
        <v>1</v>
      </c>
      <c r="S89" s="1">
        <f t="shared" si="199"/>
        <v>100</v>
      </c>
      <c r="T89" s="1">
        <f t="shared" si="201"/>
        <v>99.953609473378393</v>
      </c>
      <c r="U89" s="1">
        <f t="shared" si="202"/>
        <v>99.902709036714654</v>
      </c>
      <c r="V89" s="1">
        <f t="shared" si="203"/>
        <v>99.626215039200147</v>
      </c>
      <c r="W89" s="1">
        <f t="shared" si="204"/>
        <v>99.284710377588226</v>
      </c>
      <c r="X89" s="1">
        <f t="shared" si="205"/>
        <v>99.647783712960603</v>
      </c>
      <c r="Y89" s="1">
        <f t="shared" si="206"/>
        <v>99.711241769697153</v>
      </c>
      <c r="Z89" s="1">
        <f t="shared" si="207"/>
        <v>99.5056772600405</v>
      </c>
      <c r="AA89" s="1">
        <f t="shared" si="208"/>
        <v>98.996198455694412</v>
      </c>
      <c r="AB89" s="1">
        <f t="shared" si="209"/>
        <v>99.276744319574249</v>
      </c>
      <c r="AC89" s="1">
        <f t="shared" si="210"/>
        <v>99.417965345328838</v>
      </c>
      <c r="AD89" s="1">
        <f t="shared" si="211"/>
        <v>99.510418319467675</v>
      </c>
      <c r="AE89" s="1">
        <f t="shared" si="212"/>
        <v>99.569439425803736</v>
      </c>
      <c r="AF89" s="1">
        <f t="shared" si="213"/>
        <v>1.0043242241462764</v>
      </c>
      <c r="AH89" s="1" t="str">
        <f t="shared" si="214"/>
        <v>C1622.31600</v>
      </c>
      <c r="AI89" s="1">
        <f t="shared" si="160"/>
        <v>100.43242241462764</v>
      </c>
      <c r="AJ89" s="1">
        <f t="shared" si="161"/>
        <v>100.38583128497066</v>
      </c>
      <c r="AK89" s="1">
        <f t="shared" si="162"/>
        <v>100.33471074340964</v>
      </c>
      <c r="AL89" s="1">
        <f t="shared" si="163"/>
        <v>100.05702112387479</v>
      </c>
      <c r="AM89" s="1">
        <f t="shared" si="164"/>
        <v>99.714039719559054</v>
      </c>
      <c r="AN89" s="1">
        <f t="shared" si="165"/>
        <v>100.07868306541512</v>
      </c>
      <c r="AO89" s="1">
        <f t="shared" si="166"/>
        <v>100.14241552901288</v>
      </c>
      <c r="AP89" s="1">
        <f t="shared" si="167"/>
        <v>99.935962112339951</v>
      </c>
      <c r="AQ89" s="1">
        <f t="shared" si="168"/>
        <v>99.424280207446103</v>
      </c>
      <c r="AR89" s="1">
        <f t="shared" si="169"/>
        <v>99.706039214524665</v>
      </c>
      <c r="AS89" s="1">
        <f t="shared" si="170"/>
        <v>99.847870911648783</v>
      </c>
      <c r="AT89" s="1">
        <f t="shared" si="171"/>
        <v>99.94072367317078</v>
      </c>
      <c r="AU89" s="1">
        <f t="shared" ref="AU89:AW89" si="234">AT89*O89</f>
        <v>100.11080364773517</v>
      </c>
      <c r="AV89" s="1">
        <f t="shared" si="234"/>
        <v>100.11382254986994</v>
      </c>
      <c r="AW89" s="1">
        <f t="shared" si="234"/>
        <v>100.11382254986994</v>
      </c>
      <c r="AX89" s="1" t="b">
        <f t="shared" si="173"/>
        <v>1</v>
      </c>
      <c r="AY89" s="1" t="s">
        <v>96</v>
      </c>
      <c r="AZ89" s="1" t="str">
        <f t="shared" si="197"/>
        <v>C16</v>
      </c>
      <c r="BA89" s="1" t="str">
        <f t="shared" si="198"/>
        <v>C1622</v>
      </c>
      <c r="BB89" s="1" t="s">
        <v>329</v>
      </c>
      <c r="BC89" s="1" t="s">
        <v>330</v>
      </c>
      <c r="BD89" s="1">
        <v>1.9604044717117068E-3</v>
      </c>
      <c r="BE89" s="1">
        <f t="shared" si="181"/>
        <v>0.19688817000647507</v>
      </c>
      <c r="BF89" s="1">
        <f t="shared" si="182"/>
        <v>0.19679683254755345</v>
      </c>
      <c r="BG89" s="1">
        <f t="shared" si="183"/>
        <v>0.19669661560928089</v>
      </c>
      <c r="BH89" s="1">
        <f t="shared" si="184"/>
        <v>0.19615223163739684</v>
      </c>
      <c r="BI89" s="1">
        <f t="shared" si="185"/>
        <v>0.19547984935866231</v>
      </c>
      <c r="BJ89" s="1">
        <f t="shared" si="186"/>
        <v>0.19619469780445847</v>
      </c>
      <c r="BK89" s="1">
        <f t="shared" si="187"/>
        <v>0.19631963921108872</v>
      </c>
      <c r="BL89" s="1">
        <f t="shared" si="188"/>
        <v>0.19591490700984296</v>
      </c>
      <c r="BM89" s="1">
        <f t="shared" si="189"/>
        <v>0.19491180351539508</v>
      </c>
      <c r="BN89" s="1">
        <f t="shared" si="190"/>
        <v>0.19546416513281695</v>
      </c>
      <c r="BO89" s="1">
        <f t="shared" si="191"/>
        <v>0.19574221262608954</v>
      </c>
      <c r="BP89" s="1">
        <f t="shared" si="192"/>
        <v>0.19592424159498803</v>
      </c>
      <c r="BQ89" s="1">
        <f t="shared" si="193"/>
        <v>0.19625766713767268</v>
      </c>
      <c r="BR89" s="1">
        <f t="shared" si="194"/>
        <v>0.19626358540691732</v>
      </c>
      <c r="BS89" s="1">
        <f t="shared" si="195"/>
        <v>0.19626358540691732</v>
      </c>
      <c r="BV89" s="1" t="s">
        <v>96</v>
      </c>
      <c r="BW89" s="1">
        <f>((AJ89-AI89)/BE$154)*$BD89</f>
        <v>-9.1752553235916143E-7</v>
      </c>
      <c r="BX89" s="1">
        <f>((AK89-AJ89)/BF$154)*$BD89</f>
        <v>-1.007274637337627E-6</v>
      </c>
      <c r="BY89" s="1">
        <f>((AL89-AK89)/BG$154)*$BD89</f>
        <v>-5.4740643251203616E-6</v>
      </c>
      <c r="BZ89" s="1">
        <f>((AM89-AL89)/BH$154)*$BD89</f>
        <v>-6.7459414945197217E-6</v>
      </c>
      <c r="CA89" s="1">
        <f>((AN89-AM89)/BI$154)*$BD89</f>
        <v>7.1643035291131947E-6</v>
      </c>
      <c r="CB89" s="1">
        <f>((AO89-AN89)/BJ$154)*$BD89</f>
        <v>1.251516004158903E-6</v>
      </c>
      <c r="CC89" s="1">
        <f>((AP89-AO89)/BK$154)*$BD89</f>
        <v>-4.0529667185946126E-6</v>
      </c>
      <c r="CD89" s="1">
        <f>((AQ89-AP89)/BL$154)*$BD89</f>
        <v>-1.0030421983022459E-5</v>
      </c>
      <c r="CE89" s="1">
        <f>((AR89-AQ89)/BM$154)*$BD89</f>
        <v>5.5012692577941983E-6</v>
      </c>
      <c r="CF89" s="1">
        <f>((AS89-AR89)/BN$154)*$BD89</f>
        <v>2.7669326578701674E-6</v>
      </c>
      <c r="CG89" s="1">
        <f>((AT89-AS89)/BO$154)*$BD89</f>
        <v>1.8072775918628498E-6</v>
      </c>
      <c r="CH89" s="1">
        <f>((AU89-AT89)/BP$154)*$BD89</f>
        <v>3.3095806425977905E-6</v>
      </c>
      <c r="CI89" s="1">
        <f>((AV89-AU89)/BQ$154)*$BD89</f>
        <v>5.8541023891070149E-8</v>
      </c>
      <c r="CJ89" s="1">
        <f>((AW89-AV89)/BR$154)*$BD89</f>
        <v>0</v>
      </c>
    </row>
    <row r="90" spans="1:88" x14ac:dyDescent="0.35">
      <c r="A90" s="1" t="s">
        <v>97</v>
      </c>
      <c r="B90" s="1">
        <v>0.9932453087558768</v>
      </c>
      <c r="C90" s="1">
        <v>1</v>
      </c>
      <c r="D90" s="1">
        <v>1.0055693059785031</v>
      </c>
      <c r="E90" s="1">
        <v>1.0019708584941136</v>
      </c>
      <c r="F90" s="1">
        <v>0.99243977828741192</v>
      </c>
      <c r="G90" s="1">
        <v>1.0068888961388132</v>
      </c>
      <c r="H90" s="1">
        <v>0.99401425568337387</v>
      </c>
      <c r="I90" s="1">
        <v>0.97923601748083133</v>
      </c>
      <c r="J90" s="1">
        <v>0.9996683518984758</v>
      </c>
      <c r="K90" s="1">
        <v>1.0147110034341906</v>
      </c>
      <c r="L90" s="1">
        <v>0.99999833668979421</v>
      </c>
      <c r="M90" s="1">
        <v>1.000749044506847</v>
      </c>
      <c r="N90" s="1">
        <v>0.99994889782899432</v>
      </c>
      <c r="O90" s="1">
        <v>0.99870102494843671</v>
      </c>
      <c r="P90" s="1">
        <v>1.025768530000255</v>
      </c>
      <c r="Q90" s="1">
        <v>1.006846850368375</v>
      </c>
      <c r="S90" s="1">
        <f t="shared" si="199"/>
        <v>100</v>
      </c>
      <c r="T90" s="1">
        <f t="shared" si="201"/>
        <v>100.55693059785031</v>
      </c>
      <c r="U90" s="1">
        <f t="shared" si="202"/>
        <v>100.75511407866108</v>
      </c>
      <c r="V90" s="1">
        <f t="shared" si="203"/>
        <v>99.993383077549296</v>
      </c>
      <c r="W90" s="1">
        <f t="shared" si="204"/>
        <v>100.68222710813909</v>
      </c>
      <c r="X90" s="1">
        <f t="shared" si="205"/>
        <v>100.07956903944128</v>
      </c>
      <c r="Y90" s="1">
        <f t="shared" si="206"/>
        <v>98.001518617380384</v>
      </c>
      <c r="Z90" s="1">
        <f t="shared" si="207"/>
        <v>97.969016599784439</v>
      </c>
      <c r="AA90" s="1">
        <f t="shared" si="208"/>
        <v>99.410239139428143</v>
      </c>
      <c r="AB90" s="1">
        <f t="shared" si="209"/>
        <v>99.410073789362826</v>
      </c>
      <c r="AC90" s="1">
        <f t="shared" si="210"/>
        <v>99.484536359060002</v>
      </c>
      <c r="AD90" s="1">
        <f t="shared" si="211"/>
        <v>99.479452483270563</v>
      </c>
      <c r="AE90" s="1">
        <f t="shared" si="212"/>
        <v>99.651838407493941</v>
      </c>
      <c r="AF90" s="1">
        <f t="shared" si="213"/>
        <v>1.0034937799248858</v>
      </c>
      <c r="AH90" s="1" t="str">
        <f t="shared" si="214"/>
        <v>C1702.32153</v>
      </c>
      <c r="AI90" s="1">
        <f t="shared" si="160"/>
        <v>100.34937799248857</v>
      </c>
      <c r="AJ90" s="1">
        <f t="shared" si="161"/>
        <v>100.9082543832812</v>
      </c>
      <c r="AK90" s="1">
        <f t="shared" si="162"/>
        <v>101.10713027355868</v>
      </c>
      <c r="AL90" s="1">
        <f t="shared" si="163"/>
        <v>100.34273795196705</v>
      </c>
      <c r="AM90" s="1">
        <f t="shared" si="164"/>
        <v>101.03398865200229</v>
      </c>
      <c r="AN90" s="1">
        <f t="shared" si="165"/>
        <v>100.42922502864251</v>
      </c>
      <c r="AO90" s="1">
        <f t="shared" si="166"/>
        <v>98.3439143557341</v>
      </c>
      <c r="AP90" s="1">
        <f t="shared" si="167"/>
        <v>98.311298783241568</v>
      </c>
      <c r="AQ90" s="1">
        <f t="shared" si="168"/>
        <v>99.757556637261573</v>
      </c>
      <c r="AR90" s="1">
        <f t="shared" si="169"/>
        <v>99.757390709499518</v>
      </c>
      <c r="AS90" s="1">
        <f t="shared" si="170"/>
        <v>99.83211343502785</v>
      </c>
      <c r="AT90" s="1">
        <f t="shared" si="171"/>
        <v>99.827011797295242</v>
      </c>
      <c r="AU90" s="1">
        <f t="shared" ref="AU90:AW90" si="235">AT90*O90</f>
        <v>99.697338999498442</v>
      </c>
      <c r="AV90" s="1">
        <f t="shared" si="235"/>
        <v>102.26639287045262</v>
      </c>
      <c r="AW90" s="1">
        <f t="shared" si="235"/>
        <v>102.96659556015005</v>
      </c>
      <c r="AX90" s="1" t="b">
        <f t="shared" si="173"/>
        <v>1</v>
      </c>
      <c r="AY90" s="1" t="s">
        <v>97</v>
      </c>
      <c r="AZ90" s="1" t="str">
        <f t="shared" si="197"/>
        <v>C17</v>
      </c>
      <c r="BA90" s="1" t="str">
        <f t="shared" si="198"/>
        <v>C1702</v>
      </c>
      <c r="BB90" s="1" t="s">
        <v>331</v>
      </c>
      <c r="BC90" s="1" t="s">
        <v>332</v>
      </c>
      <c r="BD90" s="1">
        <v>1.4241801640192791E-2</v>
      </c>
      <c r="BE90" s="1">
        <f t="shared" si="181"/>
        <v>1.4291559360857502</v>
      </c>
      <c r="BF90" s="1">
        <f t="shared" si="182"/>
        <v>1.4371153427848056</v>
      </c>
      <c r="BG90" s="1">
        <f t="shared" si="183"/>
        <v>1.4399476937651543</v>
      </c>
      <c r="BH90" s="1">
        <f t="shared" si="184"/>
        <v>1.4290613699457597</v>
      </c>
      <c r="BI90" s="1">
        <f t="shared" si="185"/>
        <v>1.4389060252993062</v>
      </c>
      <c r="BJ90" s="1">
        <f t="shared" si="186"/>
        <v>1.4302931017362117</v>
      </c>
      <c r="BK90" s="1">
        <f t="shared" si="187"/>
        <v>1.4005945207744732</v>
      </c>
      <c r="BL90" s="1">
        <f t="shared" si="188"/>
        <v>1.4001300162606534</v>
      </c>
      <c r="BM90" s="1">
        <f t="shared" si="189"/>
        <v>1.4207273337381772</v>
      </c>
      <c r="BN90" s="1">
        <f t="shared" si="190"/>
        <v>1.4207249706279033</v>
      </c>
      <c r="BO90" s="1">
        <f t="shared" si="191"/>
        <v>1.4217891568628924</v>
      </c>
      <c r="BP90" s="1">
        <f t="shared" si="192"/>
        <v>1.4217165003502645</v>
      </c>
      <c r="BQ90" s="1">
        <f t="shared" si="193"/>
        <v>1.4198697260859137</v>
      </c>
      <c r="BR90" s="1">
        <f t="shared" si="194"/>
        <v>1.4564576817190125</v>
      </c>
      <c r="BS90" s="1">
        <f t="shared" si="195"/>
        <v>1.4664298295336129</v>
      </c>
      <c r="BV90" s="1" t="s">
        <v>97</v>
      </c>
      <c r="BW90" s="1">
        <f>((AJ90-AI90)/BE$154)*$BD90</f>
        <v>7.9955792016066151E-5</v>
      </c>
      <c r="BX90" s="1">
        <f>((AK90-AJ90)/BF$154)*$BD90</f>
        <v>2.8467795521598378E-5</v>
      </c>
      <c r="BY90" s="1">
        <f>((AL90-AK90)/BG$154)*$BD90</f>
        <v>-1.0946765505459779E-4</v>
      </c>
      <c r="BZ90" s="1">
        <f>((AM90-AL90)/BH$154)*$BD90</f>
        <v>9.8770403606895577E-5</v>
      </c>
      <c r="CA90" s="1">
        <f>((AN90-AM90)/BI$154)*$BD90</f>
        <v>-8.6319833304436167E-5</v>
      </c>
      <c r="CB90" s="1">
        <f>((AO90-AN90)/BJ$154)*$BD90</f>
        <v>-2.9748544039062756E-4</v>
      </c>
      <c r="CC90" s="1">
        <f>((AP90-AO90)/BK$154)*$BD90</f>
        <v>-4.6515234749163673E-6</v>
      </c>
      <c r="CD90" s="1">
        <f>((AQ90-AP90)/BL$154)*$BD90</f>
        <v>2.0596058847503635E-4</v>
      </c>
      <c r="CE90" s="1">
        <f>((AR90-AQ90)/BM$154)*$BD90</f>
        <v>-2.3535498289371768E-8</v>
      </c>
      <c r="CF90" s="1">
        <f>((AS90-AR90)/BN$154)*$BD90</f>
        <v>1.0590031267645767E-5</v>
      </c>
      <c r="CG90" s="1">
        <f>((AT90-AS90)/BO$154)*$BD90</f>
        <v>-7.2137137275421688E-7</v>
      </c>
      <c r="CH90" s="1">
        <f>((AU90-AT90)/BP$154)*$BD90</f>
        <v>-1.8331074180253446E-5</v>
      </c>
      <c r="CI90" s="1">
        <f>((AV90-AU90)/BQ$154)*$BD90</f>
        <v>3.619126295706263E-4</v>
      </c>
      <c r="CJ90" s="1">
        <f>((AW90-AV90)/BR$154)*$BD90</f>
        <v>9.8463390724995201E-5</v>
      </c>
    </row>
    <row r="91" spans="1:88" x14ac:dyDescent="0.35">
      <c r="A91" s="1" t="s">
        <v>98</v>
      </c>
      <c r="B91" s="1">
        <v>0.9964912966847187</v>
      </c>
      <c r="C91" s="1">
        <v>1</v>
      </c>
      <c r="D91" s="1">
        <v>1.0030303056592147</v>
      </c>
      <c r="E91" s="1">
        <v>1.0006238930786826</v>
      </c>
      <c r="F91" s="1">
        <v>0.99250241552298768</v>
      </c>
      <c r="G91" s="1">
        <v>1.0013324620771724</v>
      </c>
      <c r="H91" s="1">
        <v>1.0018492790726801</v>
      </c>
      <c r="I91" s="1">
        <v>1.0102035478247293</v>
      </c>
      <c r="J91" s="1">
        <v>0.98411421299987611</v>
      </c>
      <c r="K91" s="1">
        <v>1.0055795511480825</v>
      </c>
      <c r="L91" s="1">
        <v>0.99750030992620797</v>
      </c>
      <c r="M91" s="1">
        <v>0.99783017019481524</v>
      </c>
      <c r="N91" s="1">
        <v>0.99734180626794278</v>
      </c>
      <c r="O91" s="1">
        <v>1.0050358385125633</v>
      </c>
      <c r="P91" s="1">
        <v>1.0000021670446932</v>
      </c>
      <c r="Q91" s="1">
        <v>1</v>
      </c>
      <c r="S91" s="1">
        <f t="shared" si="199"/>
        <v>100</v>
      </c>
      <c r="T91" s="1">
        <f t="shared" si="201"/>
        <v>100.30303056592147</v>
      </c>
      <c r="U91" s="1">
        <f t="shared" si="202"/>
        <v>100.36560893246244</v>
      </c>
      <c r="V91" s="1">
        <f t="shared" si="203"/>
        <v>99.613109300904512</v>
      </c>
      <c r="W91" s="1">
        <f t="shared" si="204"/>
        <v>99.745839991437194</v>
      </c>
      <c r="X91" s="1">
        <f t="shared" si="205"/>
        <v>99.930297885920254</v>
      </c>
      <c r="Y91" s="1">
        <f t="shared" si="206"/>
        <v>100.94994145953869</v>
      </c>
      <c r="Z91" s="1">
        <f t="shared" si="207"/>
        <v>99.346272191837485</v>
      </c>
      <c r="AA91" s="1">
        <f t="shared" si="208"/>
        <v>99.900579798903166</v>
      </c>
      <c r="AB91" s="1">
        <f t="shared" si="209"/>
        <v>99.650859311213779</v>
      </c>
      <c r="AC91" s="1">
        <f t="shared" si="210"/>
        <v>99.434633906568038</v>
      </c>
      <c r="AD91" s="1">
        <f t="shared" si="211"/>
        <v>99.17031738596819</v>
      </c>
      <c r="AE91" s="1">
        <f t="shared" si="212"/>
        <v>99.867540894222941</v>
      </c>
      <c r="AF91" s="1">
        <f t="shared" si="213"/>
        <v>1.0013263479263734</v>
      </c>
      <c r="AH91" s="1" t="str">
        <f t="shared" si="214"/>
        <v>C1709.32193</v>
      </c>
      <c r="AI91" s="1">
        <f t="shared" si="160"/>
        <v>100.13263479263735</v>
      </c>
      <c r="AJ91" s="1">
        <f t="shared" si="161"/>
        <v>100.43606728252155</v>
      </c>
      <c r="AK91" s="1">
        <f t="shared" si="162"/>
        <v>100.49872864974921</v>
      </c>
      <c r="AL91" s="1">
        <f t="shared" si="163"/>
        <v>99.745230941865373</v>
      </c>
      <c r="AM91" s="1">
        <f t="shared" si="164"/>
        <v>99.878137679474207</v>
      </c>
      <c r="AN91" s="1">
        <f t="shared" si="165"/>
        <v>100.06284022930312</v>
      </c>
      <c r="AO91" s="1">
        <f t="shared" si="166"/>
        <v>101.08383620506108</v>
      </c>
      <c r="AP91" s="1">
        <f t="shared" si="167"/>
        <v>99.47803991395206</v>
      </c>
      <c r="AQ91" s="1">
        <f t="shared" si="168"/>
        <v>100.03308272576294</v>
      </c>
      <c r="AR91" s="1">
        <f t="shared" si="169"/>
        <v>99.783031021822538</v>
      </c>
      <c r="AS91" s="1">
        <f t="shared" si="170"/>
        <v>99.56651882705971</v>
      </c>
      <c r="AT91" s="1">
        <f t="shared" si="171"/>
        <v>99.301851730790858</v>
      </c>
      <c r="AU91" s="1">
        <f t="shared" ref="AU91:AW91" si="236">AT91*O91</f>
        <v>99.801919820105624</v>
      </c>
      <c r="AV91" s="1">
        <f t="shared" si="236"/>
        <v>99.802136095326347</v>
      </c>
      <c r="AW91" s="1">
        <f t="shared" si="236"/>
        <v>99.802136095326347</v>
      </c>
      <c r="AX91" s="1" t="b">
        <f t="shared" si="173"/>
        <v>1</v>
      </c>
      <c r="AY91" s="1" t="s">
        <v>98</v>
      </c>
      <c r="AZ91" s="1" t="str">
        <f t="shared" si="197"/>
        <v>C17</v>
      </c>
      <c r="BA91" s="1" t="str">
        <f t="shared" si="198"/>
        <v>C1709</v>
      </c>
      <c r="BB91" s="1" t="s">
        <v>333</v>
      </c>
      <c r="BC91" s="1" t="s">
        <v>334</v>
      </c>
      <c r="BD91" s="1">
        <v>5.523264297943949E-3</v>
      </c>
      <c r="BE91" s="1">
        <f t="shared" si="181"/>
        <v>0.55305900680923392</v>
      </c>
      <c r="BF91" s="1">
        <f t="shared" si="182"/>
        <v>0.55473494464744766</v>
      </c>
      <c r="BG91" s="1">
        <f t="shared" si="183"/>
        <v>0.55508103993991653</v>
      </c>
      <c r="BH91" s="1">
        <f t="shared" si="184"/>
        <v>0.5509192729513791</v>
      </c>
      <c r="BI91" s="1">
        <f t="shared" si="185"/>
        <v>0.55165335199017018</v>
      </c>
      <c r="BJ91" s="1">
        <f t="shared" si="186"/>
        <v>0.55267351298937939</v>
      </c>
      <c r="BK91" s="1">
        <f t="shared" si="187"/>
        <v>0.55831274361062777</v>
      </c>
      <c r="BL91" s="1">
        <f t="shared" si="188"/>
        <v>0.54944350628617455</v>
      </c>
      <c r="BM91" s="1">
        <f t="shared" si="189"/>
        <v>0.55250915443248005</v>
      </c>
      <c r="BN91" s="1">
        <f t="shared" si="190"/>
        <v>0.55112805278346599</v>
      </c>
      <c r="BO91" s="1">
        <f t="shared" si="191"/>
        <v>0.54993219870806298</v>
      </c>
      <c r="BP91" s="1">
        <f t="shared" si="192"/>
        <v>0.54847037238440066</v>
      </c>
      <c r="BQ91" s="1">
        <f t="shared" si="193"/>
        <v>0.55123238060865398</v>
      </c>
      <c r="BR91" s="1">
        <f t="shared" si="194"/>
        <v>0.55123357515385918</v>
      </c>
      <c r="BS91" s="1">
        <f t="shared" si="195"/>
        <v>0.55123357515385918</v>
      </c>
      <c r="BV91" s="1" t="s">
        <v>98</v>
      </c>
      <c r="BW91" s="1">
        <f>((AJ91-AI91)/BE$154)*$BD91</f>
        <v>1.6835543438176902E-5</v>
      </c>
      <c r="BX91" s="1">
        <f>((AK91-AJ91)/BF$154)*$BD91</f>
        <v>3.4785837226217837E-6</v>
      </c>
      <c r="BY91" s="1">
        <f>((AL91-AK91)/BG$154)*$BD91</f>
        <v>-4.1848734308930986E-5</v>
      </c>
      <c r="BZ91" s="1">
        <f>((AM91-AL91)/BH$154)*$BD91</f>
        <v>7.3649386735147279E-6</v>
      </c>
      <c r="CA91" s="1">
        <f>((AN91-AM91)/BI$154)*$BD91</f>
        <v>1.0224185405842848E-5</v>
      </c>
      <c r="CB91" s="1">
        <f>((AO91-AN91)/BJ$154)*$BD91</f>
        <v>5.6487177181551762E-5</v>
      </c>
      <c r="CC91" s="1">
        <f>((AP91-AO91)/BK$154)*$BD91</f>
        <v>-8.8816070440359584E-5</v>
      </c>
      <c r="CD91" s="1">
        <f>((AQ91-AP91)/BL$154)*$BD91</f>
        <v>3.0654608152710809E-5</v>
      </c>
      <c r="CE91" s="1">
        <f>((AR91-AQ91)/BM$154)*$BD91</f>
        <v>-1.3755141204547395E-5</v>
      </c>
      <c r="CF91" s="1">
        <f>((AS91-AR91)/BN$154)*$BD91</f>
        <v>-1.1900296803021089E-5</v>
      </c>
      <c r="CG91" s="1">
        <f>((AT91-AS91)/BO$154)*$BD91</f>
        <v>-1.4513766539122334E-5</v>
      </c>
      <c r="CH91" s="1">
        <f>((AU91-AT91)/BP$154)*$BD91</f>
        <v>2.7415682914042462E-5</v>
      </c>
      <c r="CI91" s="1">
        <f>((AV91-AU91)/BQ$154)*$BD91</f>
        <v>1.1815937481480135E-8</v>
      </c>
      <c r="CJ91" s="1">
        <f>((AW91-AV91)/BR$154)*$BD91</f>
        <v>0</v>
      </c>
    </row>
    <row r="92" spans="1:88" x14ac:dyDescent="0.35">
      <c r="A92" s="1" t="s">
        <v>99</v>
      </c>
      <c r="B92" s="1">
        <v>0.99981842023701095</v>
      </c>
      <c r="C92" s="1">
        <v>1</v>
      </c>
      <c r="D92" s="1">
        <v>0.99876713357507441</v>
      </c>
      <c r="E92" s="1">
        <v>0.99203279314537962</v>
      </c>
      <c r="F92" s="1">
        <v>0.9992417554213584</v>
      </c>
      <c r="G92" s="1">
        <v>0.99766611628883195</v>
      </c>
      <c r="H92" s="1">
        <v>0.99575066150209746</v>
      </c>
      <c r="I92" s="1">
        <v>0.99968138446847954</v>
      </c>
      <c r="J92" s="1">
        <v>0.99943614800305536</v>
      </c>
      <c r="K92" s="1">
        <v>0.99973002796971366</v>
      </c>
      <c r="L92" s="1">
        <v>0.99993672721108207</v>
      </c>
      <c r="M92" s="1">
        <v>0.99963643600020258</v>
      </c>
      <c r="N92" s="1">
        <v>0.99925987404687522</v>
      </c>
      <c r="O92" s="1">
        <v>1.0007150394224273</v>
      </c>
      <c r="P92" s="1">
        <v>1.0088246805526131</v>
      </c>
      <c r="Q92" s="1">
        <v>1</v>
      </c>
      <c r="S92" s="1">
        <f t="shared" si="199"/>
        <v>100</v>
      </c>
      <c r="T92" s="1">
        <f t="shared" si="201"/>
        <v>99.876713357507441</v>
      </c>
      <c r="U92" s="1">
        <f t="shared" si="202"/>
        <v>99.080974922228549</v>
      </c>
      <c r="V92" s="1">
        <f t="shared" si="203"/>
        <v>99.005847310147246</v>
      </c>
      <c r="W92" s="1">
        <f t="shared" si="204"/>
        <v>98.774779175799708</v>
      </c>
      <c r="X92" s="1">
        <f t="shared" si="205"/>
        <v>98.355051704026152</v>
      </c>
      <c r="Y92" s="1">
        <f t="shared" si="206"/>
        <v>98.323714256949756</v>
      </c>
      <c r="Z92" s="1">
        <f t="shared" si="207"/>
        <v>98.268274234318966</v>
      </c>
      <c r="AA92" s="1">
        <f t="shared" si="208"/>
        <v>98.241744548811198</v>
      </c>
      <c r="AB92" s="1">
        <f t="shared" si="209"/>
        <v>98.235528519645428</v>
      </c>
      <c r="AC92" s="1">
        <f t="shared" si="210"/>
        <v>98.199813617974613</v>
      </c>
      <c r="AD92" s="1">
        <f t="shared" si="211"/>
        <v>98.127133387323937</v>
      </c>
      <c r="AE92" s="1">
        <f t="shared" si="212"/>
        <v>98.707464586227744</v>
      </c>
      <c r="AF92" s="1">
        <f t="shared" si="213"/>
        <v>1.0130946065648676</v>
      </c>
      <c r="AH92" s="1" t="str">
        <f t="shared" si="214"/>
        <v>C1709.32199</v>
      </c>
      <c r="AI92" s="1">
        <f t="shared" ref="AI92:AI123" si="237">$AF92*S92</f>
        <v>101.30946065648676</v>
      </c>
      <c r="AJ92" s="1">
        <f t="shared" ref="AJ92:AJ123" si="238">$AF92*T92</f>
        <v>101.18455962391606</v>
      </c>
      <c r="AK92" s="1">
        <f t="shared" ref="AK92:AK123" si="239">$AF92*U92</f>
        <v>100.37840130689865</v>
      </c>
      <c r="AL92" s="1">
        <f t="shared" ref="AL92:AL123" si="240">$AF92*V92</f>
        <v>100.30228992829498</v>
      </c>
      <c r="AM92" s="1">
        <f t="shared" ref="AM92:AM123" si="241">$AF92*W92</f>
        <v>100.06819604763848</v>
      </c>
      <c r="AN92" s="1">
        <f t="shared" ref="AN92:AN123" si="242">$AF92*X92</f>
        <v>99.64297240975759</v>
      </c>
      <c r="AO92" s="1">
        <f t="shared" ref="AO92:AO123" si="243">$AF92*Y92</f>
        <v>99.611224611140983</v>
      </c>
      <c r="AP92" s="1">
        <f t="shared" ref="AP92:AP123" si="244">$AF92*Z92</f>
        <v>99.555058623225889</v>
      </c>
      <c r="AQ92" s="1">
        <f t="shared" ref="AQ92:AQ123" si="245">$AF92*AA92</f>
        <v>99.528181541924113</v>
      </c>
      <c r="AR92" s="1">
        <f t="shared" ref="AR92:AR123" si="246">$AF92*AB92</f>
        <v>99.521884116302019</v>
      </c>
      <c r="AS92" s="1">
        <f t="shared" ref="AS92:AS123" si="247">$AF92*AC92</f>
        <v>99.485701542045319</v>
      </c>
      <c r="AT92" s="1">
        <f t="shared" ref="AT92:AT123" si="248">$AF92*AD92</f>
        <v>99.412069592369235</v>
      </c>
      <c r="AU92" s="1">
        <f t="shared" ref="AU92:AW92" si="249">AT92*O92</f>
        <v>99.483153141192872</v>
      </c>
      <c r="AV92" s="1">
        <f t="shared" si="249"/>
        <v>100.36106018803059</v>
      </c>
      <c r="AW92" s="1">
        <f t="shared" si="249"/>
        <v>100.36106018803059</v>
      </c>
      <c r="AX92" s="1" t="b">
        <f t="shared" si="173"/>
        <v>1</v>
      </c>
      <c r="AY92" s="1" t="s">
        <v>99</v>
      </c>
      <c r="AZ92" s="1" t="str">
        <f t="shared" si="197"/>
        <v>C17</v>
      </c>
      <c r="BA92" s="1" t="str">
        <f t="shared" si="198"/>
        <v>C1709</v>
      </c>
      <c r="BB92" s="1" t="s">
        <v>335</v>
      </c>
      <c r="BC92" s="1" t="s">
        <v>336</v>
      </c>
      <c r="BD92" s="1">
        <v>2.2093057191775799E-3</v>
      </c>
      <c r="BE92" s="1">
        <f t="shared" si="181"/>
        <v>0.22382357083517221</v>
      </c>
      <c r="BF92" s="1">
        <f t="shared" si="182"/>
        <v>0.22354762626958258</v>
      </c>
      <c r="BG92" s="1">
        <f t="shared" si="183"/>
        <v>0.22176657608923345</v>
      </c>
      <c r="BH92" s="1">
        <f t="shared" si="184"/>
        <v>0.22159842278518987</v>
      </c>
      <c r="BI92" s="1">
        <f t="shared" si="185"/>
        <v>0.22108123783583097</v>
      </c>
      <c r="BJ92" s="1">
        <f t="shared" si="186"/>
        <v>0.22014178882073124</v>
      </c>
      <c r="BK92" s="1">
        <f t="shared" si="187"/>
        <v>0.22007164822767628</v>
      </c>
      <c r="BL92" s="1">
        <f t="shared" si="188"/>
        <v>0.2199475603893522</v>
      </c>
      <c r="BM92" s="1">
        <f t="shared" si="189"/>
        <v>0.21988818069991739</v>
      </c>
      <c r="BN92" s="1">
        <f t="shared" si="190"/>
        <v>0.2198742677614744</v>
      </c>
      <c r="BO92" s="1">
        <f t="shared" si="191"/>
        <v>0.21979432939323451</v>
      </c>
      <c r="BP92" s="1">
        <f t="shared" si="192"/>
        <v>0.21963165390570094</v>
      </c>
      <c r="BQ92" s="1">
        <f t="shared" si="193"/>
        <v>0.21978869919665642</v>
      </c>
      <c r="BR92" s="1">
        <f t="shared" si="194"/>
        <v>0.22172826425614131</v>
      </c>
      <c r="BS92" s="1">
        <f t="shared" si="195"/>
        <v>0.22172826425614131</v>
      </c>
      <c r="BV92" s="1" t="s">
        <v>99</v>
      </c>
      <c r="BW92" s="1">
        <f>((AJ92-AI92)/BE$154)*$BD92</f>
        <v>-2.771986296022192E-6</v>
      </c>
      <c r="BX92" s="1">
        <f>((AK92-AJ92)/BF$154)*$BD92</f>
        <v>-1.7901232121184646E-5</v>
      </c>
      <c r="BY92" s="1">
        <f>((AL92-AK92)/BG$154)*$BD92</f>
        <v>-1.6908690379519973E-6</v>
      </c>
      <c r="BZ92" s="1">
        <f>((AM92-AL92)/BH$154)*$BD92</f>
        <v>-5.1888628248613607E-6</v>
      </c>
      <c r="CA92" s="1">
        <f>((AN92-AM92)/BI$154)*$BD92</f>
        <v>-9.4152794678108964E-6</v>
      </c>
      <c r="CB92" s="1">
        <f>((AO92-AN92)/BJ$154)*$BD92</f>
        <v>-7.0258593301473928E-7</v>
      </c>
      <c r="CC92" s="1">
        <f>((AP92-AO92)/BK$154)*$BD92</f>
        <v>-1.242609007540843E-6</v>
      </c>
      <c r="CD92" s="1">
        <f>((AQ92-AP92)/BL$154)*$BD92</f>
        <v>-5.9376060949709037E-7</v>
      </c>
      <c r="CE92" s="1">
        <f>((AR92-AQ92)/BM$154)*$BD92</f>
        <v>-1.3856650811335272E-7</v>
      </c>
      <c r="CF92" s="1">
        <f>((AS92-AR92)/BN$154)*$BD92</f>
        <v>-7.954902923112325E-7</v>
      </c>
      <c r="CG92" s="1">
        <f>((AT92-AS92)/BO$154)*$BD92</f>
        <v>-1.6151262359164087E-6</v>
      </c>
      <c r="CH92" s="1">
        <f>((AU92-AT92)/BP$154)*$BD92</f>
        <v>1.5588309485007115E-6</v>
      </c>
      <c r="CI92" s="1">
        <f>((AV92-AU92)/BQ$154)*$BD92</f>
        <v>1.9185359738068161E-5</v>
      </c>
      <c r="CJ92" s="1">
        <f>((AW92-AV92)/BR$154)*$BD92</f>
        <v>0</v>
      </c>
    </row>
    <row r="93" spans="1:88" x14ac:dyDescent="0.35">
      <c r="A93" s="1" t="s">
        <v>100</v>
      </c>
      <c r="B93" s="1">
        <v>1</v>
      </c>
      <c r="C93" s="1">
        <v>1</v>
      </c>
      <c r="D93" s="1">
        <v>1</v>
      </c>
      <c r="E93" s="1">
        <v>0.99998264777566837</v>
      </c>
      <c r="F93" s="1">
        <v>1.0000173525254366</v>
      </c>
      <c r="G93" s="1">
        <v>1</v>
      </c>
      <c r="H93" s="1">
        <v>0.99999843976315606</v>
      </c>
      <c r="I93" s="1">
        <v>0.99917357513247085</v>
      </c>
      <c r="J93" s="1">
        <v>1</v>
      </c>
      <c r="K93" s="1">
        <v>1</v>
      </c>
      <c r="L93" s="1">
        <v>0.99280243396526913</v>
      </c>
      <c r="M93" s="1">
        <v>1</v>
      </c>
      <c r="N93" s="1">
        <v>1</v>
      </c>
      <c r="O93" s="1">
        <v>1</v>
      </c>
      <c r="P93" s="1">
        <v>1</v>
      </c>
      <c r="Q93" s="1">
        <v>0.99704866828075345</v>
      </c>
      <c r="S93" s="1">
        <f t="shared" si="199"/>
        <v>100</v>
      </c>
      <c r="T93" s="1">
        <f t="shared" si="201"/>
        <v>100</v>
      </c>
      <c r="U93" s="1">
        <f t="shared" si="202"/>
        <v>99.998264777566831</v>
      </c>
      <c r="V93" s="1">
        <f t="shared" si="203"/>
        <v>100</v>
      </c>
      <c r="W93" s="1">
        <f t="shared" si="204"/>
        <v>100</v>
      </c>
      <c r="X93" s="1">
        <f t="shared" si="205"/>
        <v>99.999843976315603</v>
      </c>
      <c r="Y93" s="1">
        <f t="shared" si="206"/>
        <v>99.917201618504535</v>
      </c>
      <c r="Z93" s="1">
        <f t="shared" si="207"/>
        <v>99.917201618504535</v>
      </c>
      <c r="AA93" s="1">
        <f t="shared" si="208"/>
        <v>99.917201618504535</v>
      </c>
      <c r="AB93" s="1">
        <f t="shared" si="209"/>
        <v>99.198040961849827</v>
      </c>
      <c r="AC93" s="1">
        <f t="shared" si="210"/>
        <v>99.198040961849827</v>
      </c>
      <c r="AD93" s="1">
        <f t="shared" si="211"/>
        <v>99.198040961849827</v>
      </c>
      <c r="AE93" s="1">
        <f t="shared" si="212"/>
        <v>99.778653041245477</v>
      </c>
      <c r="AF93" s="1">
        <f t="shared" si="213"/>
        <v>1.0022183799039963</v>
      </c>
      <c r="AH93" s="1" t="str">
        <f t="shared" si="214"/>
        <v>C1709.32700</v>
      </c>
      <c r="AI93" s="1">
        <f t="shared" si="237"/>
        <v>100.22183799039964</v>
      </c>
      <c r="AJ93" s="1">
        <f t="shared" si="238"/>
        <v>100.22183799039964</v>
      </c>
      <c r="AK93" s="1">
        <f t="shared" si="239"/>
        <v>100.22009891858389</v>
      </c>
      <c r="AL93" s="1">
        <f t="shared" si="240"/>
        <v>100.22183799039964</v>
      </c>
      <c r="AM93" s="1">
        <f t="shared" si="241"/>
        <v>100.22183799039964</v>
      </c>
      <c r="AN93" s="1">
        <f t="shared" si="242"/>
        <v>100.22168162059543</v>
      </c>
      <c r="AO93" s="1">
        <f t="shared" si="243"/>
        <v>100.13885593063857</v>
      </c>
      <c r="AP93" s="1">
        <f t="shared" si="244"/>
        <v>100.13885593063857</v>
      </c>
      <c r="AQ93" s="1">
        <f t="shared" si="245"/>
        <v>100.13885593063857</v>
      </c>
      <c r="AR93" s="1">
        <f t="shared" si="246"/>
        <v>99.418099902435401</v>
      </c>
      <c r="AS93" s="1">
        <f t="shared" si="247"/>
        <v>99.418099902435401</v>
      </c>
      <c r="AT93" s="1">
        <f t="shared" si="248"/>
        <v>99.418099902435401</v>
      </c>
      <c r="AU93" s="1">
        <f t="shared" ref="AU93:AW93" si="250">AT93*O93</f>
        <v>99.418099902435401</v>
      </c>
      <c r="AV93" s="1">
        <f t="shared" si="250"/>
        <v>99.418099902435401</v>
      </c>
      <c r="AW93" s="1">
        <f t="shared" si="250"/>
        <v>99.124684110726122</v>
      </c>
      <c r="AX93" s="1" t="b">
        <f t="shared" si="173"/>
        <v>1</v>
      </c>
      <c r="AY93" s="1" t="s">
        <v>100</v>
      </c>
      <c r="AZ93" s="1" t="str">
        <f t="shared" si="197"/>
        <v>C17</v>
      </c>
      <c r="BA93" s="1" t="str">
        <f t="shared" si="198"/>
        <v>C1709</v>
      </c>
      <c r="BB93" s="1">
        <v>32700</v>
      </c>
      <c r="BC93" s="1" t="s">
        <v>337</v>
      </c>
      <c r="BD93" s="1">
        <v>3.3139585787663691E-3</v>
      </c>
      <c r="BE93" s="1">
        <f t="shared" si="181"/>
        <v>0.33213101978801807</v>
      </c>
      <c r="BF93" s="1">
        <f t="shared" si="182"/>
        <v>0.33213101978801807</v>
      </c>
      <c r="BG93" s="1">
        <f t="shared" si="183"/>
        <v>0.33212525657605518</v>
      </c>
      <c r="BH93" s="1">
        <f t="shared" si="184"/>
        <v>0.33213101978801807</v>
      </c>
      <c r="BI93" s="1">
        <f t="shared" si="185"/>
        <v>0.33213101978801807</v>
      </c>
      <c r="BJ93" s="1">
        <f t="shared" si="186"/>
        <v>0.33213050158496399</v>
      </c>
      <c r="BK93" s="1">
        <f t="shared" si="187"/>
        <v>0.33185602067918918</v>
      </c>
      <c r="BL93" s="1">
        <f t="shared" si="188"/>
        <v>0.33185602067918918</v>
      </c>
      <c r="BM93" s="1">
        <f t="shared" si="189"/>
        <v>0.33185602067918918</v>
      </c>
      <c r="BN93" s="1">
        <f t="shared" si="190"/>
        <v>0.32946746505632774</v>
      </c>
      <c r="BO93" s="1">
        <f t="shared" si="191"/>
        <v>0.32946746505632774</v>
      </c>
      <c r="BP93" s="1">
        <f t="shared" si="192"/>
        <v>0.32946746505632774</v>
      </c>
      <c r="BQ93" s="1">
        <f t="shared" si="193"/>
        <v>0.32946746505632774</v>
      </c>
      <c r="BR93" s="1">
        <f t="shared" si="194"/>
        <v>0.32946746505632774</v>
      </c>
      <c r="BS93" s="1">
        <f t="shared" si="195"/>
        <v>0.32849509727624721</v>
      </c>
      <c r="BV93" s="1" t="s">
        <v>100</v>
      </c>
      <c r="BW93" s="1">
        <f>((AJ93-AI93)/BE$154)*$BD93</f>
        <v>0</v>
      </c>
      <c r="BX93" s="1">
        <f>((AK93-AJ93)/BF$154)*$BD93</f>
        <v>-5.7925709364951936E-8</v>
      </c>
      <c r="BY93" s="1">
        <f>((AL93-AK93)/BG$154)*$BD93</f>
        <v>5.7952097478152173E-8</v>
      </c>
      <c r="BZ93" s="1">
        <f>((AM93-AL93)/BH$154)*$BD93</f>
        <v>0</v>
      </c>
      <c r="CA93" s="1">
        <f>((AN93-AM93)/BI$154)*$BD93</f>
        <v>-5.1934979939926476E-9</v>
      </c>
      <c r="CB93" s="1">
        <f>((AO93-AN93)/BJ$154)*$BD93</f>
        <v>-2.749426756733893E-6</v>
      </c>
      <c r="CC93" s="1">
        <f>((AP93-AO93)/BK$154)*$BD93</f>
        <v>0</v>
      </c>
      <c r="CD93" s="1">
        <f>((AQ93-AP93)/BL$154)*$BD93</f>
        <v>0</v>
      </c>
      <c r="CE93" s="1">
        <f>((AR93-AQ93)/BM$154)*$BD93</f>
        <v>-2.3788922336621297E-5</v>
      </c>
      <c r="CF93" s="1">
        <f>((AS93-AR93)/BN$154)*$BD93</f>
        <v>0</v>
      </c>
      <c r="CG93" s="1">
        <f>((AT93-AS93)/BO$154)*$BD93</f>
        <v>0</v>
      </c>
      <c r="CH93" s="1">
        <f>((AU93-AT93)/BP$154)*$BD93</f>
        <v>0</v>
      </c>
      <c r="CI93" s="1">
        <f>((AV93-AU93)/BQ$154)*$BD93</f>
        <v>0</v>
      </c>
      <c r="CJ93" s="1">
        <f>((AW93-AV93)/BR$154)*$BD93</f>
        <v>-9.601003759519475E-6</v>
      </c>
    </row>
    <row r="94" spans="1:88" x14ac:dyDescent="0.35">
      <c r="A94" s="1" t="s">
        <v>101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0.98823529411764688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1.055555555555556</v>
      </c>
      <c r="Q94" s="1">
        <v>1</v>
      </c>
      <c r="S94" s="1">
        <f t="shared" si="199"/>
        <v>100</v>
      </c>
      <c r="T94" s="1">
        <f t="shared" si="201"/>
        <v>100</v>
      </c>
      <c r="U94" s="1">
        <f t="shared" si="202"/>
        <v>100</v>
      </c>
      <c r="V94" s="1">
        <f t="shared" si="203"/>
        <v>100</v>
      </c>
      <c r="W94" s="1">
        <f t="shared" si="204"/>
        <v>100</v>
      </c>
      <c r="X94" s="1">
        <f t="shared" si="205"/>
        <v>98.823529411764682</v>
      </c>
      <c r="Y94" s="1">
        <f t="shared" si="206"/>
        <v>98.823529411764682</v>
      </c>
      <c r="Z94" s="1">
        <f t="shared" si="207"/>
        <v>98.823529411764682</v>
      </c>
      <c r="AA94" s="1">
        <f t="shared" si="208"/>
        <v>98.823529411764682</v>
      </c>
      <c r="AB94" s="1">
        <f t="shared" si="209"/>
        <v>98.823529411764682</v>
      </c>
      <c r="AC94" s="1">
        <f t="shared" si="210"/>
        <v>98.823529411764682</v>
      </c>
      <c r="AD94" s="1">
        <f t="shared" si="211"/>
        <v>98.823529411764682</v>
      </c>
      <c r="AE94" s="1">
        <f t="shared" si="212"/>
        <v>99.313725490196035</v>
      </c>
      <c r="AF94" s="1">
        <f t="shared" si="213"/>
        <v>1.0069101678183618</v>
      </c>
      <c r="AH94" s="1" t="str">
        <f t="shared" si="214"/>
        <v>C1811.32690</v>
      </c>
      <c r="AI94" s="1">
        <f t="shared" si="237"/>
        <v>100.69101678183618</v>
      </c>
      <c r="AJ94" s="1">
        <f t="shared" si="238"/>
        <v>100.69101678183618</v>
      </c>
      <c r="AK94" s="1">
        <f t="shared" si="239"/>
        <v>100.69101678183618</v>
      </c>
      <c r="AL94" s="1">
        <f t="shared" si="240"/>
        <v>100.69101678183618</v>
      </c>
      <c r="AM94" s="1">
        <f t="shared" si="241"/>
        <v>100.69101678183618</v>
      </c>
      <c r="AN94" s="1">
        <f t="shared" si="242"/>
        <v>99.5064165844028</v>
      </c>
      <c r="AO94" s="1">
        <f t="shared" si="243"/>
        <v>99.5064165844028</v>
      </c>
      <c r="AP94" s="1">
        <f t="shared" si="244"/>
        <v>99.5064165844028</v>
      </c>
      <c r="AQ94" s="1">
        <f t="shared" si="245"/>
        <v>99.5064165844028</v>
      </c>
      <c r="AR94" s="1">
        <f t="shared" si="246"/>
        <v>99.5064165844028</v>
      </c>
      <c r="AS94" s="1">
        <f t="shared" si="247"/>
        <v>99.5064165844028</v>
      </c>
      <c r="AT94" s="1">
        <f t="shared" si="248"/>
        <v>99.5064165844028</v>
      </c>
      <c r="AU94" s="1">
        <f t="shared" ref="AU94:AW94" si="251">AT94*O94</f>
        <v>99.5064165844028</v>
      </c>
      <c r="AV94" s="1">
        <f t="shared" si="251"/>
        <v>105.03455083909189</v>
      </c>
      <c r="AW94" s="1">
        <f t="shared" si="251"/>
        <v>105.03455083909189</v>
      </c>
      <c r="AX94" s="1" t="b">
        <f t="shared" si="173"/>
        <v>1</v>
      </c>
      <c r="AY94" s="1" t="s">
        <v>101</v>
      </c>
      <c r="AZ94" s="1" t="str">
        <f t="shared" si="197"/>
        <v>C18</v>
      </c>
      <c r="BA94" s="1" t="str">
        <f t="shared" si="198"/>
        <v>C1811</v>
      </c>
      <c r="BB94" s="1">
        <v>32690</v>
      </c>
      <c r="BC94" s="1" t="s">
        <v>337</v>
      </c>
      <c r="BD94" s="1">
        <v>9.4820987499744849E-3</v>
      </c>
      <c r="BE94" s="1">
        <f t="shared" si="181"/>
        <v>0.95476216436070871</v>
      </c>
      <c r="BF94" s="1">
        <f t="shared" si="182"/>
        <v>0.95476216436070871</v>
      </c>
      <c r="BG94" s="1">
        <f t="shared" si="183"/>
        <v>0.95476216436070871</v>
      </c>
      <c r="BH94" s="1">
        <f t="shared" si="184"/>
        <v>0.95476216436070871</v>
      </c>
      <c r="BI94" s="1">
        <f t="shared" si="185"/>
        <v>0.95476216436070871</v>
      </c>
      <c r="BJ94" s="1">
        <f t="shared" si="186"/>
        <v>0.9435296683094061</v>
      </c>
      <c r="BK94" s="1">
        <f t="shared" si="187"/>
        <v>0.9435296683094061</v>
      </c>
      <c r="BL94" s="1">
        <f t="shared" si="188"/>
        <v>0.9435296683094061</v>
      </c>
      <c r="BM94" s="1">
        <f t="shared" si="189"/>
        <v>0.9435296683094061</v>
      </c>
      <c r="BN94" s="1">
        <f t="shared" si="190"/>
        <v>0.9435296683094061</v>
      </c>
      <c r="BO94" s="1">
        <f t="shared" si="191"/>
        <v>0.9435296683094061</v>
      </c>
      <c r="BP94" s="1">
        <f t="shared" si="192"/>
        <v>0.9435296683094061</v>
      </c>
      <c r="BQ94" s="1">
        <f t="shared" si="193"/>
        <v>0.9435296683094061</v>
      </c>
      <c r="BR94" s="1">
        <f t="shared" si="194"/>
        <v>0.99594798321548472</v>
      </c>
      <c r="BS94" s="1">
        <f t="shared" si="195"/>
        <v>0.99594798321548472</v>
      </c>
      <c r="BV94" s="1" t="s">
        <v>101</v>
      </c>
      <c r="BW94" s="1">
        <f>((AJ94-AI94)/BE$154)*$BD94</f>
        <v>0</v>
      </c>
      <c r="BX94" s="1">
        <f>((AK94-AJ94)/BF$154)*$BD94</f>
        <v>0</v>
      </c>
      <c r="BY94" s="1">
        <f>((AL94-AK94)/BG$154)*$BD94</f>
        <v>0</v>
      </c>
      <c r="BZ94" s="1">
        <f>((AM94-AL94)/BH$154)*$BD94</f>
        <v>0</v>
      </c>
      <c r="CA94" s="1">
        <f>((AN94-AM94)/BI$154)*$BD94</f>
        <v>-1.1257352740198205E-4</v>
      </c>
      <c r="CB94" s="1">
        <f>((AO94-AN94)/BJ$154)*$BD94</f>
        <v>0</v>
      </c>
      <c r="CC94" s="1">
        <f>((AP94-AO94)/BK$154)*$BD94</f>
        <v>0</v>
      </c>
      <c r="CD94" s="1">
        <f>((AQ94-AP94)/BL$154)*$BD94</f>
        <v>0</v>
      </c>
      <c r="CE94" s="1">
        <f>((AR94-AQ94)/BM$154)*$BD94</f>
        <v>0</v>
      </c>
      <c r="CF94" s="1">
        <f>((AS94-AR94)/BN$154)*$BD94</f>
        <v>0</v>
      </c>
      <c r="CG94" s="1">
        <f>((AT94-AS94)/BO$154)*$BD94</f>
        <v>0</v>
      </c>
      <c r="CH94" s="1">
        <f>((AU94-AT94)/BP$154)*$BD94</f>
        <v>0</v>
      </c>
      <c r="CI94" s="1">
        <f>((AV94-AU94)/BQ$154)*$BD94</f>
        <v>5.1849986852390022E-4</v>
      </c>
      <c r="CJ94" s="1">
        <f>((AW94-AV94)/BR$154)*$BD94</f>
        <v>0</v>
      </c>
    </row>
    <row r="95" spans="1:88" x14ac:dyDescent="0.35">
      <c r="A95" s="1" t="s">
        <v>102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S95" s="1">
        <f t="shared" si="199"/>
        <v>100</v>
      </c>
      <c r="T95" s="1">
        <f t="shared" si="201"/>
        <v>100</v>
      </c>
      <c r="U95" s="1">
        <f t="shared" si="202"/>
        <v>100</v>
      </c>
      <c r="V95" s="1">
        <f t="shared" si="203"/>
        <v>100</v>
      </c>
      <c r="W95" s="1">
        <f t="shared" si="204"/>
        <v>100</v>
      </c>
      <c r="X95" s="1">
        <f t="shared" si="205"/>
        <v>100</v>
      </c>
      <c r="Y95" s="1">
        <f t="shared" si="206"/>
        <v>100</v>
      </c>
      <c r="Z95" s="1">
        <f t="shared" si="207"/>
        <v>100</v>
      </c>
      <c r="AA95" s="1">
        <f t="shared" si="208"/>
        <v>100</v>
      </c>
      <c r="AB95" s="1">
        <f t="shared" si="209"/>
        <v>100</v>
      </c>
      <c r="AC95" s="1">
        <f t="shared" si="210"/>
        <v>100</v>
      </c>
      <c r="AD95" s="1">
        <f t="shared" si="211"/>
        <v>100</v>
      </c>
      <c r="AE95" s="1">
        <f t="shared" si="212"/>
        <v>100</v>
      </c>
      <c r="AF95" s="1">
        <f t="shared" si="213"/>
        <v>1</v>
      </c>
      <c r="AH95" s="1" t="str">
        <f t="shared" si="214"/>
        <v>C2011.24110</v>
      </c>
      <c r="AI95" s="1">
        <f t="shared" si="237"/>
        <v>100</v>
      </c>
      <c r="AJ95" s="1">
        <f t="shared" si="238"/>
        <v>100</v>
      </c>
      <c r="AK95" s="1">
        <f t="shared" si="239"/>
        <v>100</v>
      </c>
      <c r="AL95" s="1">
        <f t="shared" si="240"/>
        <v>100</v>
      </c>
      <c r="AM95" s="1">
        <f t="shared" si="241"/>
        <v>100</v>
      </c>
      <c r="AN95" s="1">
        <f t="shared" si="242"/>
        <v>100</v>
      </c>
      <c r="AO95" s="1">
        <f t="shared" si="243"/>
        <v>100</v>
      </c>
      <c r="AP95" s="1">
        <f t="shared" si="244"/>
        <v>100</v>
      </c>
      <c r="AQ95" s="1">
        <f t="shared" si="245"/>
        <v>100</v>
      </c>
      <c r="AR95" s="1">
        <f t="shared" si="246"/>
        <v>100</v>
      </c>
      <c r="AS95" s="1">
        <f t="shared" si="247"/>
        <v>100</v>
      </c>
      <c r="AT95" s="1">
        <f t="shared" si="248"/>
        <v>100</v>
      </c>
      <c r="AU95" s="1">
        <f t="shared" ref="AU95:AW95" si="252">AT95*O95</f>
        <v>100</v>
      </c>
      <c r="AV95" s="1">
        <f t="shared" si="252"/>
        <v>100</v>
      </c>
      <c r="AW95" s="1">
        <f t="shared" si="252"/>
        <v>100</v>
      </c>
      <c r="AX95" s="1" t="b">
        <f t="shared" si="173"/>
        <v>1</v>
      </c>
      <c r="AY95" s="1" t="s">
        <v>102</v>
      </c>
      <c r="AZ95" s="1" t="str">
        <f t="shared" si="197"/>
        <v>C20</v>
      </c>
      <c r="BA95" s="1" t="str">
        <f t="shared" si="198"/>
        <v>C2011</v>
      </c>
      <c r="BB95" s="1" t="s">
        <v>338</v>
      </c>
      <c r="BC95" s="1" t="s">
        <v>339</v>
      </c>
      <c r="BD95" s="1">
        <v>6.6352856660274783E-3</v>
      </c>
      <c r="BE95" s="1">
        <f t="shared" si="181"/>
        <v>0.66352856660274784</v>
      </c>
      <c r="BF95" s="1">
        <f t="shared" si="182"/>
        <v>0.66352856660274784</v>
      </c>
      <c r="BG95" s="1">
        <f t="shared" si="183"/>
        <v>0.66352856660274784</v>
      </c>
      <c r="BH95" s="1">
        <f t="shared" si="184"/>
        <v>0.66352856660274784</v>
      </c>
      <c r="BI95" s="1">
        <f t="shared" si="185"/>
        <v>0.66352856660274784</v>
      </c>
      <c r="BJ95" s="1">
        <f t="shared" si="186"/>
        <v>0.66352856660274784</v>
      </c>
      <c r="BK95" s="1">
        <f t="shared" si="187"/>
        <v>0.66352856660274784</v>
      </c>
      <c r="BL95" s="1">
        <f t="shared" si="188"/>
        <v>0.66352856660274784</v>
      </c>
      <c r="BM95" s="1">
        <f t="shared" si="189"/>
        <v>0.66352856660274784</v>
      </c>
      <c r="BN95" s="1">
        <f t="shared" si="190"/>
        <v>0.66352856660274784</v>
      </c>
      <c r="BO95" s="1">
        <f t="shared" si="191"/>
        <v>0.66352856660274784</v>
      </c>
      <c r="BP95" s="1">
        <f t="shared" si="192"/>
        <v>0.66352856660274784</v>
      </c>
      <c r="BQ95" s="1">
        <f t="shared" si="193"/>
        <v>0.66352856660274784</v>
      </c>
      <c r="BR95" s="1">
        <f t="shared" si="194"/>
        <v>0.66352856660274784</v>
      </c>
      <c r="BS95" s="1">
        <f t="shared" si="195"/>
        <v>0.66352856660274784</v>
      </c>
      <c r="BV95" s="1" t="s">
        <v>102</v>
      </c>
      <c r="BW95" s="1">
        <f>((AJ95-AI95)/BE$154)*$BD95</f>
        <v>0</v>
      </c>
      <c r="BX95" s="1">
        <f>((AK95-AJ95)/BF$154)*$BD95</f>
        <v>0</v>
      </c>
      <c r="BY95" s="1">
        <f>((AL95-AK95)/BG$154)*$BD95</f>
        <v>0</v>
      </c>
      <c r="BZ95" s="1">
        <f>((AM95-AL95)/BH$154)*$BD95</f>
        <v>0</v>
      </c>
      <c r="CA95" s="1">
        <f>((AN95-AM95)/BI$154)*$BD95</f>
        <v>0</v>
      </c>
      <c r="CB95" s="1">
        <f>((AO95-AN95)/BJ$154)*$BD95</f>
        <v>0</v>
      </c>
      <c r="CC95" s="1">
        <f>((AP95-AO95)/BK$154)*$BD95</f>
        <v>0</v>
      </c>
      <c r="CD95" s="1">
        <f>((AQ95-AP95)/BL$154)*$BD95</f>
        <v>0</v>
      </c>
      <c r="CE95" s="1">
        <f>((AR95-AQ95)/BM$154)*$BD95</f>
        <v>0</v>
      </c>
      <c r="CF95" s="1">
        <f>((AS95-AR95)/BN$154)*$BD95</f>
        <v>0</v>
      </c>
      <c r="CG95" s="1">
        <f>((AT95-AS95)/BO$154)*$BD95</f>
        <v>0</v>
      </c>
      <c r="CH95" s="1">
        <f>((AU95-AT95)/BP$154)*$BD95</f>
        <v>0</v>
      </c>
      <c r="CI95" s="1">
        <f>((AV95-AU95)/BQ$154)*$BD95</f>
        <v>0</v>
      </c>
      <c r="CJ95" s="1">
        <f>((AW95-AV95)/BR$154)*$BD95</f>
        <v>0</v>
      </c>
    </row>
    <row r="96" spans="1:88" x14ac:dyDescent="0.35">
      <c r="A96" s="1" t="s">
        <v>103</v>
      </c>
      <c r="B96" s="1">
        <v>1</v>
      </c>
      <c r="C96" s="1">
        <v>1</v>
      </c>
      <c r="D96" s="1">
        <v>1.0051221440957947</v>
      </c>
      <c r="E96" s="1">
        <v>1.0037061384402477</v>
      </c>
      <c r="F96" s="1">
        <v>1.0052839468714623</v>
      </c>
      <c r="G96" s="1">
        <v>1.0051657668271436</v>
      </c>
      <c r="H96" s="1">
        <v>1.0049901712102915</v>
      </c>
      <c r="I96" s="1">
        <v>1.0151024631860641</v>
      </c>
      <c r="J96" s="1">
        <v>1.0246950765959597</v>
      </c>
      <c r="K96" s="1">
        <v>1.0099504938362081</v>
      </c>
      <c r="L96" s="1">
        <v>1.0164772178019232</v>
      </c>
      <c r="M96" s="1">
        <v>1.0219828310754935</v>
      </c>
      <c r="N96" s="1">
        <v>1.0164772178019232</v>
      </c>
      <c r="O96" s="1">
        <v>0.99391559790250894</v>
      </c>
      <c r="P96" s="1">
        <v>1.0108575295277171</v>
      </c>
      <c r="Q96" s="1">
        <v>0.99349346264380267</v>
      </c>
      <c r="S96" s="1">
        <f t="shared" si="199"/>
        <v>100</v>
      </c>
      <c r="T96" s="1">
        <f t="shared" si="201"/>
        <v>100.51221440957947</v>
      </c>
      <c r="U96" s="1">
        <f t="shared" si="202"/>
        <v>100.88472659111723</v>
      </c>
      <c r="V96" s="1">
        <f t="shared" si="203"/>
        <v>101.41779612656669</v>
      </c>
      <c r="W96" s="1">
        <f t="shared" si="204"/>
        <v>101.94169681347933</v>
      </c>
      <c r="X96" s="1">
        <f t="shared" si="205"/>
        <v>102.45040333404621</v>
      </c>
      <c r="Y96" s="1">
        <f t="shared" si="206"/>
        <v>103.99765677879607</v>
      </c>
      <c r="Z96" s="1">
        <f t="shared" si="207"/>
        <v>106.56588687874877</v>
      </c>
      <c r="AA96" s="1">
        <f t="shared" si="208"/>
        <v>107.6262700792858</v>
      </c>
      <c r="AB96" s="1">
        <f t="shared" si="209"/>
        <v>109.39965157259081</v>
      </c>
      <c r="AC96" s="1">
        <f t="shared" si="210"/>
        <v>111.80456563282893</v>
      </c>
      <c r="AD96" s="1">
        <f t="shared" si="211"/>
        <v>113.64679381201047</v>
      </c>
      <c r="AE96" s="1">
        <f t="shared" si="212"/>
        <v>105.02063850242079</v>
      </c>
      <c r="AF96" s="1">
        <f t="shared" si="213"/>
        <v>0.95219379186782349</v>
      </c>
      <c r="AH96" s="1" t="str">
        <f t="shared" si="214"/>
        <v>C2011.34210</v>
      </c>
      <c r="AI96" s="1">
        <f t="shared" si="237"/>
        <v>95.219379186782348</v>
      </c>
      <c r="AJ96" s="1">
        <f t="shared" si="238"/>
        <v>95.707106567689166</v>
      </c>
      <c r="AK96" s="1">
        <f t="shared" si="239"/>
        <v>96.061810354344559</v>
      </c>
      <c r="AL96" s="1">
        <f t="shared" si="240"/>
        <v>96.569395856633392</v>
      </c>
      <c r="AM96" s="1">
        <f t="shared" si="241"/>
        <v>97.068250838266891</v>
      </c>
      <c r="AN96" s="1">
        <f t="shared" si="242"/>
        <v>97.552638029033375</v>
      </c>
      <c r="AO96" s="1">
        <f t="shared" si="243"/>
        <v>99.02592315357029</v>
      </c>
      <c r="AP96" s="1">
        <f t="shared" si="244"/>
        <v>101.47137591083333</v>
      </c>
      <c r="AQ96" s="1">
        <f t="shared" si="245"/>
        <v>102.48106621138562</v>
      </c>
      <c r="AR96" s="1">
        <f t="shared" si="246"/>
        <v>104.16966905992395</v>
      </c>
      <c r="AS96" s="1">
        <f t="shared" si="247"/>
        <v>106.45961329805831</v>
      </c>
      <c r="AT96" s="1">
        <f t="shared" si="248"/>
        <v>108.21377153347895</v>
      </c>
      <c r="AU96" s="1">
        <f t="shared" ref="AU96:AW96" si="253">AT96*O96</f>
        <v>107.55535543498323</v>
      </c>
      <c r="AV96" s="1">
        <f t="shared" si="253"/>
        <v>108.72314088248267</v>
      </c>
      <c r="AW96" s="1">
        <f t="shared" si="253"/>
        <v>108.01572970484769</v>
      </c>
      <c r="AX96" s="1" t="b">
        <f t="shared" si="173"/>
        <v>1</v>
      </c>
      <c r="AY96" s="1" t="s">
        <v>103</v>
      </c>
      <c r="AZ96" s="1" t="str">
        <f t="shared" si="197"/>
        <v>C20</v>
      </c>
      <c r="BA96" s="1" t="str">
        <f t="shared" si="198"/>
        <v>C2011</v>
      </c>
      <c r="BB96" s="1" t="s">
        <v>340</v>
      </c>
      <c r="BC96" s="1" t="s">
        <v>341</v>
      </c>
      <c r="BD96" s="1">
        <v>1.3705841703750997E-3</v>
      </c>
      <c r="BE96" s="1">
        <f t="shared" si="181"/>
        <v>0.1305061738263481</v>
      </c>
      <c r="BF96" s="1">
        <f t="shared" si="182"/>
        <v>0.13117464525407752</v>
      </c>
      <c r="BG96" s="1">
        <f t="shared" si="183"/>
        <v>0.13166079664923949</v>
      </c>
      <c r="BH96" s="1">
        <f t="shared" si="184"/>
        <v>0.13235648530378846</v>
      </c>
      <c r="BI96" s="1">
        <f t="shared" si="185"/>
        <v>0.13304020804492811</v>
      </c>
      <c r="BJ96" s="1">
        <f t="shared" si="186"/>
        <v>0.1337041014609251</v>
      </c>
      <c r="BK96" s="1">
        <f t="shared" si="187"/>
        <v>0.1357233627310645</v>
      </c>
      <c r="BL96" s="1">
        <f t="shared" si="188"/>
        <v>0.13907506156956936</v>
      </c>
      <c r="BM96" s="1">
        <f t="shared" si="189"/>
        <v>0.14045892711248761</v>
      </c>
      <c r="BN96" s="1">
        <f t="shared" si="190"/>
        <v>0.14277329944674455</v>
      </c>
      <c r="BO96" s="1">
        <f t="shared" si="191"/>
        <v>0.14591186077057319</v>
      </c>
      <c r="BP96" s="1">
        <f t="shared" si="192"/>
        <v>0.14831608228037382</v>
      </c>
      <c r="BQ96" s="1">
        <f t="shared" si="193"/>
        <v>0.14741366759825544</v>
      </c>
      <c r="BR96" s="1">
        <f t="shared" si="194"/>
        <v>0.14901421584699259</v>
      </c>
      <c r="BS96" s="1">
        <f t="shared" si="195"/>
        <v>0.14804464928497968</v>
      </c>
      <c r="BV96" s="1" t="s">
        <v>103</v>
      </c>
      <c r="BW96" s="1">
        <f>((AJ96-AI96)/BE$154)*$BD96</f>
        <v>6.7150937833791195E-6</v>
      </c>
      <c r="BX96" s="1">
        <f>((AK96-AJ96)/BF$154)*$BD96</f>
        <v>4.8862794922075449E-6</v>
      </c>
      <c r="BY96" s="1">
        <f>((AL96-AK96)/BG$154)*$BD96</f>
        <v>6.9955117011942799E-6</v>
      </c>
      <c r="BZ96" s="1">
        <f>((AM96-AL96)/BH$154)*$BD96</f>
        <v>6.8597191747548707E-6</v>
      </c>
      <c r="CA96" s="1">
        <f>((AN96-AM96)/BI$154)*$BD96</f>
        <v>6.6536256337314556E-6</v>
      </c>
      <c r="CB96" s="1">
        <f>((AO96-AN96)/BJ$154)*$BD96</f>
        <v>2.0226583518756608E-5</v>
      </c>
      <c r="CC96" s="1">
        <f>((AP96-AO96)/BK$154)*$BD96</f>
        <v>3.3563733751353978E-5</v>
      </c>
      <c r="CD96" s="1">
        <f>((AQ96-AP96)/BL$154)*$BD96</f>
        <v>1.3837809797357822E-5</v>
      </c>
      <c r="CE96" s="1">
        <f>((AR96-AQ96)/BM$154)*$BD96</f>
        <v>2.3050090686900529E-5</v>
      </c>
      <c r="CF96" s="1">
        <f>((AS96-AR96)/BN$154)*$BD96</f>
        <v>3.1232749928502993E-5</v>
      </c>
      <c r="CG96" s="1">
        <f>((AT96-AS96)/BO$154)*$BD96</f>
        <v>2.3870352542402999E-5</v>
      </c>
      <c r="CH96" s="1">
        <f>((AU96-AT96)/BP$154)*$BD96</f>
        <v>-8.9573646322585124E-6</v>
      </c>
      <c r="CI96" s="1">
        <f>((AV96-AU96)/BQ$154)*$BD96</f>
        <v>1.5831948394818158E-5</v>
      </c>
      <c r="CJ96" s="1">
        <f>((AW96-AV96)/BR$154)*$BD96</f>
        <v>-9.5733449808669878E-6</v>
      </c>
    </row>
    <row r="97" spans="1:88" x14ac:dyDescent="0.35">
      <c r="A97" s="1" t="s">
        <v>104</v>
      </c>
      <c r="B97" s="1">
        <v>0.99579485881844076</v>
      </c>
      <c r="C97" s="1">
        <v>1</v>
      </c>
      <c r="D97" s="1">
        <v>1.0041175830921931</v>
      </c>
      <c r="E97" s="1">
        <v>0.99932507341726318</v>
      </c>
      <c r="F97" s="1">
        <v>0.9994999626051676</v>
      </c>
      <c r="G97" s="1">
        <v>1.0002954934827906</v>
      </c>
      <c r="H97" s="1">
        <v>0.99977009588567212</v>
      </c>
      <c r="I97" s="1">
        <v>1</v>
      </c>
      <c r="J97" s="1">
        <v>0.99781028314304543</v>
      </c>
      <c r="K97" s="1">
        <v>0.99531364557468072</v>
      </c>
      <c r="L97" s="1">
        <v>1.0005137752453215</v>
      </c>
      <c r="M97" s="1">
        <v>0.99997693149064848</v>
      </c>
      <c r="N97" s="1">
        <v>0.9979473146376856</v>
      </c>
      <c r="O97" s="1">
        <v>1.0070103870670297</v>
      </c>
      <c r="P97" s="1">
        <v>1.0008359591461728</v>
      </c>
      <c r="Q97" s="1">
        <v>1.0023757263371051</v>
      </c>
      <c r="S97" s="1">
        <f t="shared" si="199"/>
        <v>100</v>
      </c>
      <c r="T97" s="1">
        <f t="shared" si="201"/>
        <v>100.41175830921931</v>
      </c>
      <c r="U97" s="1">
        <f t="shared" si="202"/>
        <v>100.34398774431708</v>
      </c>
      <c r="V97" s="1">
        <f t="shared" si="203"/>
        <v>100.29381199809832</v>
      </c>
      <c r="W97" s="1">
        <f t="shared" si="204"/>
        <v>100.32344816590798</v>
      </c>
      <c r="X97" s="1">
        <f t="shared" si="205"/>
        <v>100.30038339241108</v>
      </c>
      <c r="Y97" s="1">
        <f t="shared" si="206"/>
        <v>100.30038339241108</v>
      </c>
      <c r="Z97" s="1">
        <f t="shared" si="207"/>
        <v>100.08075395213771</v>
      </c>
      <c r="AA97" s="1">
        <f t="shared" si="208"/>
        <v>99.611740067964817</v>
      </c>
      <c r="AB97" s="1">
        <f t="shared" si="209"/>
        <v>99.662918114155133</v>
      </c>
      <c r="AC97" s="1">
        <f t="shared" si="210"/>
        <v>99.660619039196618</v>
      </c>
      <c r="AD97" s="1">
        <f t="shared" si="211"/>
        <v>99.45604714529567</v>
      </c>
      <c r="AE97" s="1">
        <f t="shared" si="212"/>
        <v>100.03715427675957</v>
      </c>
      <c r="AF97" s="1">
        <f t="shared" si="213"/>
        <v>0.99962859522516223</v>
      </c>
      <c r="AH97" s="1" t="str">
        <f t="shared" si="214"/>
        <v>C2011.34240</v>
      </c>
      <c r="AI97" s="1">
        <f t="shared" si="237"/>
        <v>99.962859522516226</v>
      </c>
      <c r="AJ97" s="1">
        <f t="shared" si="238"/>
        <v>100.37446490273341</v>
      </c>
      <c r="AK97" s="1">
        <f t="shared" si="239"/>
        <v>100.30671950814258</v>
      </c>
      <c r="AL97" s="1">
        <f t="shared" si="240"/>
        <v>100.25656239743554</v>
      </c>
      <c r="AM97" s="1">
        <f t="shared" si="241"/>
        <v>100.28618755823096</v>
      </c>
      <c r="AN97" s="1">
        <f t="shared" si="242"/>
        <v>100.26313135110108</v>
      </c>
      <c r="AO97" s="1">
        <f t="shared" si="243"/>
        <v>100.26313135110108</v>
      </c>
      <c r="AP97" s="1">
        <f t="shared" si="244"/>
        <v>100.04358348225053</v>
      </c>
      <c r="AQ97" s="1">
        <f t="shared" si="245"/>
        <v>99.574743792073676</v>
      </c>
      <c r="AR97" s="1">
        <f t="shared" si="246"/>
        <v>99.625902830493274</v>
      </c>
      <c r="AS97" s="1">
        <f t="shared" si="247"/>
        <v>99.623604609422173</v>
      </c>
      <c r="AT97" s="1">
        <f t="shared" si="248"/>
        <v>99.419108694499414</v>
      </c>
      <c r="AU97" s="1">
        <f t="shared" ref="AU97:AW97" si="254">AT97*O97</f>
        <v>100.11607512830696</v>
      </c>
      <c r="AV97" s="1">
        <f t="shared" si="254"/>
        <v>100.1997680769894</v>
      </c>
      <c r="AW97" s="1">
        <f t="shared" si="254"/>
        <v>100.43781530498173</v>
      </c>
      <c r="AX97" s="1" t="b">
        <f t="shared" si="173"/>
        <v>1</v>
      </c>
      <c r="AY97" s="1" t="s">
        <v>104</v>
      </c>
      <c r="AZ97" s="1" t="str">
        <f t="shared" si="197"/>
        <v>C20</v>
      </c>
      <c r="BA97" s="1" t="str">
        <f t="shared" si="198"/>
        <v>C2011</v>
      </c>
      <c r="BB97" s="1" t="s">
        <v>342</v>
      </c>
      <c r="BC97" s="1" t="s">
        <v>343</v>
      </c>
      <c r="BD97" s="1">
        <v>1.3705841703750997E-3</v>
      </c>
      <c r="BE97" s="1">
        <f t="shared" si="181"/>
        <v>0.13700751288699053</v>
      </c>
      <c r="BF97" s="1">
        <f t="shared" si="182"/>
        <v>0.13757165270555743</v>
      </c>
      <c r="BG97" s="1">
        <f t="shared" si="183"/>
        <v>0.13747880194011541</v>
      </c>
      <c r="BH97" s="1">
        <f t="shared" si="184"/>
        <v>0.1374100573981486</v>
      </c>
      <c r="BI97" s="1">
        <f t="shared" si="185"/>
        <v>0.13745066117457963</v>
      </c>
      <c r="BJ97" s="1">
        <f t="shared" si="186"/>
        <v>0.13741906070205853</v>
      </c>
      <c r="BK97" s="1">
        <f t="shared" si="187"/>
        <v>0.13741906070205853</v>
      </c>
      <c r="BL97" s="1">
        <f t="shared" si="188"/>
        <v>0.13711815186837237</v>
      </c>
      <c r="BM97" s="1">
        <f t="shared" si="189"/>
        <v>0.13647556761057239</v>
      </c>
      <c r="BN97" s="1">
        <f t="shared" si="190"/>
        <v>0.13654568537880191</v>
      </c>
      <c r="BO97" s="1">
        <f t="shared" si="191"/>
        <v>0.13654253547338185</v>
      </c>
      <c r="BP97" s="1">
        <f t="shared" si="192"/>
        <v>0.13626225660948232</v>
      </c>
      <c r="BQ97" s="1">
        <f t="shared" si="193"/>
        <v>0.13721750777094174</v>
      </c>
      <c r="BR97" s="1">
        <f t="shared" si="194"/>
        <v>0.13733221600157791</v>
      </c>
      <c r="BS97" s="1">
        <f t="shared" si="195"/>
        <v>0.13765847976406587</v>
      </c>
      <c r="BV97" s="1" t="s">
        <v>104</v>
      </c>
      <c r="BW97" s="1">
        <f>((AJ97-AI97)/BE$154)*$BD97</f>
        <v>5.667036213474059E-6</v>
      </c>
      <c r="BX97" s="1">
        <f>((AK97-AJ97)/BF$154)*$BD97</f>
        <v>-9.3323766121019816E-7</v>
      </c>
      <c r="BY97" s="1">
        <f>((AL97-AK97)/BG$154)*$BD97</f>
        <v>-6.9126216818046348E-7</v>
      </c>
      <c r="BZ97" s="1">
        <f>((AM97-AL97)/BH$154)*$BD97</f>
        <v>4.0737346733130254E-7</v>
      </c>
      <c r="CA97" s="1">
        <f>((AN97-AM97)/BI$154)*$BD97</f>
        <v>-3.16704020461949E-7</v>
      </c>
      <c r="CB97" s="1">
        <f>((AO97-AN97)/BJ$154)*$BD97</f>
        <v>0</v>
      </c>
      <c r="CC97" s="1">
        <f>((AP97-AO97)/BK$154)*$BD97</f>
        <v>-3.0132850425720075E-6</v>
      </c>
      <c r="CD97" s="1">
        <f>((AQ97-AP97)/BL$154)*$BD97</f>
        <v>-6.4254499172376792E-6</v>
      </c>
      <c r="CE97" s="1">
        <f>((AR97-AQ97)/BM$154)*$BD97</f>
        <v>6.9834092489368864E-7</v>
      </c>
      <c r="CF97" s="1">
        <f>((AS97-AR97)/BN$154)*$BD97</f>
        <v>-3.1345638377894729E-8</v>
      </c>
      <c r="CG97" s="1">
        <f>((AT97-AS97)/BO$154)*$BD97</f>
        <v>-2.7827532796760503E-6</v>
      </c>
      <c r="CH97" s="1">
        <f>((AU97-AT97)/BP$154)*$BD97</f>
        <v>9.481819321128935E-6</v>
      </c>
      <c r="CI97" s="1">
        <f>((AV97-AU97)/BQ$154)*$BD97</f>
        <v>1.1346454499735436E-6</v>
      </c>
      <c r="CJ97" s="1">
        <f>((AW97-AV97)/BR$154)*$BD97</f>
        <v>3.2214761476182493E-6</v>
      </c>
    </row>
    <row r="98" spans="1:88" x14ac:dyDescent="0.35">
      <c r="A98" s="1" t="s">
        <v>105</v>
      </c>
      <c r="B98" s="1">
        <v>1</v>
      </c>
      <c r="C98" s="1">
        <v>1</v>
      </c>
      <c r="D98" s="1">
        <v>0.99969021096659427</v>
      </c>
      <c r="E98" s="1">
        <v>0.98834183956301602</v>
      </c>
      <c r="F98" s="1">
        <v>0.98549071769615992</v>
      </c>
      <c r="G98" s="1">
        <v>1.0029149573718421</v>
      </c>
      <c r="H98" s="1">
        <v>1.013978852553568</v>
      </c>
      <c r="I98" s="1">
        <v>1.012826927800599</v>
      </c>
      <c r="J98" s="1">
        <v>0.99455306340004135</v>
      </c>
      <c r="K98" s="1">
        <v>1</v>
      </c>
      <c r="L98" s="1">
        <v>0.98628989918248522</v>
      </c>
      <c r="M98" s="1">
        <v>0.99993614518732954</v>
      </c>
      <c r="N98" s="1">
        <v>0.99977948716253773</v>
      </c>
      <c r="O98" s="1">
        <v>0.99337748597156617</v>
      </c>
      <c r="P98" s="1">
        <v>0.98169113835379718</v>
      </c>
      <c r="Q98" s="1">
        <v>1.0136863980248181</v>
      </c>
      <c r="S98" s="1">
        <f t="shared" si="199"/>
        <v>100</v>
      </c>
      <c r="T98" s="1">
        <f t="shared" si="201"/>
        <v>99.969021096659432</v>
      </c>
      <c r="U98" s="1">
        <f t="shared" si="202"/>
        <v>98.803566209986343</v>
      </c>
      <c r="V98" s="1">
        <f t="shared" si="203"/>
        <v>97.369997375219498</v>
      </c>
      <c r="W98" s="1">
        <f t="shared" si="204"/>
        <v>97.65382676686464</v>
      </c>
      <c r="X98" s="1">
        <f t="shared" si="205"/>
        <v>99.018915212530317</v>
      </c>
      <c r="Y98" s="1">
        <f t="shared" si="206"/>
        <v>100.28902368885508</v>
      </c>
      <c r="Z98" s="1">
        <f t="shared" si="207"/>
        <v>99.742755735150141</v>
      </c>
      <c r="AA98" s="1">
        <f t="shared" si="208"/>
        <v>99.742755735150141</v>
      </c>
      <c r="AB98" s="1">
        <f t="shared" si="209"/>
        <v>98.375272498204481</v>
      </c>
      <c r="AC98" s="1">
        <f t="shared" si="210"/>
        <v>98.368990763607698</v>
      </c>
      <c r="AD98" s="1">
        <f t="shared" si="211"/>
        <v>98.347299138336112</v>
      </c>
      <c r="AE98" s="1">
        <f t="shared" si="212"/>
        <v>98.973452018380328</v>
      </c>
      <c r="AF98" s="1">
        <f t="shared" si="213"/>
        <v>1.0103719528892356</v>
      </c>
      <c r="AH98" s="1" t="str">
        <f t="shared" si="214"/>
        <v>C2011.34310</v>
      </c>
      <c r="AI98" s="1">
        <f t="shared" si="237"/>
        <v>101.03719528892357</v>
      </c>
      <c r="AJ98" s="1">
        <f t="shared" si="238"/>
        <v>101.00589507385699</v>
      </c>
      <c r="AK98" s="1">
        <f t="shared" si="239"/>
        <v>99.828352144004796</v>
      </c>
      <c r="AL98" s="1">
        <f t="shared" si="240"/>
        <v>98.379914400820269</v>
      </c>
      <c r="AM98" s="1">
        <f t="shared" si="241"/>
        <v>98.666687657544145</v>
      </c>
      <c r="AN98" s="1">
        <f t="shared" si="242"/>
        <v>100.04593473625791</v>
      </c>
      <c r="AO98" s="1">
        <f t="shared" si="243"/>
        <v>101.32921671786332</v>
      </c>
      <c r="AP98" s="1">
        <f t="shared" si="244"/>
        <v>100.77728289867765</v>
      </c>
      <c r="AQ98" s="1">
        <f t="shared" si="245"/>
        <v>100.77728289867765</v>
      </c>
      <c r="AR98" s="1">
        <f t="shared" si="246"/>
        <v>99.39561619002157</v>
      </c>
      <c r="AS98" s="1">
        <f t="shared" si="247"/>
        <v>99.389269301569499</v>
      </c>
      <c r="AT98" s="1">
        <f t="shared" si="248"/>
        <v>99.3673526917825</v>
      </c>
      <c r="AU98" s="1">
        <f t="shared" ref="AU98:AW98" si="255">AT98*O98</f>
        <v>98.709291004612837</v>
      </c>
      <c r="AV98" s="1">
        <f t="shared" si="255"/>
        <v>96.902036252414604</v>
      </c>
      <c r="AW98" s="1">
        <f t="shared" si="255"/>
        <v>98.228276089980497</v>
      </c>
      <c r="AX98" s="1" t="b">
        <f t="shared" si="173"/>
        <v>1</v>
      </c>
      <c r="AY98" s="1" t="s">
        <v>105</v>
      </c>
      <c r="AZ98" s="1" t="str">
        <f t="shared" si="197"/>
        <v>C20</v>
      </c>
      <c r="BA98" s="1" t="str">
        <f t="shared" si="198"/>
        <v>C2011</v>
      </c>
      <c r="BB98" s="1" t="s">
        <v>344</v>
      </c>
      <c r="BC98" s="1" t="s">
        <v>345</v>
      </c>
      <c r="BD98" s="1">
        <v>1.3705841703750997E-3</v>
      </c>
      <c r="BE98" s="1">
        <f t="shared" si="181"/>
        <v>0.13847998048209623</v>
      </c>
      <c r="BF98" s="1">
        <f t="shared" si="182"/>
        <v>0.13843708090279666</v>
      </c>
      <c r="BG98" s="1">
        <f t="shared" si="183"/>
        <v>0.13682315920320412</v>
      </c>
      <c r="BH98" s="1">
        <f t="shared" si="184"/>
        <v>0.13483795336062157</v>
      </c>
      <c r="BI98" s="1">
        <f t="shared" si="185"/>
        <v>0.13523100024677423</v>
      </c>
      <c r="BJ98" s="1">
        <f t="shared" si="186"/>
        <v>0.13712137445989542</v>
      </c>
      <c r="BK98" s="1">
        <f t="shared" si="187"/>
        <v>0.13888022043001139</v>
      </c>
      <c r="BL98" s="1">
        <f t="shared" si="188"/>
        <v>0.13812374867434082</v>
      </c>
      <c r="BM98" s="1">
        <f t="shared" si="189"/>
        <v>0.13812374867434082</v>
      </c>
      <c r="BN98" s="1">
        <f t="shared" si="190"/>
        <v>0.13623005815472253</v>
      </c>
      <c r="BO98" s="1">
        <f t="shared" si="191"/>
        <v>0.13622135920987899</v>
      </c>
      <c r="BP98" s="1">
        <f t="shared" si="192"/>
        <v>0.13619132065143663</v>
      </c>
      <c r="BQ98" s="1">
        <f t="shared" si="193"/>
        <v>0.13528939171987156</v>
      </c>
      <c r="BR98" s="1">
        <f t="shared" si="194"/>
        <v>0.13281239696467351</v>
      </c>
      <c r="BS98" s="1">
        <f t="shared" si="195"/>
        <v>0.13463012029216215</v>
      </c>
      <c r="BV98" s="1" t="s">
        <v>105</v>
      </c>
      <c r="BW98" s="1">
        <f>((AJ98-AI98)/BE$154)*$BD98</f>
        <v>-4.3094541713288356E-7</v>
      </c>
      <c r="BX98" s="1">
        <f>((AK98-AJ98)/BF$154)*$BD98</f>
        <v>-1.6221433448977519E-5</v>
      </c>
      <c r="BY98" s="1">
        <f>((AL98-AK98)/BG$154)*$BD98</f>
        <v>-1.9962278542646447E-5</v>
      </c>
      <c r="BZ98" s="1">
        <f>((AM98-AL98)/BH$154)*$BD98</f>
        <v>3.9433985434286628E-6</v>
      </c>
      <c r="CA98" s="1">
        <f>((AN98-AM98)/BI$154)*$BD98</f>
        <v>1.8945574724339086E-5</v>
      </c>
      <c r="CB98" s="1">
        <f>((AO98-AN98)/BJ$154)*$BD98</f>
        <v>1.7618049450690013E-5</v>
      </c>
      <c r="CC98" s="1">
        <f>((AP98-AO98)/BK$154)*$BD98</f>
        <v>-7.5752678928251915E-6</v>
      </c>
      <c r="CD98" s="1">
        <f>((AQ98-AP98)/BL$154)*$BD98</f>
        <v>0</v>
      </c>
      <c r="CE98" s="1">
        <f>((AR98-AQ98)/BM$154)*$BD98</f>
        <v>-1.886029208180109E-5</v>
      </c>
      <c r="CF98" s="1">
        <f>((AS98-AR98)/BN$154)*$BD98</f>
        <v>-8.6565767212374252E-8</v>
      </c>
      <c r="CG98" s="1">
        <f>((AT98-AS98)/BO$154)*$BD98</f>
        <v>-2.9823831829201582E-7</v>
      </c>
      <c r="CH98" s="1">
        <f>((AU98-AT98)/BP$154)*$BD98</f>
        <v>-8.9525430741517904E-6</v>
      </c>
      <c r="CI98" s="1">
        <f>((AV98-AU98)/BQ$154)*$BD98</f>
        <v>-2.4501387677299352E-5</v>
      </c>
      <c r="CJ98" s="1">
        <f>((AW98-AV98)/BR$154)*$BD98</f>
        <v>1.7947909071545122E-5</v>
      </c>
    </row>
    <row r="99" spans="1:88" x14ac:dyDescent="0.35">
      <c r="A99" s="1" t="s">
        <v>106</v>
      </c>
      <c r="B99" s="1">
        <v>0.92297297909384135</v>
      </c>
      <c r="C99" s="1">
        <v>1</v>
      </c>
      <c r="D99" s="1">
        <v>0.99924670422454454</v>
      </c>
      <c r="E99" s="1">
        <v>0.99033793766028722</v>
      </c>
      <c r="F99" s="1">
        <v>1.0005765350723981</v>
      </c>
      <c r="G99" s="1">
        <v>1</v>
      </c>
      <c r="H99" s="1">
        <v>1.0523661100505881</v>
      </c>
      <c r="I99" s="1">
        <v>0.99872040894484915</v>
      </c>
      <c r="J99" s="1">
        <v>1</v>
      </c>
      <c r="K99" s="1">
        <v>0.99903799881532185</v>
      </c>
      <c r="L99" s="1">
        <v>1</v>
      </c>
      <c r="M99" s="1">
        <v>1</v>
      </c>
      <c r="N99" s="1">
        <v>1</v>
      </c>
      <c r="O99" s="1">
        <v>1.0084675516451129</v>
      </c>
      <c r="P99" s="1">
        <v>1</v>
      </c>
      <c r="Q99" s="1">
        <v>1.054341588356299</v>
      </c>
      <c r="S99" s="1">
        <f t="shared" si="199"/>
        <v>100</v>
      </c>
      <c r="T99" s="1">
        <f t="shared" si="201"/>
        <v>99.924670422454454</v>
      </c>
      <c r="U99" s="1">
        <f t="shared" si="202"/>
        <v>98.959192027557449</v>
      </c>
      <c r="V99" s="1">
        <f t="shared" si="203"/>
        <v>99.016245472497516</v>
      </c>
      <c r="W99" s="1">
        <f t="shared" si="204"/>
        <v>99.016245472497516</v>
      </c>
      <c r="X99" s="1">
        <f t="shared" si="205"/>
        <v>104.20134107970637</v>
      </c>
      <c r="Y99" s="1">
        <f t="shared" si="206"/>
        <v>104.06800597572605</v>
      </c>
      <c r="Z99" s="1">
        <f t="shared" si="207"/>
        <v>104.06800597572605</v>
      </c>
      <c r="AA99" s="1">
        <f t="shared" si="208"/>
        <v>103.96789243069031</v>
      </c>
      <c r="AB99" s="1">
        <f t="shared" si="209"/>
        <v>103.96789243069031</v>
      </c>
      <c r="AC99" s="1">
        <f t="shared" si="210"/>
        <v>103.96789243069031</v>
      </c>
      <c r="AD99" s="1">
        <f t="shared" si="211"/>
        <v>103.96789243069031</v>
      </c>
      <c r="AE99" s="1">
        <f t="shared" si="212"/>
        <v>102.09377301241057</v>
      </c>
      <c r="AF99" s="1">
        <f t="shared" si="213"/>
        <v>0.97949166780077723</v>
      </c>
      <c r="AH99" s="1" t="str">
        <f t="shared" si="214"/>
        <v>C2011.34340</v>
      </c>
      <c r="AI99" s="1">
        <f t="shared" si="237"/>
        <v>97.949166780077718</v>
      </c>
      <c r="AJ99" s="1">
        <f t="shared" si="238"/>
        <v>97.875382086532909</v>
      </c>
      <c r="AK99" s="1">
        <f t="shared" si="239"/>
        <v>96.929704043289618</v>
      </c>
      <c r="AL99" s="1">
        <f t="shared" si="240"/>
        <v>96.985587417227748</v>
      </c>
      <c r="AM99" s="1">
        <f t="shared" si="241"/>
        <v>96.985587417227748</v>
      </c>
      <c r="AN99" s="1">
        <f t="shared" si="242"/>
        <v>102.06434536123923</v>
      </c>
      <c r="AO99" s="1">
        <f t="shared" si="243"/>
        <v>101.93374473786517</v>
      </c>
      <c r="AP99" s="1">
        <f t="shared" si="244"/>
        <v>101.93374473786517</v>
      </c>
      <c r="AQ99" s="1">
        <f t="shared" si="245"/>
        <v>101.83568435466866</v>
      </c>
      <c r="AR99" s="1">
        <f t="shared" si="246"/>
        <v>101.83568435466866</v>
      </c>
      <c r="AS99" s="1">
        <f t="shared" si="247"/>
        <v>101.83568435466866</v>
      </c>
      <c r="AT99" s="1">
        <f t="shared" si="248"/>
        <v>101.83568435466866</v>
      </c>
      <c r="AU99" s="1">
        <f t="shared" ref="AU99:AW99" si="256">AT99*O99</f>
        <v>102.69798327125723</v>
      </c>
      <c r="AV99" s="1">
        <f t="shared" si="256"/>
        <v>102.69798327125723</v>
      </c>
      <c r="AW99" s="1">
        <f t="shared" si="256"/>
        <v>108.27875480320597</v>
      </c>
      <c r="AX99" s="1" t="b">
        <f t="shared" si="173"/>
        <v>1</v>
      </c>
      <c r="AY99" s="1" t="s">
        <v>106</v>
      </c>
      <c r="AZ99" s="1" t="str">
        <f t="shared" si="197"/>
        <v>C20</v>
      </c>
      <c r="BA99" s="1" t="str">
        <f t="shared" si="198"/>
        <v>C2011</v>
      </c>
      <c r="BB99" s="1" t="s">
        <v>346</v>
      </c>
      <c r="BC99" s="1" t="s">
        <v>347</v>
      </c>
      <c r="BD99" s="1">
        <v>1.3705841703750997E-3</v>
      </c>
      <c r="BE99" s="1">
        <f t="shared" ref="BE99:BE130" si="257">$BD99*AI99</f>
        <v>0.13424757749020508</v>
      </c>
      <c r="BF99" s="1">
        <f t="shared" ref="BF99:BF130" si="258">$BD99*AJ99</f>
        <v>0.13414644935721659</v>
      </c>
      <c r="BG99" s="1">
        <f t="shared" ref="BG99:BG130" si="259">$BD99*AK99</f>
        <v>0.13285031800087604</v>
      </c>
      <c r="BH99" s="1">
        <f t="shared" ref="BH99:BH130" si="260">$BD99*AL99</f>
        <v>0.1329269108685828</v>
      </c>
      <c r="BI99" s="1">
        <f t="shared" ref="BI99:BI130" si="261">$BD99*AM99</f>
        <v>0.1329269108685828</v>
      </c>
      <c r="BJ99" s="1">
        <f t="shared" ref="BJ99:BJ130" si="262">$BD99*AN99</f>
        <v>0.13988777611181172</v>
      </c>
      <c r="BK99" s="1">
        <f t="shared" ref="BK99:BK130" si="263">$BD99*AO99</f>
        <v>0.1397087769647741</v>
      </c>
      <c r="BL99" s="1">
        <f t="shared" ref="BL99:BL130" si="264">$BD99*AP99</f>
        <v>0.1397087769647741</v>
      </c>
      <c r="BM99" s="1">
        <f t="shared" ref="BM99:BM130" si="265">$BD99*AQ99</f>
        <v>0.13957437695582406</v>
      </c>
      <c r="BN99" s="1">
        <f t="shared" ref="BN99:BN130" si="266">$BD99*AR99</f>
        <v>0.13957437695582406</v>
      </c>
      <c r="BO99" s="1">
        <f t="shared" ref="BO99:BO130" si="267">$BD99*AS99</f>
        <v>0.13957437695582406</v>
      </c>
      <c r="BP99" s="1">
        <f t="shared" ref="BP99:BP130" si="268">$BD99*AT99</f>
        <v>0.13957437695582406</v>
      </c>
      <c r="BQ99" s="1">
        <f t="shared" ref="BQ99:BQ130" si="269">$BD99*AU99</f>
        <v>0.14075623020103195</v>
      </c>
      <c r="BR99" s="1">
        <f t="shared" ref="BR99:BR130" si="270">$BD99*AV99</f>
        <v>0.14075623020103195</v>
      </c>
      <c r="BS99" s="1">
        <f t="shared" ref="BS99:BS130" si="271">$BD99*AW99</f>
        <v>0.14840514732120089</v>
      </c>
      <c r="BV99" s="1" t="s">
        <v>106</v>
      </c>
      <c r="BW99" s="1">
        <f>((AJ99-AI99)/BE$154)*$BD99</f>
        <v>-1.0158772222508071E-6</v>
      </c>
      <c r="BX99" s="1">
        <f>((AK99-AJ99)/BF$154)*$BD99</f>
        <v>-1.3027341130192036E-5</v>
      </c>
      <c r="BY99" s="1">
        <f>((AL99-AK99)/BG$154)*$BD99</f>
        <v>7.7018117050937633E-7</v>
      </c>
      <c r="BZ99" s="1">
        <f>((AM99-AL99)/BH$154)*$BD99</f>
        <v>0</v>
      </c>
      <c r="CA99" s="1">
        <f>((AN99-AM99)/BI$154)*$BD99</f>
        <v>6.9762691268363515E-5</v>
      </c>
      <c r="CB99" s="1">
        <f>((AO99-AN99)/BJ$154)*$BD99</f>
        <v>-1.7930028426150763E-6</v>
      </c>
      <c r="CC99" s="1">
        <f>((AP99-AO99)/BK$154)*$BD99</f>
        <v>0</v>
      </c>
      <c r="CD99" s="1">
        <f>((AQ99-AP99)/BL$154)*$BD99</f>
        <v>-1.3439179623564856E-6</v>
      </c>
      <c r="CE99" s="1">
        <f>((AR99-AQ99)/BM$154)*$BD99</f>
        <v>0</v>
      </c>
      <c r="CF99" s="1">
        <f>((AS99-AR99)/BN$154)*$BD99</f>
        <v>0</v>
      </c>
      <c r="CG99" s="1">
        <f>((AT99-AS99)/BO$154)*$BD99</f>
        <v>0</v>
      </c>
      <c r="CH99" s="1">
        <f>((AU99-AT99)/BP$154)*$BD99</f>
        <v>1.1731070724929277E-5</v>
      </c>
      <c r="CI99" s="1">
        <f>((AV99-AU99)/BQ$154)*$BD99</f>
        <v>0</v>
      </c>
      <c r="CJ99" s="1">
        <f>((AW99-AV99)/BR$154)*$BD99</f>
        <v>7.5524182856938999E-5</v>
      </c>
    </row>
    <row r="100" spans="1:88" x14ac:dyDescent="0.35">
      <c r="A100" s="1" t="s">
        <v>107</v>
      </c>
      <c r="B100" s="1">
        <v>1</v>
      </c>
      <c r="C100" s="1">
        <v>1</v>
      </c>
      <c r="D100" s="1">
        <v>0.9999999329983138</v>
      </c>
      <c r="E100" s="1">
        <v>0.99966477768234652</v>
      </c>
      <c r="F100" s="1">
        <v>0.99999999999999956</v>
      </c>
      <c r="G100" s="1">
        <v>1</v>
      </c>
      <c r="H100" s="1">
        <v>1.01487914464701</v>
      </c>
      <c r="I100" s="1">
        <v>1.0026940525628769</v>
      </c>
      <c r="J100" s="1">
        <v>1.0058020687178311</v>
      </c>
      <c r="K100" s="1">
        <v>1</v>
      </c>
      <c r="L100" s="1">
        <v>1</v>
      </c>
      <c r="M100" s="1">
        <v>1</v>
      </c>
      <c r="N100" s="1">
        <v>1.003020649442488</v>
      </c>
      <c r="O100" s="1">
        <v>0.9973927889547477</v>
      </c>
      <c r="P100" s="1">
        <v>1.017523122730569</v>
      </c>
      <c r="Q100" s="1">
        <v>1.006295638536796</v>
      </c>
      <c r="S100" s="1">
        <f t="shared" si="199"/>
        <v>100</v>
      </c>
      <c r="T100" s="1">
        <f t="shared" si="201"/>
        <v>99.999993299831374</v>
      </c>
      <c r="U100" s="1">
        <f t="shared" si="202"/>
        <v>99.966471070312068</v>
      </c>
      <c r="V100" s="1">
        <f t="shared" si="203"/>
        <v>99.966471070312025</v>
      </c>
      <c r="W100" s="1">
        <f t="shared" si="204"/>
        <v>99.966471070312025</v>
      </c>
      <c r="X100" s="1">
        <f t="shared" si="205"/>
        <v>101.45388665321833</v>
      </c>
      <c r="Y100" s="1">
        <f t="shared" si="206"/>
        <v>101.72720875657026</v>
      </c>
      <c r="Z100" s="1">
        <f t="shared" si="207"/>
        <v>102.31743701224903</v>
      </c>
      <c r="AA100" s="1">
        <f t="shared" si="208"/>
        <v>102.31743701224903</v>
      </c>
      <c r="AB100" s="1">
        <f t="shared" si="209"/>
        <v>102.31743701224903</v>
      </c>
      <c r="AC100" s="1">
        <f t="shared" si="210"/>
        <v>102.31743701224903</v>
      </c>
      <c r="AD100" s="1">
        <f t="shared" si="211"/>
        <v>102.62650212131689</v>
      </c>
      <c r="AE100" s="1">
        <f t="shared" si="212"/>
        <v>101.24806267423908</v>
      </c>
      <c r="AF100" s="1">
        <f t="shared" si="213"/>
        <v>0.98767321920761419</v>
      </c>
      <c r="AH100" s="1" t="str">
        <f t="shared" si="214"/>
        <v>C2012.34641</v>
      </c>
      <c r="AI100" s="1">
        <f t="shared" si="237"/>
        <v>98.767321920761418</v>
      </c>
      <c r="AJ100" s="1">
        <f t="shared" si="238"/>
        <v>98.767315303184304</v>
      </c>
      <c r="AK100" s="1">
        <f t="shared" si="239"/>
        <v>98.73420629483995</v>
      </c>
      <c r="AL100" s="1">
        <f t="shared" si="240"/>
        <v>98.734206294839908</v>
      </c>
      <c r="AM100" s="1">
        <f t="shared" si="241"/>
        <v>98.734206294839908</v>
      </c>
      <c r="AN100" s="1">
        <f t="shared" si="242"/>
        <v>100.20328683190856</v>
      </c>
      <c r="AO100" s="1">
        <f t="shared" si="243"/>
        <v>100.47323975360675</v>
      </c>
      <c r="AP100" s="1">
        <f t="shared" si="244"/>
        <v>101.05619239496029</v>
      </c>
      <c r="AQ100" s="1">
        <f t="shared" si="245"/>
        <v>101.05619239496029</v>
      </c>
      <c r="AR100" s="1">
        <f t="shared" si="246"/>
        <v>101.05619239496029</v>
      </c>
      <c r="AS100" s="1">
        <f t="shared" si="247"/>
        <v>101.05619239496029</v>
      </c>
      <c r="AT100" s="1">
        <f t="shared" si="248"/>
        <v>101.3614477261781</v>
      </c>
      <c r="AU100" s="1">
        <f t="shared" ref="AU100:AW100" si="272">AT100*O100</f>
        <v>101.09717704010365</v>
      </c>
      <c r="AV100" s="1">
        <f t="shared" si="272"/>
        <v>102.86871528109144</v>
      </c>
      <c r="AW100" s="1">
        <f t="shared" si="272"/>
        <v>103.51633952924578</v>
      </c>
      <c r="AX100" s="1" t="b">
        <f t="shared" si="173"/>
        <v>1</v>
      </c>
      <c r="AY100" s="1" t="s">
        <v>107</v>
      </c>
      <c r="AZ100" s="1" t="str">
        <f t="shared" si="197"/>
        <v>C20</v>
      </c>
      <c r="BA100" s="1" t="str">
        <f t="shared" si="198"/>
        <v>C2012</v>
      </c>
      <c r="BB100" s="1" t="s">
        <v>348</v>
      </c>
      <c r="BC100" s="1" t="s">
        <v>349</v>
      </c>
      <c r="BD100" s="1">
        <v>1.0587367434650413E-2</v>
      </c>
      <c r="BE100" s="1">
        <f t="shared" si="257"/>
        <v>1.0456859277115034</v>
      </c>
      <c r="BF100" s="1">
        <f t="shared" si="258"/>
        <v>1.0456858576487829</v>
      </c>
      <c r="BG100" s="1">
        <f t="shared" si="259"/>
        <v>1.0453353204120444</v>
      </c>
      <c r="BH100" s="1">
        <f t="shared" si="260"/>
        <v>1.0453353204120439</v>
      </c>
      <c r="BI100" s="1">
        <f t="shared" si="261"/>
        <v>1.0453353204120439</v>
      </c>
      <c r="BJ100" s="1">
        <f t="shared" si="262"/>
        <v>1.0608890158490831</v>
      </c>
      <c r="BK100" s="1">
        <f t="shared" si="263"/>
        <v>1.0637471066211595</v>
      </c>
      <c r="BL100" s="1">
        <f t="shared" si="264"/>
        <v>1.0699190404321692</v>
      </c>
      <c r="BM100" s="1">
        <f t="shared" si="265"/>
        <v>1.0699190404321692</v>
      </c>
      <c r="BN100" s="1">
        <f t="shared" si="266"/>
        <v>1.0699190404321692</v>
      </c>
      <c r="BO100" s="1">
        <f t="shared" si="267"/>
        <v>1.0699190404321692</v>
      </c>
      <c r="BP100" s="1">
        <f t="shared" si="268"/>
        <v>1.0731508907851581</v>
      </c>
      <c r="BQ100" s="1">
        <f t="shared" si="269"/>
        <v>1.0703529599294808</v>
      </c>
      <c r="BR100" s="1">
        <f t="shared" si="270"/>
        <v>1.0891088862113529</v>
      </c>
      <c r="BS100" s="1">
        <f t="shared" si="271"/>
        <v>1.0959655220861522</v>
      </c>
      <c r="BV100" s="1" t="s">
        <v>107</v>
      </c>
      <c r="BW100" s="1">
        <f>((AJ100-AI100)/BE$154)*$BD100</f>
        <v>-7.0381129080348068E-10</v>
      </c>
      <c r="BX100" s="1">
        <f>((AK100-AJ100)/BF$154)*$BD100</f>
        <v>-3.5232294469917683E-6</v>
      </c>
      <c r="BY100" s="1">
        <f>((AL100-AK100)/BG$154)*$BD100</f>
        <v>-4.5387264261419677E-18</v>
      </c>
      <c r="BZ100" s="1">
        <f>((AM100-AL100)/BH$154)*$BD100</f>
        <v>0</v>
      </c>
      <c r="CA100" s="1">
        <f>((AN100-AM100)/BI$154)*$BD100</f>
        <v>1.558811462284539E-4</v>
      </c>
      <c r="CB100" s="1">
        <f>((AO100-AN100)/BJ$154)*$BD100</f>
        <v>2.8628990492941594E-5</v>
      </c>
      <c r="CC100" s="1">
        <f>((AP100-AO100)/BK$154)*$BD100</f>
        <v>6.1805416639439104E-5</v>
      </c>
      <c r="CD100" s="1">
        <f>((AQ100-AP100)/BL$154)*$BD100</f>
        <v>0</v>
      </c>
      <c r="CE100" s="1">
        <f>((AR100-AQ100)/BM$154)*$BD100</f>
        <v>0</v>
      </c>
      <c r="CF100" s="1">
        <f>((AS100-AR100)/BN$154)*$BD100</f>
        <v>0</v>
      </c>
      <c r="CG100" s="1">
        <f>((AT100-AS100)/BO$154)*$BD100</f>
        <v>3.208747903454633E-5</v>
      </c>
      <c r="CH100" s="1">
        <f>((AU100-AT100)/BP$154)*$BD100</f>
        <v>-2.7772250814135328E-5</v>
      </c>
      <c r="CI100" s="1">
        <f>((AV100-AU100)/BQ$154)*$BD100</f>
        <v>1.8552571422067771E-4</v>
      </c>
      <c r="CJ100" s="1">
        <f>((AW100-AV100)/BR$154)*$BD100</f>
        <v>6.7701324704685714E-5</v>
      </c>
    </row>
    <row r="101" spans="1:88" x14ac:dyDescent="0.35">
      <c r="A101" s="1" t="s">
        <v>108</v>
      </c>
      <c r="B101" s="1">
        <v>1.0263019463440299</v>
      </c>
      <c r="C101" s="1">
        <v>1</v>
      </c>
      <c r="D101" s="1">
        <v>1</v>
      </c>
      <c r="E101" s="1">
        <v>0.9974372116863145</v>
      </c>
      <c r="F101" s="1">
        <v>1</v>
      </c>
      <c r="G101" s="1">
        <v>1</v>
      </c>
      <c r="H101" s="1">
        <v>1.079136690647482</v>
      </c>
      <c r="I101" s="1">
        <v>0.96666666666666667</v>
      </c>
      <c r="J101" s="1">
        <v>1.004910344827586</v>
      </c>
      <c r="K101" s="1">
        <v>1</v>
      </c>
      <c r="L101" s="1">
        <v>1</v>
      </c>
      <c r="M101" s="1">
        <v>1</v>
      </c>
      <c r="N101" s="1">
        <v>1.049028220050511</v>
      </c>
      <c r="O101" s="1">
        <v>1.000007327157586</v>
      </c>
      <c r="P101" s="1">
        <v>1</v>
      </c>
      <c r="Q101" s="1">
        <v>1</v>
      </c>
      <c r="S101" s="1">
        <f t="shared" si="199"/>
        <v>100</v>
      </c>
      <c r="T101" s="1">
        <f t="shared" si="201"/>
        <v>100</v>
      </c>
      <c r="U101" s="1">
        <f t="shared" si="202"/>
        <v>99.743721168631453</v>
      </c>
      <c r="V101" s="1">
        <f t="shared" si="203"/>
        <v>99.743721168631453</v>
      </c>
      <c r="W101" s="1">
        <f t="shared" si="204"/>
        <v>99.743721168631453</v>
      </c>
      <c r="X101" s="1">
        <f t="shared" si="205"/>
        <v>107.63710917478214</v>
      </c>
      <c r="Y101" s="1">
        <f t="shared" si="206"/>
        <v>104.04920553562273</v>
      </c>
      <c r="Z101" s="1">
        <f t="shared" si="207"/>
        <v>104.56012301383902</v>
      </c>
      <c r="AA101" s="1">
        <f t="shared" si="208"/>
        <v>104.56012301383902</v>
      </c>
      <c r="AB101" s="1">
        <f t="shared" si="209"/>
        <v>104.56012301383902</v>
      </c>
      <c r="AC101" s="1">
        <f t="shared" si="210"/>
        <v>104.56012301383902</v>
      </c>
      <c r="AD101" s="1">
        <f t="shared" si="211"/>
        <v>109.68651973347002</v>
      </c>
      <c r="AE101" s="1">
        <f t="shared" si="212"/>
        <v>103.23704083376045</v>
      </c>
      <c r="AF101" s="1">
        <f t="shared" si="213"/>
        <v>0.96864457942984861</v>
      </c>
      <c r="AH101" s="1" t="str">
        <f t="shared" si="214"/>
        <v>C2012.34644</v>
      </c>
      <c r="AI101" s="1">
        <f t="shared" si="237"/>
        <v>96.864457942984856</v>
      </c>
      <c r="AJ101" s="1">
        <f t="shared" si="238"/>
        <v>96.864457942984856</v>
      </c>
      <c r="AK101" s="1">
        <f t="shared" si="239"/>
        <v>96.616214842157106</v>
      </c>
      <c r="AL101" s="1">
        <f t="shared" si="240"/>
        <v>96.616214842157106</v>
      </c>
      <c r="AM101" s="1">
        <f t="shared" si="241"/>
        <v>96.616214842157106</v>
      </c>
      <c r="AN101" s="1">
        <f t="shared" si="242"/>
        <v>104.26210234765155</v>
      </c>
      <c r="AO101" s="1">
        <f t="shared" si="243"/>
        <v>100.78669893606316</v>
      </c>
      <c r="AP101" s="1">
        <f t="shared" si="244"/>
        <v>101.28159638187333</v>
      </c>
      <c r="AQ101" s="1">
        <f t="shared" si="245"/>
        <v>101.28159638187333</v>
      </c>
      <c r="AR101" s="1">
        <f t="shared" si="246"/>
        <v>101.28159638187333</v>
      </c>
      <c r="AS101" s="1">
        <f t="shared" si="247"/>
        <v>101.28159638187333</v>
      </c>
      <c r="AT101" s="1">
        <f t="shared" si="248"/>
        <v>106.24725277635086</v>
      </c>
      <c r="AU101" s="1">
        <f t="shared" ref="AU101:AW101" si="273">AT101*O101</f>
        <v>106.24803126671503</v>
      </c>
      <c r="AV101" s="1">
        <f t="shared" si="273"/>
        <v>106.24803126671503</v>
      </c>
      <c r="AW101" s="1">
        <f t="shared" si="273"/>
        <v>106.24803126671503</v>
      </c>
      <c r="AX101" s="1" t="b">
        <f t="shared" si="173"/>
        <v>1</v>
      </c>
      <c r="AY101" s="1" t="s">
        <v>108</v>
      </c>
      <c r="AZ101" s="1" t="str">
        <f t="shared" si="197"/>
        <v>C20</v>
      </c>
      <c r="BA101" s="1" t="str">
        <f t="shared" si="198"/>
        <v>C2012</v>
      </c>
      <c r="BB101" s="1">
        <v>34644</v>
      </c>
      <c r="BC101" s="1" t="s">
        <v>350</v>
      </c>
      <c r="BD101" s="1">
        <v>5.2936837173252066E-3</v>
      </c>
      <c r="BE101" s="1">
        <f t="shared" si="257"/>
        <v>0.51276980380031123</v>
      </c>
      <c r="BF101" s="1">
        <f t="shared" si="258"/>
        <v>0.51276980380031123</v>
      </c>
      <c r="BG101" s="1">
        <f t="shared" si="259"/>
        <v>0.51145568333952107</v>
      </c>
      <c r="BH101" s="1">
        <f t="shared" si="260"/>
        <v>0.51145568333952107</v>
      </c>
      <c r="BI101" s="1">
        <f t="shared" si="261"/>
        <v>0.51145568333952107</v>
      </c>
      <c r="BJ101" s="1">
        <f t="shared" si="262"/>
        <v>0.55193059353185725</v>
      </c>
      <c r="BK101" s="1">
        <f t="shared" si="263"/>
        <v>0.53353290708079526</v>
      </c>
      <c r="BL101" s="1">
        <f t="shared" si="264"/>
        <v>0.53615273763142635</v>
      </c>
      <c r="BM101" s="1">
        <f t="shared" si="265"/>
        <v>0.53615273763142635</v>
      </c>
      <c r="BN101" s="1">
        <f t="shared" si="266"/>
        <v>0.53615273763142635</v>
      </c>
      <c r="BO101" s="1">
        <f t="shared" si="267"/>
        <v>0.53615273763142635</v>
      </c>
      <c r="BP101" s="1">
        <f t="shared" si="268"/>
        <v>0.5624393520327039</v>
      </c>
      <c r="BQ101" s="1">
        <f t="shared" si="269"/>
        <v>0.56244347311446885</v>
      </c>
      <c r="BR101" s="1">
        <f t="shared" si="270"/>
        <v>0.56244347311446885</v>
      </c>
      <c r="BS101" s="1">
        <f t="shared" si="271"/>
        <v>0.56244347311446885</v>
      </c>
      <c r="BV101" s="1" t="s">
        <v>108</v>
      </c>
      <c r="BW101" s="1">
        <f>((AJ101-AI101)/BE$154)*$BD101</f>
        <v>0</v>
      </c>
      <c r="BX101" s="1">
        <f>((AK101-AJ101)/BF$154)*$BD101</f>
        <v>-1.3208148576247198E-5</v>
      </c>
      <c r="BY101" s="1">
        <f>((AL101-AK101)/BG$154)*$BD101</f>
        <v>0</v>
      </c>
      <c r="BZ101" s="1">
        <f>((AM101-AL101)/BH$154)*$BD101</f>
        <v>0</v>
      </c>
      <c r="CA101" s="1">
        <f>((AN101-AM101)/BI$154)*$BD101</f>
        <v>4.0564478196289437E-4</v>
      </c>
      <c r="CB101" s="1">
        <f>((AO101-AN101)/BJ$154)*$BD101</f>
        <v>-1.8428637594213395E-4</v>
      </c>
      <c r="CC101" s="1">
        <f>((AP101-AO101)/BK$154)*$BD101</f>
        <v>2.6234843675355546E-5</v>
      </c>
      <c r="CD101" s="1">
        <f>((AQ101-AP101)/BL$154)*$BD101</f>
        <v>0</v>
      </c>
      <c r="CE101" s="1">
        <f>((AR101-AQ101)/BM$154)*$BD101</f>
        <v>0</v>
      </c>
      <c r="CF101" s="1">
        <f>((AS101-AR101)/BN$154)*$BD101</f>
        <v>0</v>
      </c>
      <c r="CG101" s="1">
        <f>((AT101-AS101)/BO$154)*$BD101</f>
        <v>2.6098708057758515E-4</v>
      </c>
      <c r="CH101" s="1">
        <f>((AU101-AT101)/BP$154)*$BD101</f>
        <v>4.0905841603642333E-8</v>
      </c>
      <c r="CI101" s="1">
        <f>((AV101-AU101)/BQ$154)*$BD101</f>
        <v>0</v>
      </c>
      <c r="CJ101" s="1">
        <f>((AW101-AV101)/BR$154)*$BD101</f>
        <v>0</v>
      </c>
    </row>
    <row r="102" spans="1:88" x14ac:dyDescent="0.35">
      <c r="A102" s="1" t="s">
        <v>109</v>
      </c>
      <c r="B102" s="1">
        <v>1.0180280060026985</v>
      </c>
      <c r="C102" s="1">
        <v>1</v>
      </c>
      <c r="D102" s="1">
        <v>1</v>
      </c>
      <c r="E102" s="1">
        <v>0.9942528766993548</v>
      </c>
      <c r="F102" s="1">
        <v>0.97609149429124531</v>
      </c>
      <c r="G102" s="1">
        <v>1</v>
      </c>
      <c r="H102" s="1">
        <v>1.0224127518924404</v>
      </c>
      <c r="I102" s="1">
        <v>0.99259531996148209</v>
      </c>
      <c r="J102" s="1">
        <v>0.99033288612442494</v>
      </c>
      <c r="K102" s="1">
        <v>0.99999683231258374</v>
      </c>
      <c r="L102" s="1">
        <v>1.0153888189374367</v>
      </c>
      <c r="M102" s="1">
        <v>0.99794867075432681</v>
      </c>
      <c r="N102" s="1">
        <v>1.0233413405692771</v>
      </c>
      <c r="O102" s="1">
        <v>1.0169770945107726</v>
      </c>
      <c r="P102" s="1">
        <v>1.0039606202110076</v>
      </c>
      <c r="Q102" s="1">
        <v>1.0230414217145636</v>
      </c>
      <c r="S102" s="1">
        <f t="shared" si="199"/>
        <v>100</v>
      </c>
      <c r="T102" s="1">
        <f t="shared" si="201"/>
        <v>100</v>
      </c>
      <c r="U102" s="1">
        <f t="shared" si="202"/>
        <v>99.425287669935486</v>
      </c>
      <c r="V102" s="1">
        <f t="shared" si="203"/>
        <v>97.04817761208426</v>
      </c>
      <c r="W102" s="1">
        <f t="shared" si="204"/>
        <v>97.04817761208426</v>
      </c>
      <c r="X102" s="1">
        <f t="shared" si="205"/>
        <v>99.223294338517391</v>
      </c>
      <c r="Y102" s="1">
        <f t="shared" si="206"/>
        <v>98.488577591572991</v>
      </c>
      <c r="Z102" s="1">
        <f t="shared" si="207"/>
        <v>97.536477296551851</v>
      </c>
      <c r="AA102" s="1">
        <f t="shared" si="208"/>
        <v>97.536168331480098</v>
      </c>
      <c r="AB102" s="1">
        <f t="shared" si="209"/>
        <v>99.0371347657846</v>
      </c>
      <c r="AC102" s="1">
        <f t="shared" si="210"/>
        <v>98.833976994831872</v>
      </c>
      <c r="AD102" s="1">
        <f t="shared" si="211"/>
        <v>101.14089451168434</v>
      </c>
      <c r="AE102" s="1">
        <f t="shared" si="212"/>
        <v>98.7765138937106</v>
      </c>
      <c r="AF102" s="1">
        <f t="shared" si="213"/>
        <v>1.012386407031999</v>
      </c>
      <c r="AH102" s="1" t="str">
        <f t="shared" si="214"/>
        <v>C2012.34649</v>
      </c>
      <c r="AI102" s="1">
        <f t="shared" si="237"/>
        <v>101.23864070319991</v>
      </c>
      <c r="AJ102" s="1">
        <f t="shared" si="238"/>
        <v>101.23864070319991</v>
      </c>
      <c r="AK102" s="1">
        <f t="shared" si="239"/>
        <v>100.65680975228889</v>
      </c>
      <c r="AL102" s="1">
        <f t="shared" si="240"/>
        <v>98.250255841701275</v>
      </c>
      <c r="AM102" s="1">
        <f t="shared" si="241"/>
        <v>98.250255841701275</v>
      </c>
      <c r="AN102" s="1">
        <f t="shared" si="242"/>
        <v>100.45231444925011</v>
      </c>
      <c r="AO102" s="1">
        <f t="shared" si="243"/>
        <v>99.708497201624823</v>
      </c>
      <c r="AP102" s="1">
        <f t="shared" si="244"/>
        <v>98.744603804814275</v>
      </c>
      <c r="AQ102" s="1">
        <f t="shared" si="245"/>
        <v>98.744291012775378</v>
      </c>
      <c r="AR102" s="1">
        <f t="shared" si="246"/>
        <v>100.26384902827655</v>
      </c>
      <c r="AS102" s="1">
        <f t="shared" si="247"/>
        <v>100.05817486248108</v>
      </c>
      <c r="AT102" s="1">
        <f t="shared" si="248"/>
        <v>102.39366679868654</v>
      </c>
      <c r="AU102" s="1">
        <f t="shared" ref="AU102:AW102" si="274">AT102*O102</f>
        <v>104.1320137572324</v>
      </c>
      <c r="AV102" s="1">
        <f t="shared" si="274"/>
        <v>104.54444111553222</v>
      </c>
      <c r="AW102" s="1">
        <f t="shared" si="274"/>
        <v>106.95329367118856</v>
      </c>
      <c r="AX102" s="1" t="b">
        <f t="shared" si="173"/>
        <v>1</v>
      </c>
      <c r="AY102" s="1" t="s">
        <v>109</v>
      </c>
      <c r="AZ102" s="1" t="str">
        <f t="shared" si="197"/>
        <v>C20</v>
      </c>
      <c r="BA102" s="1" t="str">
        <f t="shared" si="198"/>
        <v>C2012</v>
      </c>
      <c r="BB102" s="1" t="s">
        <v>351</v>
      </c>
      <c r="BC102" s="1" t="s">
        <v>352</v>
      </c>
      <c r="BD102" s="1">
        <v>2.6468418586626033E-3</v>
      </c>
      <c r="BE102" s="1">
        <f t="shared" si="257"/>
        <v>0.26796267192733314</v>
      </c>
      <c r="BF102" s="1">
        <f t="shared" si="258"/>
        <v>0.26796267192733314</v>
      </c>
      <c r="BG102" s="1">
        <f t="shared" si="259"/>
        <v>0.26642265741179638</v>
      </c>
      <c r="BH102" s="1">
        <f t="shared" si="260"/>
        <v>0.2600528897861249</v>
      </c>
      <c r="BI102" s="1">
        <f t="shared" si="261"/>
        <v>0.2600528897861249</v>
      </c>
      <c r="BJ102" s="1">
        <f t="shared" si="262"/>
        <v>0.26588139068381345</v>
      </c>
      <c r="BK102" s="1">
        <f t="shared" si="263"/>
        <v>0.26391262405760363</v>
      </c>
      <c r="BL102" s="1">
        <f t="shared" si="264"/>
        <v>0.26136135066763699</v>
      </c>
      <c r="BM102" s="1">
        <f t="shared" si="265"/>
        <v>0.2613605227565754</v>
      </c>
      <c r="BN102" s="1">
        <f t="shared" si="266"/>
        <v>0.26538255251867016</v>
      </c>
      <c r="BO102" s="1">
        <f t="shared" si="267"/>
        <v>0.2648381655273972</v>
      </c>
      <c r="BP102" s="1">
        <f t="shared" si="268"/>
        <v>0.27101984334471479</v>
      </c>
      <c r="BQ102" s="1">
        <f t="shared" si="269"/>
        <v>0.27562097283947279</v>
      </c>
      <c r="BR102" s="1">
        <f t="shared" si="270"/>
        <v>0.27671260283507837</v>
      </c>
      <c r="BS102" s="1">
        <f t="shared" si="271"/>
        <v>0.28308845461073595</v>
      </c>
      <c r="BV102" s="1" t="s">
        <v>109</v>
      </c>
      <c r="BW102" s="1">
        <f>((AJ102-AI102)/BE$154)*$BD102</f>
        <v>0</v>
      </c>
      <c r="BX102" s="1">
        <f>((AK102-AJ102)/BF$154)*$BD102</f>
        <v>-1.5478596626184211E-5</v>
      </c>
      <c r="BY102" s="1">
        <f>((AL102-AK102)/BG$154)*$BD102</f>
        <v>-6.4051330531130393E-5</v>
      </c>
      <c r="BZ102" s="1">
        <f>((AM102-AL102)/BH$154)*$BD102</f>
        <v>0</v>
      </c>
      <c r="CA102" s="1">
        <f>((AN102-AM102)/BI$154)*$BD102</f>
        <v>5.8413989421552269E-5</v>
      </c>
      <c r="CB102" s="1">
        <f>((AO102-AN102)/BJ$154)*$BD102</f>
        <v>-1.9720787588435456E-5</v>
      </c>
      <c r="CC102" s="1">
        <f>((AP102-AO102)/BK$154)*$BD102</f>
        <v>-2.5548315917892185E-5</v>
      </c>
      <c r="CD102" s="1">
        <f>((AQ102-AP102)/BL$154)*$BD102</f>
        <v>-8.2786047086188851E-9</v>
      </c>
      <c r="CE102" s="1">
        <f>((AR102-AQ102)/BM$154)*$BD102</f>
        <v>4.0057578199258708E-5</v>
      </c>
      <c r="CF102" s="1">
        <f>((AS102-AR102)/BN$154)*$BD102</f>
        <v>-5.4173555997362685E-6</v>
      </c>
      <c r="CG102" s="1">
        <f>((AT102-AS102)/BO$154)*$BD102</f>
        <v>6.1374889211085514E-5</v>
      </c>
      <c r="CH102" s="1">
        <f>((AU102-AT102)/BP$154)*$BD102</f>
        <v>4.5670793507081875E-5</v>
      </c>
      <c r="CI102" s="1">
        <f>((AV102-AU102)/BQ$154)*$BD102</f>
        <v>1.07979436235677E-5</v>
      </c>
      <c r="CJ102" s="1">
        <f>((AW102-AV102)/BR$154)*$BD102</f>
        <v>6.2954139495613608E-5</v>
      </c>
    </row>
    <row r="103" spans="1:88" x14ac:dyDescent="0.35">
      <c r="A103" s="1" t="s">
        <v>110</v>
      </c>
      <c r="B103" s="1">
        <v>1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0.99999912046743689</v>
      </c>
      <c r="I103" s="1">
        <v>1</v>
      </c>
      <c r="J103" s="1">
        <v>1</v>
      </c>
      <c r="K103" s="1">
        <v>1.0000133880996021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1.0339446906388645</v>
      </c>
      <c r="S103" s="1">
        <f t="shared" si="199"/>
        <v>100</v>
      </c>
      <c r="T103" s="1">
        <f t="shared" si="201"/>
        <v>100</v>
      </c>
      <c r="U103" s="1">
        <f t="shared" si="202"/>
        <v>100</v>
      </c>
      <c r="V103" s="1">
        <f t="shared" si="203"/>
        <v>100</v>
      </c>
      <c r="W103" s="1">
        <f t="shared" si="204"/>
        <v>100</v>
      </c>
      <c r="X103" s="1">
        <f t="shared" si="205"/>
        <v>99.999912046743688</v>
      </c>
      <c r="Y103" s="1">
        <f t="shared" si="206"/>
        <v>99.999912046743688</v>
      </c>
      <c r="Z103" s="1">
        <f t="shared" si="207"/>
        <v>99.999912046743688</v>
      </c>
      <c r="AA103" s="1">
        <f t="shared" si="208"/>
        <v>100.00125085552637</v>
      </c>
      <c r="AB103" s="1">
        <f t="shared" si="209"/>
        <v>100.00125085552637</v>
      </c>
      <c r="AC103" s="1">
        <f t="shared" si="210"/>
        <v>100.00125085552637</v>
      </c>
      <c r="AD103" s="1">
        <f t="shared" si="211"/>
        <v>100.00125085552637</v>
      </c>
      <c r="AE103" s="1">
        <f t="shared" si="212"/>
        <v>100.00039496352805</v>
      </c>
      <c r="AF103" s="1">
        <f t="shared" si="213"/>
        <v>0.99999605038031902</v>
      </c>
      <c r="AH103" s="1" t="str">
        <f t="shared" si="214"/>
        <v>C2012.34659</v>
      </c>
      <c r="AI103" s="1">
        <f t="shared" si="237"/>
        <v>99.999605038031902</v>
      </c>
      <c r="AJ103" s="1">
        <f t="shared" si="238"/>
        <v>99.999605038031902</v>
      </c>
      <c r="AK103" s="1">
        <f t="shared" si="239"/>
        <v>99.999605038031902</v>
      </c>
      <c r="AL103" s="1">
        <f t="shared" si="240"/>
        <v>99.999605038031902</v>
      </c>
      <c r="AM103" s="1">
        <f t="shared" si="241"/>
        <v>99.999605038031902</v>
      </c>
      <c r="AN103" s="1">
        <f t="shared" si="242"/>
        <v>99.999517085122974</v>
      </c>
      <c r="AO103" s="1">
        <f t="shared" si="243"/>
        <v>99.999517085122974</v>
      </c>
      <c r="AP103" s="1">
        <f t="shared" si="244"/>
        <v>99.999517085122974</v>
      </c>
      <c r="AQ103" s="1">
        <f t="shared" si="245"/>
        <v>100.00085588861786</v>
      </c>
      <c r="AR103" s="1">
        <f t="shared" si="246"/>
        <v>100.00085588861786</v>
      </c>
      <c r="AS103" s="1">
        <f t="shared" si="247"/>
        <v>100.00085588861786</v>
      </c>
      <c r="AT103" s="1">
        <f t="shared" si="248"/>
        <v>100.00085588861786</v>
      </c>
      <c r="AU103" s="1">
        <f t="shared" ref="AU103:AW103" si="275">AT103*O103</f>
        <v>100.00085588861786</v>
      </c>
      <c r="AV103" s="1">
        <f t="shared" si="275"/>
        <v>100.00085588861786</v>
      </c>
      <c r="AW103" s="1">
        <f t="shared" si="275"/>
        <v>103.39535400537866</v>
      </c>
      <c r="AX103" s="1" t="b">
        <f t="shared" si="173"/>
        <v>1</v>
      </c>
      <c r="AY103" s="1" t="s">
        <v>110</v>
      </c>
      <c r="AZ103" s="1" t="str">
        <f t="shared" si="197"/>
        <v>C20</v>
      </c>
      <c r="BA103" s="1" t="str">
        <f t="shared" si="198"/>
        <v>C2012</v>
      </c>
      <c r="BB103" s="1" t="s">
        <v>353</v>
      </c>
      <c r="BC103" s="1" t="s">
        <v>354</v>
      </c>
      <c r="BD103" s="1">
        <v>2.6468418586626033E-3</v>
      </c>
      <c r="BE103" s="1">
        <f t="shared" si="257"/>
        <v>0.26468314046439056</v>
      </c>
      <c r="BF103" s="1">
        <f t="shared" si="258"/>
        <v>0.26468314046439056</v>
      </c>
      <c r="BG103" s="1">
        <f t="shared" si="259"/>
        <v>0.26468314046439056</v>
      </c>
      <c r="BH103" s="1">
        <f t="shared" si="260"/>
        <v>0.26468314046439056</v>
      </c>
      <c r="BI103" s="1">
        <f t="shared" si="261"/>
        <v>0.26468314046439056</v>
      </c>
      <c r="BJ103" s="1">
        <f t="shared" si="262"/>
        <v>0.26468290766694963</v>
      </c>
      <c r="BK103" s="1">
        <f t="shared" si="263"/>
        <v>0.26468290766694963</v>
      </c>
      <c r="BL103" s="1">
        <f t="shared" si="264"/>
        <v>0.26468290766694963</v>
      </c>
      <c r="BM103" s="1">
        <f t="shared" si="265"/>
        <v>0.26468645126808044</v>
      </c>
      <c r="BN103" s="1">
        <f t="shared" si="266"/>
        <v>0.26468645126808044</v>
      </c>
      <c r="BO103" s="1">
        <f t="shared" si="267"/>
        <v>0.26468645126808044</v>
      </c>
      <c r="BP103" s="1">
        <f t="shared" si="268"/>
        <v>0.26468645126808044</v>
      </c>
      <c r="BQ103" s="1">
        <f t="shared" si="269"/>
        <v>0.26468645126808044</v>
      </c>
      <c r="BR103" s="1">
        <f t="shared" si="270"/>
        <v>0.26468645126808044</v>
      </c>
      <c r="BS103" s="1">
        <f t="shared" si="271"/>
        <v>0.2736711509726743</v>
      </c>
      <c r="BV103" s="1" t="s">
        <v>110</v>
      </c>
      <c r="BW103" s="1">
        <f>((AJ103-AI103)/BE$154)*$BD103</f>
        <v>0</v>
      </c>
      <c r="BX103" s="1">
        <f>((AK103-AJ103)/BF$154)*$BD103</f>
        <v>0</v>
      </c>
      <c r="BY103" s="1">
        <f>((AL103-AK103)/BG$154)*$BD103</f>
        <v>0</v>
      </c>
      <c r="BZ103" s="1">
        <f>((AM103-AL103)/BH$154)*$BD103</f>
        <v>0</v>
      </c>
      <c r="CA103" s="1">
        <f>((AN103-AM103)/BI$154)*$BD103</f>
        <v>-2.3331260458158696E-9</v>
      </c>
      <c r="CB103" s="1">
        <f>((AO103-AN103)/BJ$154)*$BD103</f>
        <v>0</v>
      </c>
      <c r="CC103" s="1">
        <f>((AP103-AO103)/BK$154)*$BD103</f>
        <v>0</v>
      </c>
      <c r="CD103" s="1">
        <f>((AQ103-AP103)/BL$154)*$BD103</f>
        <v>3.5433845937264103E-8</v>
      </c>
      <c r="CE103" s="1">
        <f>((AR103-AQ103)/BM$154)*$BD103</f>
        <v>0</v>
      </c>
      <c r="CF103" s="1">
        <f>((AS103-AR103)/BN$154)*$BD103</f>
        <v>0</v>
      </c>
      <c r="CG103" s="1">
        <f>((AT103-AS103)/BO$154)*$BD103</f>
        <v>0</v>
      </c>
      <c r="CH103" s="1">
        <f>((AU103-AT103)/BP$154)*$BD103</f>
        <v>0</v>
      </c>
      <c r="CI103" s="1">
        <f>((AV103-AU103)/BQ$154)*$BD103</f>
        <v>0</v>
      </c>
      <c r="CJ103" s="1">
        <f>((AW103-AV103)/BR$154)*$BD103</f>
        <v>8.8713486202533911E-5</v>
      </c>
    </row>
    <row r="104" spans="1:88" x14ac:dyDescent="0.35">
      <c r="A104" s="1" t="s">
        <v>111</v>
      </c>
      <c r="B104" s="1">
        <v>0.99981841687121831</v>
      </c>
      <c r="C104" s="1">
        <v>1</v>
      </c>
      <c r="D104" s="1">
        <v>0.99975653550849386</v>
      </c>
      <c r="E104" s="1">
        <v>0.99975353274384959</v>
      </c>
      <c r="F104" s="1">
        <v>1</v>
      </c>
      <c r="G104" s="1">
        <v>0.99962453866084999</v>
      </c>
      <c r="H104" s="1">
        <v>0.99991068978562936</v>
      </c>
      <c r="I104" s="1">
        <v>1</v>
      </c>
      <c r="J104" s="1">
        <v>1</v>
      </c>
      <c r="K104" s="1">
        <v>0.99973094813551211</v>
      </c>
      <c r="L104" s="1">
        <v>1.0000604464497393</v>
      </c>
      <c r="M104" s="1">
        <v>0.99887614097345978</v>
      </c>
      <c r="N104" s="1">
        <v>0.99927642661165061</v>
      </c>
      <c r="O104" s="1">
        <v>0.99995988801432001</v>
      </c>
      <c r="P104" s="1">
        <v>1</v>
      </c>
      <c r="Q104" s="1">
        <v>0.99029329787718945</v>
      </c>
      <c r="S104" s="1">
        <f t="shared" si="199"/>
        <v>100</v>
      </c>
      <c r="T104" s="1">
        <f t="shared" si="201"/>
        <v>99.975653550849387</v>
      </c>
      <c r="U104" s="1">
        <f t="shared" si="202"/>
        <v>99.95101282583687</v>
      </c>
      <c r="V104" s="1">
        <f t="shared" si="203"/>
        <v>99.95101282583687</v>
      </c>
      <c r="W104" s="1">
        <f t="shared" si="204"/>
        <v>99.91348508471188</v>
      </c>
      <c r="X104" s="1">
        <f t="shared" si="205"/>
        <v>99.904561789940445</v>
      </c>
      <c r="Y104" s="1">
        <f t="shared" si="206"/>
        <v>99.904561789940445</v>
      </c>
      <c r="Z104" s="1">
        <f t="shared" si="207"/>
        <v>99.904561789940445</v>
      </c>
      <c r="AA104" s="1">
        <f t="shared" si="208"/>
        <v>99.87768228132002</v>
      </c>
      <c r="AB104" s="1">
        <f t="shared" si="209"/>
        <v>99.883719532622123</v>
      </c>
      <c r="AC104" s="1">
        <f t="shared" si="210"/>
        <v>99.771464312820981</v>
      </c>
      <c r="AD104" s="1">
        <f t="shared" si="211"/>
        <v>99.699272336327567</v>
      </c>
      <c r="AE104" s="1">
        <f t="shared" si="212"/>
        <v>99.894749010012262</v>
      </c>
      <c r="AF104" s="1">
        <f t="shared" si="213"/>
        <v>1.0010536188441415</v>
      </c>
      <c r="AH104" s="1" t="str">
        <f t="shared" si="214"/>
        <v>C2021.34661</v>
      </c>
      <c r="AI104" s="1">
        <f t="shared" si="237"/>
        <v>100.10536188441415</v>
      </c>
      <c r="AJ104" s="1">
        <f t="shared" si="238"/>
        <v>100.08098978338592</v>
      </c>
      <c r="AK104" s="1">
        <f t="shared" si="239"/>
        <v>100.05632309644119</v>
      </c>
      <c r="AL104" s="1">
        <f t="shared" si="240"/>
        <v>100.05632309644119</v>
      </c>
      <c r="AM104" s="1">
        <f t="shared" si="241"/>
        <v>100.01875581538098</v>
      </c>
      <c r="AN104" s="1">
        <f t="shared" si="242"/>
        <v>100.00982311885802</v>
      </c>
      <c r="AO104" s="1">
        <f t="shared" si="243"/>
        <v>100.00982311885802</v>
      </c>
      <c r="AP104" s="1">
        <f t="shared" si="244"/>
        <v>100.00982311885802</v>
      </c>
      <c r="AQ104" s="1">
        <f t="shared" si="245"/>
        <v>99.982915289480786</v>
      </c>
      <c r="AR104" s="1">
        <f t="shared" si="246"/>
        <v>99.988958901744638</v>
      </c>
      <c r="AS104" s="1">
        <f t="shared" si="247"/>
        <v>99.876585407728555</v>
      </c>
      <c r="AT104" s="1">
        <f t="shared" si="248"/>
        <v>99.80431736840832</v>
      </c>
      <c r="AU104" s="1">
        <f t="shared" ref="AU104:AW104" si="276">AT104*O104</f>
        <v>99.800314019059243</v>
      </c>
      <c r="AV104" s="1">
        <f t="shared" si="276"/>
        <v>99.800314019059243</v>
      </c>
      <c r="AW104" s="1">
        <f t="shared" si="276"/>
        <v>98.831582099113277</v>
      </c>
      <c r="AX104" s="1" t="b">
        <f t="shared" si="173"/>
        <v>1</v>
      </c>
      <c r="AY104" s="1" t="s">
        <v>111</v>
      </c>
      <c r="AZ104" s="1" t="str">
        <f t="shared" si="197"/>
        <v>C20</v>
      </c>
      <c r="BA104" s="1" t="str">
        <f t="shared" si="198"/>
        <v>C2021</v>
      </c>
      <c r="BB104" s="1" t="s">
        <v>355</v>
      </c>
      <c r="BC104" s="1" t="s">
        <v>356</v>
      </c>
      <c r="BD104" s="1">
        <v>5.2936837173252066E-3</v>
      </c>
      <c r="BE104" s="1">
        <f t="shared" si="257"/>
        <v>0.5299261242244705</v>
      </c>
      <c r="BF104" s="1">
        <f t="shared" si="258"/>
        <v>0.52979710603010033</v>
      </c>
      <c r="BG104" s="1">
        <f t="shared" si="259"/>
        <v>0.52966652839106076</v>
      </c>
      <c r="BH104" s="1">
        <f t="shared" si="260"/>
        <v>0.52966652839106076</v>
      </c>
      <c r="BI104" s="1">
        <f t="shared" si="261"/>
        <v>0.5294676590870081</v>
      </c>
      <c r="BJ104" s="1">
        <f t="shared" si="262"/>
        <v>0.52942037221687277</v>
      </c>
      <c r="BK104" s="1">
        <f t="shared" si="263"/>
        <v>0.52942037221687277</v>
      </c>
      <c r="BL104" s="1">
        <f t="shared" si="264"/>
        <v>0.52942037221687277</v>
      </c>
      <c r="BM104" s="1">
        <f t="shared" si="265"/>
        <v>0.52927793067862994</v>
      </c>
      <c r="BN104" s="1">
        <f t="shared" si="266"/>
        <v>0.52930992365046481</v>
      </c>
      <c r="BO104" s="1">
        <f t="shared" si="267"/>
        <v>0.52871505391493301</v>
      </c>
      <c r="BP104" s="1">
        <f t="shared" si="268"/>
        <v>0.52833248977190039</v>
      </c>
      <c r="BQ104" s="1">
        <f t="shared" si="269"/>
        <v>0.52831129730663651</v>
      </c>
      <c r="BR104" s="1">
        <f t="shared" si="270"/>
        <v>0.52831129730663651</v>
      </c>
      <c r="BS104" s="1">
        <f t="shared" si="271"/>
        <v>0.52318313691556528</v>
      </c>
      <c r="BV104" s="1" t="s">
        <v>111</v>
      </c>
      <c r="BW104" s="1">
        <f>((AJ104-AI104)/BE$154)*$BD104</f>
        <v>-1.2960453342048287E-6</v>
      </c>
      <c r="BX104" s="1">
        <f>((AK104-AJ104)/BF$154)*$BD104</f>
        <v>-1.3124282808398908E-6</v>
      </c>
      <c r="BY104" s="1">
        <f>((AL104-AK104)/BG$154)*$BD104</f>
        <v>0</v>
      </c>
      <c r="BZ104" s="1">
        <f>((AM104-AL104)/BH$154)*$BD104</f>
        <v>-1.9952350509884496E-6</v>
      </c>
      <c r="CA104" s="1">
        <f>((AN104-AM104)/BI$154)*$BD104</f>
        <v>-4.7391512506476202E-7</v>
      </c>
      <c r="CB104" s="1">
        <f>((AO104-AN104)/BJ$154)*$BD104</f>
        <v>0</v>
      </c>
      <c r="CC104" s="1">
        <f>((AP104-AO104)/BK$154)*$BD104</f>
        <v>0</v>
      </c>
      <c r="CD104" s="1">
        <f>((AQ104-AP104)/BL$154)*$BD104</f>
        <v>-1.424328341387113E-6</v>
      </c>
      <c r="CE104" s="1">
        <f>((AR104-AQ104)/BM$154)*$BD104</f>
        <v>3.186353773869011E-7</v>
      </c>
      <c r="CF104" s="1">
        <f>((AS104-AR104)/BN$154)*$BD104</f>
        <v>-5.9197242854052241E-6</v>
      </c>
      <c r="CG104" s="1">
        <f>((AT104-AS104)/BO$154)*$BD104</f>
        <v>-3.7982943447779209E-6</v>
      </c>
      <c r="CH104" s="1">
        <f>((AU104-AT104)/BP$154)*$BD104</f>
        <v>-2.1035632795807209E-7</v>
      </c>
      <c r="CI104" s="1">
        <f>((AV104-AU104)/BQ$154)*$BD104</f>
        <v>0</v>
      </c>
      <c r="CJ104" s="1">
        <f>((AW104-AV104)/BR$154)*$BD104</f>
        <v>-5.0634634551565776E-5</v>
      </c>
    </row>
    <row r="105" spans="1:88" x14ac:dyDescent="0.35">
      <c r="A105" s="1" t="s">
        <v>112</v>
      </c>
      <c r="B105" s="1">
        <v>0.99985451023078231</v>
      </c>
      <c r="C105" s="1">
        <v>1</v>
      </c>
      <c r="D105" s="1">
        <v>0.98498807314570325</v>
      </c>
      <c r="E105" s="1">
        <v>0.99980213934565765</v>
      </c>
      <c r="F105" s="1">
        <v>0.97793495311322531</v>
      </c>
      <c r="G105" s="1">
        <v>0.99969961276535302</v>
      </c>
      <c r="H105" s="1">
        <v>0.99992840014447537</v>
      </c>
      <c r="I105" s="1">
        <v>0.99929415957364054</v>
      </c>
      <c r="J105" s="1">
        <v>1.008936656448582</v>
      </c>
      <c r="K105" s="1">
        <v>0.99978493238202271</v>
      </c>
      <c r="L105" s="1">
        <v>1.000035970337817</v>
      </c>
      <c r="M105" s="1">
        <v>0.99989775864009711</v>
      </c>
      <c r="N105" s="1">
        <v>0.99955515996625743</v>
      </c>
      <c r="O105" s="1">
        <v>0.99997595551514429</v>
      </c>
      <c r="P105" s="1">
        <v>1.000551189500162</v>
      </c>
      <c r="Q105" s="1">
        <v>0.9803095413046401</v>
      </c>
      <c r="S105" s="1">
        <f t="shared" si="199"/>
        <v>100</v>
      </c>
      <c r="T105" s="1">
        <f t="shared" si="201"/>
        <v>98.498807314570328</v>
      </c>
      <c r="U105" s="1">
        <f t="shared" si="202"/>
        <v>98.479318276103129</v>
      </c>
      <c r="V105" s="1">
        <f t="shared" si="203"/>
        <v>96.306367500963304</v>
      </c>
      <c r="W105" s="1">
        <f t="shared" si="204"/>
        <v>96.277438297550788</v>
      </c>
      <c r="X105" s="1">
        <f t="shared" si="205"/>
        <v>96.270544846878408</v>
      </c>
      <c r="Y105" s="1">
        <f t="shared" si="206"/>
        <v>96.202593204457827</v>
      </c>
      <c r="Z105" s="1">
        <f t="shared" si="207"/>
        <v>97.062322729388754</v>
      </c>
      <c r="AA105" s="1">
        <f t="shared" si="208"/>
        <v>97.041447766844001</v>
      </c>
      <c r="AB105" s="1">
        <f t="shared" si="209"/>
        <v>97.04493838050243</v>
      </c>
      <c r="AC105" s="1">
        <f t="shared" si="210"/>
        <v>97.035016374030718</v>
      </c>
      <c r="AD105" s="1">
        <f t="shared" si="211"/>
        <v>96.99185131407269</v>
      </c>
      <c r="AE105" s="1">
        <f t="shared" si="212"/>
        <v>97.267553833780198</v>
      </c>
      <c r="AF105" s="1">
        <f t="shared" si="213"/>
        <v>1.0280920621370746</v>
      </c>
      <c r="AH105" s="1" t="str">
        <f t="shared" si="214"/>
        <v>C2021.34663</v>
      </c>
      <c r="AI105" s="1">
        <f t="shared" si="237"/>
        <v>102.80920621370745</v>
      </c>
      <c r="AJ105" s="1">
        <f t="shared" si="238"/>
        <v>101.26584193007898</v>
      </c>
      <c r="AK105" s="1">
        <f t="shared" si="239"/>
        <v>101.24580540433216</v>
      </c>
      <c r="AL105" s="1">
        <f t="shared" si="240"/>
        <v>99.011811960996312</v>
      </c>
      <c r="AM105" s="1">
        <f t="shared" si="241"/>
        <v>98.982070076603947</v>
      </c>
      <c r="AN105" s="1">
        <f t="shared" si="242"/>
        <v>98.974982974686938</v>
      </c>
      <c r="AO105" s="1">
        <f t="shared" si="243"/>
        <v>98.905122430505173</v>
      </c>
      <c r="AP105" s="1">
        <f t="shared" si="244"/>
        <v>99.789003530671536</v>
      </c>
      <c r="AQ105" s="1">
        <f t="shared" si="245"/>
        <v>99.76754214738186</v>
      </c>
      <c r="AR105" s="1">
        <f t="shared" si="246"/>
        <v>99.771130819576086</v>
      </c>
      <c r="AS105" s="1">
        <f t="shared" si="247"/>
        <v>99.760930083482037</v>
      </c>
      <c r="AT105" s="1">
        <f t="shared" si="248"/>
        <v>99.716552427977518</v>
      </c>
      <c r="AU105" s="1">
        <f t="shared" ref="AU105:AW105" si="277">AT105*O105</f>
        <v>99.714154794842798</v>
      </c>
      <c r="AV105" s="1">
        <f t="shared" si="277"/>
        <v>99.769116189983237</v>
      </c>
      <c r="AW105" s="1">
        <f t="shared" si="277"/>
        <v>97.804616528571813</v>
      </c>
      <c r="AX105" s="1" t="b">
        <f t="shared" si="173"/>
        <v>1</v>
      </c>
      <c r="AY105" s="1" t="s">
        <v>112</v>
      </c>
      <c r="AZ105" s="1" t="str">
        <f t="shared" si="197"/>
        <v>C20</v>
      </c>
      <c r="BA105" s="1" t="str">
        <f t="shared" si="198"/>
        <v>C2021</v>
      </c>
      <c r="BB105" s="1" t="s">
        <v>357</v>
      </c>
      <c r="BC105" s="1" t="s">
        <v>358</v>
      </c>
      <c r="BD105" s="1">
        <v>5.2936837173252066E-3</v>
      </c>
      <c r="BE105" s="1">
        <f t="shared" si="257"/>
        <v>0.54423942092463262</v>
      </c>
      <c r="BF105" s="1">
        <f t="shared" si="258"/>
        <v>0.53606933854648731</v>
      </c>
      <c r="BG105" s="1">
        <f t="shared" si="259"/>
        <v>0.53596327151638956</v>
      </c>
      <c r="BH105" s="1">
        <f t="shared" si="260"/>
        <v>0.52413721680079128</v>
      </c>
      <c r="BI105" s="1">
        <f t="shared" si="261"/>
        <v>0.52397977267166085</v>
      </c>
      <c r="BJ105" s="1">
        <f t="shared" si="262"/>
        <v>0.5239422557956398</v>
      </c>
      <c r="BK105" s="1">
        <f t="shared" si="263"/>
        <v>0.52357243617042126</v>
      </c>
      <c r="BL105" s="1">
        <f t="shared" si="264"/>
        <v>0.52825142315842344</v>
      </c>
      <c r="BM105" s="1">
        <f t="shared" si="265"/>
        <v>0.52813781338315158</v>
      </c>
      <c r="BN105" s="1">
        <f t="shared" si="266"/>
        <v>0.52815681067871301</v>
      </c>
      <c r="BO105" s="1">
        <f t="shared" si="267"/>
        <v>0.52810281120814717</v>
      </c>
      <c r="BP105" s="1">
        <f t="shared" si="268"/>
        <v>0.52786788993578992</v>
      </c>
      <c r="BQ105" s="1">
        <f t="shared" si="269"/>
        <v>0.52785519762430455</v>
      </c>
      <c r="BR105" s="1">
        <f t="shared" si="270"/>
        <v>0.52814614586684094</v>
      </c>
      <c r="BS105" s="1">
        <f t="shared" si="271"/>
        <v>0.51774670599653638</v>
      </c>
      <c r="BV105" s="1" t="s">
        <v>112</v>
      </c>
      <c r="BW105" s="1">
        <f>((AJ105-AI105)/BE$154)*$BD105</f>
        <v>-8.2072123222278568E-5</v>
      </c>
      <c r="BX105" s="1">
        <f>((AK105-AJ105)/BF$154)*$BD105</f>
        <v>-1.0660735711620156E-6</v>
      </c>
      <c r="BY105" s="1">
        <f>((AL105-AK105)/BG$154)*$BD105</f>
        <v>-1.189171385805719E-4</v>
      </c>
      <c r="BZ105" s="1">
        <f>((AM105-AL105)/BH$154)*$BD105</f>
        <v>-1.5796205779968863E-6</v>
      </c>
      <c r="CA105" s="1">
        <f>((AN105-AM105)/BI$154)*$BD105</f>
        <v>-3.7599898112649451E-7</v>
      </c>
      <c r="CB105" s="1">
        <f>((AO105-AN105)/BJ$154)*$BD105</f>
        <v>-3.7044178715122781E-6</v>
      </c>
      <c r="CC105" s="1">
        <f>((AP105-AO105)/BK$154)*$BD105</f>
        <v>4.6855126626295906E-5</v>
      </c>
      <c r="CD105" s="1">
        <f>((AQ105-AP105)/BL$154)*$BD105</f>
        <v>-1.1360283297588108E-6</v>
      </c>
      <c r="CE105" s="1">
        <f>((AR105-AQ105)/BM$154)*$BD105</f>
        <v>1.8920438125464959E-7</v>
      </c>
      <c r="CF105" s="1">
        <f>((AS105-AR105)/BN$154)*$BD105</f>
        <v>-5.3736466694102499E-7</v>
      </c>
      <c r="CG105" s="1">
        <f>((AT105-AS105)/BO$154)*$BD105</f>
        <v>-2.3324196909562493E-6</v>
      </c>
      <c r="CH105" s="1">
        <f>((AU105-AT105)/BP$154)*$BD105</f>
        <v>-1.259838345425956E-7</v>
      </c>
      <c r="CI105" s="1">
        <f>((AV105-AU105)/BQ$154)*$BD105</f>
        <v>2.8779373349313243E-6</v>
      </c>
      <c r="CJ105" s="1">
        <f>((AW105-AV105)/BR$154)*$BD105</f>
        <v>-1.0268240406261252E-4</v>
      </c>
    </row>
    <row r="106" spans="1:88" x14ac:dyDescent="0.35">
      <c r="A106" s="1" t="s">
        <v>113</v>
      </c>
      <c r="B106" s="1">
        <v>0.99997317611196579</v>
      </c>
      <c r="C106" s="1">
        <v>1</v>
      </c>
      <c r="D106" s="1">
        <v>0.9991088667468413</v>
      </c>
      <c r="E106" s="1">
        <v>1.0015264779663235</v>
      </c>
      <c r="F106" s="1">
        <v>0.99884676690906404</v>
      </c>
      <c r="G106" s="1">
        <v>1.0034912944499732</v>
      </c>
      <c r="H106" s="1">
        <v>0.99886146239496132</v>
      </c>
      <c r="I106" s="1">
        <v>1.0022488317483469</v>
      </c>
      <c r="J106" s="1">
        <v>0.99626014411058894</v>
      </c>
      <c r="K106" s="1">
        <v>0.99931817087885455</v>
      </c>
      <c r="L106" s="1">
        <v>1.0008751287757105</v>
      </c>
      <c r="M106" s="1">
        <v>0.99947503623036249</v>
      </c>
      <c r="N106" s="1">
        <v>1.0002515901506293</v>
      </c>
      <c r="O106" s="1">
        <v>1.00248742367202</v>
      </c>
      <c r="P106" s="1">
        <v>0.99963892697863854</v>
      </c>
      <c r="Q106" s="1">
        <v>1.0002594580552464</v>
      </c>
      <c r="S106" s="1">
        <f t="shared" si="199"/>
        <v>100</v>
      </c>
      <c r="T106" s="1">
        <f t="shared" si="201"/>
        <v>99.910886674684136</v>
      </c>
      <c r="U106" s="1">
        <f t="shared" si="202"/>
        <v>100.06339844178889</v>
      </c>
      <c r="V106" s="1">
        <f t="shared" si="203"/>
        <v>99.948002019514306</v>
      </c>
      <c r="W106" s="1">
        <f t="shared" si="204"/>
        <v>100.29694992425095</v>
      </c>
      <c r="X106" s="1">
        <f t="shared" si="205"/>
        <v>100.18275807509151</v>
      </c>
      <c r="Y106" s="1">
        <f t="shared" si="206"/>
        <v>100.40805224208773</v>
      </c>
      <c r="Z106" s="1">
        <f t="shared" si="207"/>
        <v>100.03254059656587</v>
      </c>
      <c r="AA106" s="1">
        <f t="shared" si="208"/>
        <v>99.964335497324967</v>
      </c>
      <c r="AB106" s="1">
        <f t="shared" si="209"/>
        <v>100.05181716386346</v>
      </c>
      <c r="AC106" s="1">
        <f t="shared" si="210"/>
        <v>99.999293584766036</v>
      </c>
      <c r="AD106" s="1">
        <f t="shared" si="211"/>
        <v>100.02445242210185</v>
      </c>
      <c r="AE106" s="1">
        <f t="shared" si="212"/>
        <v>100.07354055350332</v>
      </c>
      <c r="AF106" s="1">
        <f t="shared" si="213"/>
        <v>0.99926513488883706</v>
      </c>
      <c r="AH106" s="1" t="str">
        <f t="shared" si="214"/>
        <v>C2022.35110</v>
      </c>
      <c r="AI106" s="1">
        <f t="shared" si="237"/>
        <v>99.9265134888837</v>
      </c>
      <c r="AJ106" s="1">
        <f t="shared" si="238"/>
        <v>99.837465649841562</v>
      </c>
      <c r="AK106" s="1">
        <f t="shared" si="239"/>
        <v>99.989865341369622</v>
      </c>
      <c r="AL106" s="1">
        <f t="shared" si="240"/>
        <v>99.874553719899723</v>
      </c>
      <c r="AM106" s="1">
        <f t="shared" si="241"/>
        <v>100.22324519499557</v>
      </c>
      <c r="AN106" s="1">
        <f t="shared" si="242"/>
        <v>100.10913726144206</v>
      </c>
      <c r="AO106" s="1">
        <f t="shared" si="243"/>
        <v>100.3342658676152</v>
      </c>
      <c r="AP106" s="1">
        <f t="shared" si="244"/>
        <v>99.959030172500462</v>
      </c>
      <c r="AQ106" s="1">
        <f t="shared" si="245"/>
        <v>99.890875194807393</v>
      </c>
      <c r="AR106" s="1">
        <f t="shared" si="246"/>
        <v>99.978292574121284</v>
      </c>
      <c r="AS106" s="1">
        <f t="shared" si="247"/>
        <v>99.925807592769658</v>
      </c>
      <c r="AT106" s="1">
        <f t="shared" si="248"/>
        <v>99.950947941753668</v>
      </c>
      <c r="AU106" s="1">
        <f t="shared" ref="AU106:AW106" si="278">AT106*O106</f>
        <v>100.19956829570484</v>
      </c>
      <c r="AV106" s="1">
        <f t="shared" si="278"/>
        <v>100.16338893484119</v>
      </c>
      <c r="AW106" s="1">
        <f t="shared" si="278"/>
        <v>100.18937713294112</v>
      </c>
      <c r="AX106" s="1" t="b">
        <f t="shared" si="173"/>
        <v>1</v>
      </c>
      <c r="AY106" s="1" t="s">
        <v>113</v>
      </c>
      <c r="AZ106" s="1" t="str">
        <f t="shared" si="197"/>
        <v>C20</v>
      </c>
      <c r="BA106" s="1" t="str">
        <f t="shared" si="198"/>
        <v>C2022</v>
      </c>
      <c r="BB106" s="1" t="s">
        <v>359</v>
      </c>
      <c r="BC106" s="1" t="s">
        <v>360</v>
      </c>
      <c r="BD106" s="1">
        <v>6.2540767340639909E-3</v>
      </c>
      <c r="BE106" s="1">
        <f t="shared" si="257"/>
        <v>0.62494808312695915</v>
      </c>
      <c r="BF106" s="1">
        <f t="shared" si="258"/>
        <v>0.624391171108587</v>
      </c>
      <c r="BG106" s="1">
        <f t="shared" si="259"/>
        <v>0.62534429047365114</v>
      </c>
      <c r="BH106" s="1">
        <f t="shared" si="260"/>
        <v>0.62462312274464904</v>
      </c>
      <c r="BI106" s="1">
        <f t="shared" si="261"/>
        <v>0.62680386598641247</v>
      </c>
      <c r="BJ106" s="1">
        <f t="shared" si="262"/>
        <v>0.62609022621400334</v>
      </c>
      <c r="BK106" s="1">
        <f t="shared" si="263"/>
        <v>0.62749819779204308</v>
      </c>
      <c r="BL106" s="1">
        <f t="shared" si="264"/>
        <v>0.6251514449614356</v>
      </c>
      <c r="BM106" s="1">
        <f t="shared" si="265"/>
        <v>0.62472519850113473</v>
      </c>
      <c r="BN106" s="1">
        <f t="shared" si="266"/>
        <v>0.62527191349925459</v>
      </c>
      <c r="BO106" s="1">
        <f t="shared" si="267"/>
        <v>0.62494366839849558</v>
      </c>
      <c r="BP106" s="1">
        <f t="shared" si="268"/>
        <v>0.62510089807016278</v>
      </c>
      <c r="BQ106" s="1">
        <f t="shared" si="269"/>
        <v>0.62665578884142348</v>
      </c>
      <c r="BR106" s="1">
        <f t="shared" si="270"/>
        <v>0.62642952034239285</v>
      </c>
      <c r="BS106" s="1">
        <f t="shared" si="271"/>
        <v>0.62659205252748984</v>
      </c>
      <c r="BV106" s="1" t="s">
        <v>113</v>
      </c>
      <c r="BW106" s="1">
        <f>((AJ106-AI106)/BE$154)*$BD106</f>
        <v>-5.5944297352579844E-6</v>
      </c>
      <c r="BX106" s="1">
        <f>((AK106-AJ106)/BF$154)*$BD106</f>
        <v>9.5797474891276366E-6</v>
      </c>
      <c r="BY106" s="1">
        <f>((AL106-AK106)/BG$154)*$BD106</f>
        <v>-7.2517170630425195E-6</v>
      </c>
      <c r="BZ106" s="1">
        <f>((AM106-AL106)/BH$154)*$BD106</f>
        <v>2.1879170211315733E-5</v>
      </c>
      <c r="CA106" s="1">
        <f>((AN106-AM106)/BI$154)*$BD106</f>
        <v>-7.1521900481886463E-6</v>
      </c>
      <c r="CB106" s="1">
        <f>((AO106-AN106)/BJ$154)*$BD106</f>
        <v>1.4103402633622398E-5</v>
      </c>
      <c r="CC106" s="1">
        <f>((AP106-AO106)/BK$154)*$BD106</f>
        <v>-2.3500257923495226E-5</v>
      </c>
      <c r="CD106" s="1">
        <f>((AQ106-AP106)/BL$154)*$BD106</f>
        <v>-4.2622041387072734E-6</v>
      </c>
      <c r="CE106" s="1">
        <f>((AR106-AQ106)/BM$154)*$BD106</f>
        <v>5.445031510280853E-6</v>
      </c>
      <c r="CF106" s="1">
        <f>((AS106-AR106)/BN$154)*$BD106</f>
        <v>-3.2664638633714856E-6</v>
      </c>
      <c r="CG106" s="1">
        <f>((AT106-AS106)/BO$154)*$BD106</f>
        <v>1.5610573641079695E-6</v>
      </c>
      <c r="CH106" s="1">
        <f>((AU106-AT106)/BP$154)*$BD106</f>
        <v>1.5433839760698136E-5</v>
      </c>
      <c r="CI106" s="1">
        <f>((AV106-AU106)/BQ$154)*$BD106</f>
        <v>-2.2381525848108769E-6</v>
      </c>
      <c r="CJ106" s="1">
        <f>((AW106-AV106)/BR$154)*$BD106</f>
        <v>1.6048167700803994E-6</v>
      </c>
    </row>
    <row r="107" spans="1:88" x14ac:dyDescent="0.35">
      <c r="A107" s="1" t="s">
        <v>114</v>
      </c>
      <c r="B107" s="1">
        <v>1</v>
      </c>
      <c r="C107" s="1">
        <v>1</v>
      </c>
      <c r="D107" s="1">
        <v>1</v>
      </c>
      <c r="E107" s="1">
        <v>1</v>
      </c>
      <c r="F107" s="1">
        <v>1</v>
      </c>
      <c r="G107" s="1">
        <v>1</v>
      </c>
      <c r="H107" s="1">
        <v>1.0015004569422312</v>
      </c>
      <c r="I107" s="1">
        <v>1</v>
      </c>
      <c r="J107" s="1">
        <v>1</v>
      </c>
      <c r="K107" s="1">
        <v>1</v>
      </c>
      <c r="L107" s="1">
        <v>1.0131253628326591</v>
      </c>
      <c r="M107" s="1">
        <v>1</v>
      </c>
      <c r="N107" s="1">
        <v>1</v>
      </c>
      <c r="O107" s="1">
        <v>1.0344211990557921</v>
      </c>
      <c r="P107" s="1">
        <v>1.010256678622335</v>
      </c>
      <c r="Q107" s="1">
        <v>1.014042813831264</v>
      </c>
      <c r="S107" s="1">
        <f t="shared" si="199"/>
        <v>100</v>
      </c>
      <c r="T107" s="1">
        <f t="shared" si="201"/>
        <v>100</v>
      </c>
      <c r="U107" s="1">
        <f t="shared" si="202"/>
        <v>100</v>
      </c>
      <c r="V107" s="1">
        <f t="shared" si="203"/>
        <v>100</v>
      </c>
      <c r="W107" s="1">
        <f t="shared" si="204"/>
        <v>100</v>
      </c>
      <c r="X107" s="1">
        <f t="shared" si="205"/>
        <v>100.15004569422312</v>
      </c>
      <c r="Y107" s="1">
        <f t="shared" si="206"/>
        <v>100.15004569422312</v>
      </c>
      <c r="Z107" s="1">
        <f t="shared" si="207"/>
        <v>100.15004569422312</v>
      </c>
      <c r="AA107" s="1">
        <f t="shared" si="208"/>
        <v>100.15004569422312</v>
      </c>
      <c r="AB107" s="1">
        <f t="shared" si="209"/>
        <v>101.46455138166719</v>
      </c>
      <c r="AC107" s="1">
        <f t="shared" si="210"/>
        <v>101.46455138166719</v>
      </c>
      <c r="AD107" s="1">
        <f t="shared" si="211"/>
        <v>101.46455138166719</v>
      </c>
      <c r="AE107" s="1">
        <f t="shared" si="212"/>
        <v>100.4161530768245</v>
      </c>
      <c r="AF107" s="1">
        <f t="shared" si="213"/>
        <v>0.99585571579797405</v>
      </c>
      <c r="AH107" s="1" t="str">
        <f t="shared" si="214"/>
        <v>C2023.35321</v>
      </c>
      <c r="AI107" s="1">
        <f t="shared" si="237"/>
        <v>99.585571579797403</v>
      </c>
      <c r="AJ107" s="1">
        <f t="shared" si="238"/>
        <v>99.585571579797403</v>
      </c>
      <c r="AK107" s="1">
        <f t="shared" si="239"/>
        <v>99.585571579797403</v>
      </c>
      <c r="AL107" s="1">
        <f t="shared" si="240"/>
        <v>99.585571579797403</v>
      </c>
      <c r="AM107" s="1">
        <f t="shared" si="241"/>
        <v>99.585571579797403</v>
      </c>
      <c r="AN107" s="1">
        <f t="shared" si="242"/>
        <v>99.734995442020377</v>
      </c>
      <c r="AO107" s="1">
        <f t="shared" si="243"/>
        <v>99.734995442020377</v>
      </c>
      <c r="AP107" s="1">
        <f t="shared" si="244"/>
        <v>99.734995442020377</v>
      </c>
      <c r="AQ107" s="1">
        <f t="shared" si="245"/>
        <v>99.734995442020377</v>
      </c>
      <c r="AR107" s="1">
        <f t="shared" si="246"/>
        <v>101.04405344431049</v>
      </c>
      <c r="AS107" s="1">
        <f t="shared" si="247"/>
        <v>101.04405344431049</v>
      </c>
      <c r="AT107" s="1">
        <f t="shared" si="248"/>
        <v>101.04405344431049</v>
      </c>
      <c r="AU107" s="1">
        <f t="shared" ref="AU107:AW107" si="279">AT107*O107</f>
        <v>104.5221109213212</v>
      </c>
      <c r="AV107" s="1">
        <f t="shared" si="279"/>
        <v>105.59416062196925</v>
      </c>
      <c r="AW107" s="1">
        <f t="shared" si="279"/>
        <v>107.07699976125215</v>
      </c>
      <c r="AX107" s="1" t="b">
        <f t="shared" si="173"/>
        <v>1</v>
      </c>
      <c r="AY107" s="1" t="s">
        <v>114</v>
      </c>
      <c r="AZ107" s="1" t="str">
        <f t="shared" si="197"/>
        <v>C20</v>
      </c>
      <c r="BA107" s="1" t="str">
        <f t="shared" si="198"/>
        <v>C2023</v>
      </c>
      <c r="BB107" s="1" t="s">
        <v>361</v>
      </c>
      <c r="BC107" s="1" t="s">
        <v>362</v>
      </c>
      <c r="BD107" s="1">
        <v>9.5245742561480308E-3</v>
      </c>
      <c r="BE107" s="1">
        <f t="shared" si="257"/>
        <v>0.94851017135272531</v>
      </c>
      <c r="BF107" s="1">
        <f t="shared" si="258"/>
        <v>0.94851017135272531</v>
      </c>
      <c r="BG107" s="1">
        <f t="shared" si="259"/>
        <v>0.94851017135272531</v>
      </c>
      <c r="BH107" s="1">
        <f t="shared" si="260"/>
        <v>0.94851017135272531</v>
      </c>
      <c r="BI107" s="1">
        <f t="shared" si="261"/>
        <v>0.94851017135272531</v>
      </c>
      <c r="BJ107" s="1">
        <f t="shared" si="262"/>
        <v>0.94993337002410849</v>
      </c>
      <c r="BK107" s="1">
        <f t="shared" si="263"/>
        <v>0.94993337002410849</v>
      </c>
      <c r="BL107" s="1">
        <f t="shared" si="264"/>
        <v>0.94993337002410849</v>
      </c>
      <c r="BM107" s="1">
        <f t="shared" si="265"/>
        <v>0.94993337002410849</v>
      </c>
      <c r="BN107" s="1">
        <f t="shared" si="266"/>
        <v>0.96240159017252547</v>
      </c>
      <c r="BO107" s="1">
        <f t="shared" si="267"/>
        <v>0.96240159017252547</v>
      </c>
      <c r="BP107" s="1">
        <f t="shared" si="268"/>
        <v>0.96240159017252547</v>
      </c>
      <c r="BQ107" s="1">
        <f t="shared" si="269"/>
        <v>0.99552860687946487</v>
      </c>
      <c r="BR107" s="1">
        <f t="shared" si="270"/>
        <v>1.0057394238595685</v>
      </c>
      <c r="BS107" s="1">
        <f t="shared" si="271"/>
        <v>1.0198628353515911</v>
      </c>
      <c r="BV107" s="1" t="s">
        <v>114</v>
      </c>
      <c r="BW107" s="1">
        <f>((AJ107-AI107)/BE$154)*$BD107</f>
        <v>0</v>
      </c>
      <c r="BX107" s="1">
        <f>((AK107-AJ107)/BF$154)*$BD107</f>
        <v>0</v>
      </c>
      <c r="BY107" s="1">
        <f>((AL107-AK107)/BG$154)*$BD107</f>
        <v>0</v>
      </c>
      <c r="BZ107" s="1">
        <f>((AM107-AL107)/BH$154)*$BD107</f>
        <v>0</v>
      </c>
      <c r="CA107" s="1">
        <f>((AN107-AM107)/BI$154)*$BD107</f>
        <v>1.4263481055293673E-5</v>
      </c>
      <c r="CB107" s="1">
        <f>((AO107-AN107)/BJ$154)*$BD107</f>
        <v>0</v>
      </c>
      <c r="CC107" s="1">
        <f>((AP107-AO107)/BK$154)*$BD107</f>
        <v>0</v>
      </c>
      <c r="CD107" s="1">
        <f>((AQ107-AP107)/BL$154)*$BD107</f>
        <v>0</v>
      </c>
      <c r="CE107" s="1">
        <f>((AR107-AQ107)/BM$154)*$BD107</f>
        <v>1.241777741944557E-4</v>
      </c>
      <c r="CF107" s="1">
        <f>((AS107-AR107)/BN$154)*$BD107</f>
        <v>0</v>
      </c>
      <c r="CG107" s="1">
        <f>((AT107-AS107)/BO$154)*$BD107</f>
        <v>0</v>
      </c>
      <c r="CH107" s="1">
        <f>((AU107-AT107)/BP$154)*$BD107</f>
        <v>3.2881863926062993E-4</v>
      </c>
      <c r="CI107" s="1">
        <f>((AV107-AU107)/BQ$154)*$BD107</f>
        <v>1.0100109610908916E-4</v>
      </c>
      <c r="CJ107" s="1">
        <f>((AW107-AV107)/BR$154)*$BD107</f>
        <v>1.3945230355218592E-4</v>
      </c>
    </row>
    <row r="108" spans="1:88" x14ac:dyDescent="0.35">
      <c r="A108" s="1" t="s">
        <v>115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1.0084823643542731</v>
      </c>
      <c r="I108" s="1">
        <v>1</v>
      </c>
      <c r="J108" s="1">
        <v>1.0010856155021304</v>
      </c>
      <c r="K108" s="1">
        <v>1</v>
      </c>
      <c r="L108" s="1">
        <v>1.0006603391586812</v>
      </c>
      <c r="M108" s="1">
        <v>1.0003386200046771</v>
      </c>
      <c r="N108" s="1">
        <v>0.99681898986283535</v>
      </c>
      <c r="O108" s="1">
        <v>1</v>
      </c>
      <c r="P108" s="1">
        <v>1</v>
      </c>
      <c r="Q108" s="1">
        <v>1.0089966737490639</v>
      </c>
      <c r="S108" s="1">
        <f t="shared" si="199"/>
        <v>100</v>
      </c>
      <c r="T108" s="1">
        <f t="shared" si="201"/>
        <v>100</v>
      </c>
      <c r="U108" s="1">
        <f t="shared" si="202"/>
        <v>100</v>
      </c>
      <c r="V108" s="1">
        <f t="shared" si="203"/>
        <v>100</v>
      </c>
      <c r="W108" s="1">
        <f t="shared" si="204"/>
        <v>100</v>
      </c>
      <c r="X108" s="1">
        <f t="shared" si="205"/>
        <v>100.84823643542731</v>
      </c>
      <c r="Y108" s="1">
        <f t="shared" si="206"/>
        <v>100.84823643542731</v>
      </c>
      <c r="Z108" s="1">
        <f t="shared" si="207"/>
        <v>100.95771884426412</v>
      </c>
      <c r="AA108" s="1">
        <f t="shared" si="208"/>
        <v>100.95771884426412</v>
      </c>
      <c r="AB108" s="1">
        <f t="shared" si="209"/>
        <v>101.02438517938812</v>
      </c>
      <c r="AC108" s="1">
        <f t="shared" si="210"/>
        <v>101.05859405717007</v>
      </c>
      <c r="AD108" s="1">
        <f t="shared" si="211"/>
        <v>100.73712564502661</v>
      </c>
      <c r="AE108" s="1">
        <f t="shared" si="212"/>
        <v>100.53600128674732</v>
      </c>
      <c r="AF108" s="1">
        <f t="shared" si="213"/>
        <v>0.99466856369969847</v>
      </c>
      <c r="AH108" s="1" t="str">
        <f t="shared" si="214"/>
        <v>C2023.35322</v>
      </c>
      <c r="AI108" s="1">
        <f t="shared" si="237"/>
        <v>99.466856369969847</v>
      </c>
      <c r="AJ108" s="1">
        <f t="shared" si="238"/>
        <v>99.466856369969847</v>
      </c>
      <c r="AK108" s="1">
        <f t="shared" si="239"/>
        <v>99.466856369969847</v>
      </c>
      <c r="AL108" s="1">
        <f t="shared" si="240"/>
        <v>99.466856369969847</v>
      </c>
      <c r="AM108" s="1">
        <f t="shared" si="241"/>
        <v>99.466856369969847</v>
      </c>
      <c r="AN108" s="1">
        <f t="shared" si="242"/>
        <v>100.31057048687408</v>
      </c>
      <c r="AO108" s="1">
        <f t="shared" si="243"/>
        <v>100.31057048687408</v>
      </c>
      <c r="AP108" s="1">
        <f t="shared" si="244"/>
        <v>100.41946919722217</v>
      </c>
      <c r="AQ108" s="1">
        <f t="shared" si="245"/>
        <v>100.41946919722217</v>
      </c>
      <c r="AR108" s="1">
        <f t="shared" si="246"/>
        <v>100.48578010502709</v>
      </c>
      <c r="AS108" s="1">
        <f t="shared" si="247"/>
        <v>100.51980660035623</v>
      </c>
      <c r="AT108" s="1">
        <f t="shared" si="248"/>
        <v>100.20005207657468</v>
      </c>
      <c r="AU108" s="1">
        <f t="shared" ref="AU108:AW108" si="280">AT108*O108</f>
        <v>100.20005207657468</v>
      </c>
      <c r="AV108" s="1">
        <f t="shared" si="280"/>
        <v>100.20005207657468</v>
      </c>
      <c r="AW108" s="1">
        <f t="shared" si="280"/>
        <v>101.10151925474683</v>
      </c>
      <c r="AX108" s="1" t="b">
        <f t="shared" si="173"/>
        <v>1</v>
      </c>
      <c r="AY108" s="1" t="s">
        <v>115</v>
      </c>
      <c r="AZ108" s="1" t="str">
        <f t="shared" si="197"/>
        <v>C20</v>
      </c>
      <c r="BA108" s="1" t="str">
        <f t="shared" si="198"/>
        <v>C2023</v>
      </c>
      <c r="BB108" s="1" t="s">
        <v>363</v>
      </c>
      <c r="BC108" s="1" t="s">
        <v>364</v>
      </c>
      <c r="BD108" s="1">
        <v>9.5245742561480308E-3</v>
      </c>
      <c r="BE108" s="1">
        <f t="shared" si="257"/>
        <v>0.94737945952138858</v>
      </c>
      <c r="BF108" s="1">
        <f t="shared" si="258"/>
        <v>0.94737945952138858</v>
      </c>
      <c r="BG108" s="1">
        <f t="shared" si="259"/>
        <v>0.94737945952138858</v>
      </c>
      <c r="BH108" s="1">
        <f t="shared" si="260"/>
        <v>0.94737945952138858</v>
      </c>
      <c r="BI108" s="1">
        <f t="shared" si="261"/>
        <v>0.94737945952138858</v>
      </c>
      <c r="BJ108" s="1">
        <f t="shared" si="262"/>
        <v>0.95541547727880338</v>
      </c>
      <c r="BK108" s="1">
        <f t="shared" si="263"/>
        <v>0.95541547727880338</v>
      </c>
      <c r="BL108" s="1">
        <f t="shared" si="264"/>
        <v>0.95645269113191245</v>
      </c>
      <c r="BM108" s="1">
        <f t="shared" si="265"/>
        <v>0.95645269113191245</v>
      </c>
      <c r="BN108" s="1">
        <f t="shared" si="266"/>
        <v>0.95708427429729304</v>
      </c>
      <c r="BO108" s="1">
        <f t="shared" si="267"/>
        <v>0.95740836217873193</v>
      </c>
      <c r="BP108" s="1">
        <f t="shared" si="268"/>
        <v>0.95436283647323517</v>
      </c>
      <c r="BQ108" s="1">
        <f t="shared" si="269"/>
        <v>0.95436283647323517</v>
      </c>
      <c r="BR108" s="1">
        <f t="shared" si="270"/>
        <v>0.95436283647323517</v>
      </c>
      <c r="BS108" s="1">
        <f t="shared" si="271"/>
        <v>0.96294892755121608</v>
      </c>
      <c r="BV108" s="1" t="s">
        <v>115</v>
      </c>
      <c r="BW108" s="1">
        <f>((AJ108-AI108)/BE$154)*$BD108</f>
        <v>0</v>
      </c>
      <c r="BX108" s="1">
        <f>((AK108-AJ108)/BF$154)*$BD108</f>
        <v>0</v>
      </c>
      <c r="BY108" s="1">
        <f>((AL108-AK108)/BG$154)*$BD108</f>
        <v>0</v>
      </c>
      <c r="BZ108" s="1">
        <f>((AM108-AL108)/BH$154)*$BD108</f>
        <v>0</v>
      </c>
      <c r="CA108" s="1">
        <f>((AN108-AM108)/BI$154)*$BD108</f>
        <v>8.0538008745815372E-5</v>
      </c>
      <c r="CB108" s="1">
        <f>((AO108-AN108)/BJ$154)*$BD108</f>
        <v>0</v>
      </c>
      <c r="CC108" s="1">
        <f>((AP108-AO108)/BK$154)*$BD108</f>
        <v>1.0386604312128245E-5</v>
      </c>
      <c r="CD108" s="1">
        <f>((AQ108-AP108)/BL$154)*$BD108</f>
        <v>0</v>
      </c>
      <c r="CE108" s="1">
        <f>((AR108-AQ108)/BM$154)*$BD108</f>
        <v>6.2902796679926504E-6</v>
      </c>
      <c r="CF108" s="1">
        <f>((AS108-AR108)/BN$154)*$BD108</f>
        <v>3.2250941471144908E-6</v>
      </c>
      <c r="CG108" s="1">
        <f>((AT108-AS108)/BO$154)*$BD108</f>
        <v>-3.0237551727579532E-5</v>
      </c>
      <c r="CH108" s="1">
        <f>((AU108-AT108)/BP$154)*$BD108</f>
        <v>0</v>
      </c>
      <c r="CI108" s="1">
        <f>((AV108-AU108)/BQ$154)*$BD108</f>
        <v>0</v>
      </c>
      <c r="CJ108" s="1">
        <f>((AW108-AV108)/BR$154)*$BD108</f>
        <v>8.4777688450811812E-5</v>
      </c>
    </row>
    <row r="109" spans="1:88" x14ac:dyDescent="0.35">
      <c r="A109" s="1" t="s">
        <v>116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  <c r="G109" s="1">
        <v>1</v>
      </c>
      <c r="H109" s="1">
        <v>0.9957474500295137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1.0047335297053581</v>
      </c>
      <c r="P109" s="1">
        <v>1.0016564073236525</v>
      </c>
      <c r="Q109" s="1">
        <v>1.0029517650527282</v>
      </c>
      <c r="S109" s="1">
        <f t="shared" si="199"/>
        <v>100</v>
      </c>
      <c r="T109" s="1">
        <f t="shared" si="201"/>
        <v>100</v>
      </c>
      <c r="U109" s="1">
        <f t="shared" si="202"/>
        <v>100</v>
      </c>
      <c r="V109" s="1">
        <f t="shared" si="203"/>
        <v>100</v>
      </c>
      <c r="W109" s="1">
        <f t="shared" si="204"/>
        <v>100</v>
      </c>
      <c r="X109" s="1">
        <f t="shared" si="205"/>
        <v>99.574745002951374</v>
      </c>
      <c r="Y109" s="1">
        <f t="shared" si="206"/>
        <v>99.574745002951374</v>
      </c>
      <c r="Z109" s="1">
        <f t="shared" si="207"/>
        <v>99.574745002951374</v>
      </c>
      <c r="AA109" s="1">
        <f t="shared" si="208"/>
        <v>99.574745002951374</v>
      </c>
      <c r="AB109" s="1">
        <f t="shared" si="209"/>
        <v>99.574745002951374</v>
      </c>
      <c r="AC109" s="1">
        <f t="shared" si="210"/>
        <v>99.574745002951374</v>
      </c>
      <c r="AD109" s="1">
        <f t="shared" si="211"/>
        <v>99.574745002951374</v>
      </c>
      <c r="AE109" s="1">
        <f t="shared" si="212"/>
        <v>99.751934585054997</v>
      </c>
      <c r="AF109" s="1">
        <f t="shared" si="213"/>
        <v>1.0024868230974857</v>
      </c>
      <c r="AH109" s="1" t="str">
        <f t="shared" si="214"/>
        <v>C2023.35323</v>
      </c>
      <c r="AI109" s="1">
        <f t="shared" si="237"/>
        <v>100.24868230974857</v>
      </c>
      <c r="AJ109" s="1">
        <f t="shared" si="238"/>
        <v>100.24868230974857</v>
      </c>
      <c r="AK109" s="1">
        <f t="shared" si="239"/>
        <v>100.24868230974857</v>
      </c>
      <c r="AL109" s="1">
        <f t="shared" si="240"/>
        <v>100.24868230974857</v>
      </c>
      <c r="AM109" s="1">
        <f t="shared" si="241"/>
        <v>100.24868230974857</v>
      </c>
      <c r="AN109" s="1">
        <f t="shared" si="242"/>
        <v>99.822369778750968</v>
      </c>
      <c r="AO109" s="1">
        <f t="shared" si="243"/>
        <v>99.822369778750968</v>
      </c>
      <c r="AP109" s="1">
        <f t="shared" si="244"/>
        <v>99.822369778750968</v>
      </c>
      <c r="AQ109" s="1">
        <f t="shared" si="245"/>
        <v>99.822369778750968</v>
      </c>
      <c r="AR109" s="1">
        <f t="shared" si="246"/>
        <v>99.822369778750968</v>
      </c>
      <c r="AS109" s="1">
        <f t="shared" si="247"/>
        <v>99.822369778750968</v>
      </c>
      <c r="AT109" s="1">
        <f t="shared" si="248"/>
        <v>99.822369778750968</v>
      </c>
      <c r="AU109" s="1">
        <f t="shared" ref="AU109:AW109" si="281">AT109*O109</f>
        <v>100.29488193135793</v>
      </c>
      <c r="AV109" s="1">
        <f t="shared" si="281"/>
        <v>100.4610111083139</v>
      </c>
      <c r="AW109" s="1">
        <f t="shared" si="281"/>
        <v>100.75754841006516</v>
      </c>
      <c r="AX109" s="1" t="b">
        <f t="shared" si="173"/>
        <v>1</v>
      </c>
      <c r="AY109" s="1" t="s">
        <v>116</v>
      </c>
      <c r="AZ109" s="1" t="str">
        <f t="shared" si="197"/>
        <v>C20</v>
      </c>
      <c r="BA109" s="1" t="str">
        <f t="shared" si="198"/>
        <v>C2023</v>
      </c>
      <c r="BB109" s="1" t="s">
        <v>365</v>
      </c>
      <c r="BC109" s="1" t="s">
        <v>366</v>
      </c>
      <c r="BD109" s="1">
        <v>8.1639207909840264E-3</v>
      </c>
      <c r="BE109" s="1">
        <f t="shared" si="257"/>
        <v>0.8184223017773089</v>
      </c>
      <c r="BF109" s="1">
        <f t="shared" si="258"/>
        <v>0.8184223017773089</v>
      </c>
      <c r="BG109" s="1">
        <f t="shared" si="259"/>
        <v>0.8184223017773089</v>
      </c>
      <c r="BH109" s="1">
        <f t="shared" si="260"/>
        <v>0.8184223017773089</v>
      </c>
      <c r="BI109" s="1">
        <f t="shared" si="261"/>
        <v>0.8184223017773089</v>
      </c>
      <c r="BJ109" s="1">
        <f t="shared" si="262"/>
        <v>0.81494192004204058</v>
      </c>
      <c r="BK109" s="1">
        <f t="shared" si="263"/>
        <v>0.81494192004204058</v>
      </c>
      <c r="BL109" s="1">
        <f t="shared" si="264"/>
        <v>0.81494192004204058</v>
      </c>
      <c r="BM109" s="1">
        <f t="shared" si="265"/>
        <v>0.81494192004204058</v>
      </c>
      <c r="BN109" s="1">
        <f t="shared" si="266"/>
        <v>0.81494192004204058</v>
      </c>
      <c r="BO109" s="1">
        <f t="shared" si="267"/>
        <v>0.81494192004204058</v>
      </c>
      <c r="BP109" s="1">
        <f t="shared" si="268"/>
        <v>0.81494192004204058</v>
      </c>
      <c r="BQ109" s="1">
        <f t="shared" si="269"/>
        <v>0.81879947182870116</v>
      </c>
      <c r="BR109" s="1">
        <f t="shared" si="270"/>
        <v>0.82015573727044111</v>
      </c>
      <c r="BS109" s="1">
        <f t="shared" si="271"/>
        <v>0.82257664431351041</v>
      </c>
      <c r="BV109" s="1" t="s">
        <v>116</v>
      </c>
      <c r="BW109" s="1">
        <f>((AJ109-AI109)/BE$154)*$BD109</f>
        <v>0</v>
      </c>
      <c r="BX109" s="1">
        <f>((AK109-AJ109)/BF$154)*$BD109</f>
        <v>0</v>
      </c>
      <c r="BY109" s="1">
        <f>((AL109-AK109)/BG$154)*$BD109</f>
        <v>0</v>
      </c>
      <c r="BZ109" s="1">
        <f>((AM109-AL109)/BH$154)*$BD109</f>
        <v>0</v>
      </c>
      <c r="CA109" s="1">
        <f>((AN109-AM109)/BI$154)*$BD109</f>
        <v>-3.4880835644643432E-5</v>
      </c>
      <c r="CB109" s="1">
        <f>((AO109-AN109)/BJ$154)*$BD109</f>
        <v>0</v>
      </c>
      <c r="CC109" s="1">
        <f>((AP109-AO109)/BK$154)*$BD109</f>
        <v>0</v>
      </c>
      <c r="CD109" s="1">
        <f>((AQ109-AP109)/BL$154)*$BD109</f>
        <v>0</v>
      </c>
      <c r="CE109" s="1">
        <f>((AR109-AQ109)/BM$154)*$BD109</f>
        <v>0</v>
      </c>
      <c r="CF109" s="1">
        <f>((AS109-AR109)/BN$154)*$BD109</f>
        <v>0</v>
      </c>
      <c r="CG109" s="1">
        <f>((AT109-AS109)/BO$154)*$BD109</f>
        <v>0</v>
      </c>
      <c r="CH109" s="1">
        <f>((AU109-AT109)/BP$154)*$BD109</f>
        <v>3.8290044062478276E-5</v>
      </c>
      <c r="CI109" s="1">
        <f>((AV109-AU109)/BQ$154)*$BD109</f>
        <v>1.3415605871452237E-5</v>
      </c>
      <c r="CJ109" s="1">
        <f>((AW109-AV109)/BR$154)*$BD109</f>
        <v>2.3903648494021891E-5</v>
      </c>
    </row>
    <row r="110" spans="1:88" x14ac:dyDescent="0.35">
      <c r="A110" s="1" t="s">
        <v>117</v>
      </c>
      <c r="B110" s="1">
        <v>1.0003401946453376</v>
      </c>
      <c r="C110" s="1">
        <v>1</v>
      </c>
      <c r="D110" s="1">
        <v>0.98885404486935136</v>
      </c>
      <c r="E110" s="1">
        <v>0.99768405488963041</v>
      </c>
      <c r="F110" s="1">
        <v>1.0035285135695646</v>
      </c>
      <c r="G110" s="1">
        <v>1.0006512231729878</v>
      </c>
      <c r="H110" s="1">
        <v>0.9977033055108776</v>
      </c>
      <c r="I110" s="1">
        <v>0.97835537034543618</v>
      </c>
      <c r="J110" s="1">
        <v>1.0217911418722725</v>
      </c>
      <c r="K110" s="1">
        <v>1.0008096827858113</v>
      </c>
      <c r="L110" s="1">
        <v>1.0017955606366433</v>
      </c>
      <c r="M110" s="1">
        <v>0.97660569818825071</v>
      </c>
      <c r="N110" s="1">
        <v>0.99739135012049562</v>
      </c>
      <c r="O110" s="1">
        <v>0.9896973947866784</v>
      </c>
      <c r="P110" s="1">
        <v>1.0228553123598405</v>
      </c>
      <c r="Q110" s="1">
        <v>1.004430151917697</v>
      </c>
      <c r="S110" s="1">
        <f t="shared" si="199"/>
        <v>100</v>
      </c>
      <c r="T110" s="1">
        <f t="shared" si="201"/>
        <v>98.88540448693513</v>
      </c>
      <c r="U110" s="1">
        <f t="shared" si="202"/>
        <v>98.65639131792669</v>
      </c>
      <c r="V110" s="1">
        <f t="shared" si="203"/>
        <v>99.004501733416276</v>
      </c>
      <c r="W110" s="1">
        <f t="shared" si="204"/>
        <v>99.068975759175189</v>
      </c>
      <c r="X110" s="1">
        <f t="shared" si="205"/>
        <v>98.841444588506093</v>
      </c>
      <c r="Y110" s="1">
        <f t="shared" si="206"/>
        <v>96.70205812586579</v>
      </c>
      <c r="Z110" s="1">
        <f t="shared" si="207"/>
        <v>98.809306393827271</v>
      </c>
      <c r="AA110" s="1">
        <f t="shared" si="208"/>
        <v>98.889310588292304</v>
      </c>
      <c r="AB110" s="1">
        <f t="shared" si="209"/>
        <v>99.066872341769439</v>
      </c>
      <c r="AC110" s="1">
        <f t="shared" si="210"/>
        <v>96.749272030660052</v>
      </c>
      <c r="AD110" s="1">
        <f t="shared" si="211"/>
        <v>96.496887053835138</v>
      </c>
      <c r="AE110" s="1">
        <f t="shared" si="212"/>
        <v>98.430868701684119</v>
      </c>
      <c r="AF110" s="1">
        <f t="shared" si="213"/>
        <v>1.0159414553484383</v>
      </c>
      <c r="AH110" s="1" t="str">
        <f t="shared" si="214"/>
        <v>C2029.35420</v>
      </c>
      <c r="AI110" s="1">
        <f t="shared" si="237"/>
        <v>101.59414553484383</v>
      </c>
      <c r="AJ110" s="1">
        <f t="shared" si="238"/>
        <v>100.46178174717586</v>
      </c>
      <c r="AK110" s="1">
        <f t="shared" si="239"/>
        <v>100.22911777495948</v>
      </c>
      <c r="AL110" s="1">
        <f t="shared" si="240"/>
        <v>100.58277757709391</v>
      </c>
      <c r="AM110" s="1">
        <f t="shared" si="241"/>
        <v>100.6482794126556</v>
      </c>
      <c r="AN110" s="1">
        <f t="shared" si="242"/>
        <v>100.4171210639889</v>
      </c>
      <c r="AO110" s="1">
        <f t="shared" si="243"/>
        <v>98.243629667581359</v>
      </c>
      <c r="AP110" s="1">
        <f t="shared" si="244"/>
        <v>100.38447053971463</v>
      </c>
      <c r="AQ110" s="1">
        <f t="shared" si="245"/>
        <v>100.46575011747341</v>
      </c>
      <c r="AR110" s="1">
        <f t="shared" si="246"/>
        <v>100.64614246371519</v>
      </c>
      <c r="AS110" s="1">
        <f t="shared" si="247"/>
        <v>98.291596230730732</v>
      </c>
      <c r="AT110" s="1">
        <f t="shared" si="248"/>
        <v>98.035187870067148</v>
      </c>
      <c r="AU110" s="1">
        <f t="shared" ref="AU110:AW110" si="282">AT110*O110</f>
        <v>97.025170032428036</v>
      </c>
      <c r="AV110" s="1">
        <f t="shared" si="282"/>
        <v>99.242710600285818</v>
      </c>
      <c r="AW110" s="1">
        <f t="shared" si="282"/>
        <v>99.682370884969131</v>
      </c>
      <c r="AX110" s="1" t="b">
        <f t="shared" si="173"/>
        <v>1</v>
      </c>
      <c r="AY110" s="1" t="s">
        <v>117</v>
      </c>
      <c r="AZ110" s="1" t="str">
        <f t="shared" si="197"/>
        <v>C20</v>
      </c>
      <c r="BA110" s="1" t="str">
        <f t="shared" si="198"/>
        <v>C2029</v>
      </c>
      <c r="BB110" s="1" t="s">
        <v>367</v>
      </c>
      <c r="BC110" s="1" t="s">
        <v>368</v>
      </c>
      <c r="BD110" s="1">
        <v>1.3705841703750997E-3</v>
      </c>
      <c r="BE110" s="1">
        <f t="shared" si="257"/>
        <v>0.13924332767284106</v>
      </c>
      <c r="BF110" s="1">
        <f t="shared" si="258"/>
        <v>0.13769132779035737</v>
      </c>
      <c r="BG110" s="1">
        <f t="shared" si="259"/>
        <v>0.13737244223302097</v>
      </c>
      <c r="BH110" s="1">
        <f t="shared" si="260"/>
        <v>0.13785716275952442</v>
      </c>
      <c r="BI110" s="1">
        <f t="shared" si="261"/>
        <v>0.13794693853847578</v>
      </c>
      <c r="BJ110" s="1">
        <f t="shared" si="262"/>
        <v>0.13763011656494317</v>
      </c>
      <c r="BK110" s="1">
        <f t="shared" si="263"/>
        <v>0.13465116366258054</v>
      </c>
      <c r="BL110" s="1">
        <f t="shared" si="264"/>
        <v>0.13758536627321841</v>
      </c>
      <c r="BM110" s="1">
        <f t="shared" si="265"/>
        <v>0.13769676677586937</v>
      </c>
      <c r="BN110" s="1">
        <f t="shared" si="266"/>
        <v>0.13794400967008519</v>
      </c>
      <c r="BO110" s="1">
        <f t="shared" si="267"/>
        <v>0.13471690587474036</v>
      </c>
      <c r="BP110" s="1">
        <f t="shared" si="268"/>
        <v>0.13436547663446302</v>
      </c>
      <c r="BQ110" s="1">
        <f t="shared" si="269"/>
        <v>0.13298116217439837</v>
      </c>
      <c r="BR110" s="1">
        <f t="shared" si="270"/>
        <v>0.13602048817386886</v>
      </c>
      <c r="BS110" s="1">
        <f t="shared" si="271"/>
        <v>0.13662307960039841</v>
      </c>
      <c r="BV110" s="1" t="s">
        <v>117</v>
      </c>
      <c r="BW110" s="1">
        <f>((AJ110-AI110)/BE$154)*$BD110</f>
        <v>-1.5590531368066794E-5</v>
      </c>
      <c r="BX110" s="1">
        <f>((AK110-AJ110)/BF$154)*$BD110</f>
        <v>-3.2051002520618034E-6</v>
      </c>
      <c r="BY110" s="1">
        <f>((AL110-AK110)/BG$154)*$BD110</f>
        <v>4.8741173120930743E-6</v>
      </c>
      <c r="BZ110" s="1">
        <f>((AM110-AL110)/BH$154)*$BD110</f>
        <v>9.007110561727909E-7</v>
      </c>
      <c r="CA110" s="1">
        <f>((AN110-AM110)/BI$154)*$BD110</f>
        <v>-3.1752307729401379E-6</v>
      </c>
      <c r="CB110" s="1">
        <f>((AO110-AN110)/BJ$154)*$BD110</f>
        <v>-2.9839645106411002E-5</v>
      </c>
      <c r="CC110" s="1">
        <f>((AP110-AO110)/BK$154)*$BD110</f>
        <v>2.9382948749628421E-5</v>
      </c>
      <c r="CD110" s="1">
        <f>((AQ110-AP110)/BL$154)*$BD110</f>
        <v>1.1139369535592308E-6</v>
      </c>
      <c r="CE110" s="1">
        <f>((AR110-AQ110)/BM$154)*$BD110</f>
        <v>2.462426226329805E-6</v>
      </c>
      <c r="CF110" s="1">
        <f>((AS110-AR110)/BN$154)*$BD110</f>
        <v>-3.2113862191603007E-5</v>
      </c>
      <c r="CG110" s="1">
        <f>((AT110-AS110)/BO$154)*$BD110</f>
        <v>-3.4891709540626058E-6</v>
      </c>
      <c r="CH110" s="1">
        <f>((AU110-AT110)/BP$154)*$BD110</f>
        <v>-1.3740699957805779E-5</v>
      </c>
      <c r="CI110" s="1">
        <f>((AV110-AU110)/BQ$154)*$BD110</f>
        <v>3.0063731234976683E-5</v>
      </c>
      <c r="CJ110" s="1">
        <f>((AW110-AV110)/BR$154)*$BD110</f>
        <v>5.9498912552260686E-6</v>
      </c>
    </row>
    <row r="111" spans="1:88" x14ac:dyDescent="0.35">
      <c r="A111" s="1" t="s">
        <v>118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1.0000275938189851</v>
      </c>
      <c r="S111" s="1">
        <f t="shared" si="199"/>
        <v>100</v>
      </c>
      <c r="T111" s="1">
        <f t="shared" si="201"/>
        <v>100</v>
      </c>
      <c r="U111" s="1">
        <f t="shared" si="202"/>
        <v>100</v>
      </c>
      <c r="V111" s="1">
        <f t="shared" si="203"/>
        <v>100</v>
      </c>
      <c r="W111" s="1">
        <f t="shared" si="204"/>
        <v>100</v>
      </c>
      <c r="X111" s="1">
        <f t="shared" si="205"/>
        <v>100</v>
      </c>
      <c r="Y111" s="1">
        <f t="shared" si="206"/>
        <v>100</v>
      </c>
      <c r="Z111" s="1">
        <f t="shared" si="207"/>
        <v>100</v>
      </c>
      <c r="AA111" s="1">
        <f t="shared" si="208"/>
        <v>100</v>
      </c>
      <c r="AB111" s="1">
        <f t="shared" si="209"/>
        <v>100</v>
      </c>
      <c r="AC111" s="1">
        <f t="shared" si="210"/>
        <v>100</v>
      </c>
      <c r="AD111" s="1">
        <f t="shared" si="211"/>
        <v>100</v>
      </c>
      <c r="AE111" s="1">
        <f t="shared" si="212"/>
        <v>100</v>
      </c>
      <c r="AF111" s="1">
        <f t="shared" si="213"/>
        <v>1</v>
      </c>
      <c r="AH111" s="1" t="str">
        <f t="shared" si="214"/>
        <v>C2029.35450</v>
      </c>
      <c r="AI111" s="1">
        <f t="shared" si="237"/>
        <v>100</v>
      </c>
      <c r="AJ111" s="1">
        <f t="shared" si="238"/>
        <v>100</v>
      </c>
      <c r="AK111" s="1">
        <f t="shared" si="239"/>
        <v>100</v>
      </c>
      <c r="AL111" s="1">
        <f t="shared" si="240"/>
        <v>100</v>
      </c>
      <c r="AM111" s="1">
        <f t="shared" si="241"/>
        <v>100</v>
      </c>
      <c r="AN111" s="1">
        <f t="shared" si="242"/>
        <v>100</v>
      </c>
      <c r="AO111" s="1">
        <f t="shared" si="243"/>
        <v>100</v>
      </c>
      <c r="AP111" s="1">
        <f t="shared" si="244"/>
        <v>100</v>
      </c>
      <c r="AQ111" s="1">
        <f t="shared" si="245"/>
        <v>100</v>
      </c>
      <c r="AR111" s="1">
        <f t="shared" si="246"/>
        <v>100</v>
      </c>
      <c r="AS111" s="1">
        <f t="shared" si="247"/>
        <v>100</v>
      </c>
      <c r="AT111" s="1">
        <f t="shared" si="248"/>
        <v>100</v>
      </c>
      <c r="AU111" s="1">
        <f t="shared" ref="AU111:AW111" si="283">AT111*O111</f>
        <v>100</v>
      </c>
      <c r="AV111" s="1">
        <f t="shared" si="283"/>
        <v>100</v>
      </c>
      <c r="AW111" s="1">
        <f t="shared" si="283"/>
        <v>100.00275938189851</v>
      </c>
      <c r="AX111" s="1" t="b">
        <f t="shared" si="173"/>
        <v>1</v>
      </c>
      <c r="AY111" s="1" t="s">
        <v>118</v>
      </c>
      <c r="AZ111" s="1" t="str">
        <f t="shared" si="197"/>
        <v>C20</v>
      </c>
      <c r="BA111" s="1" t="str">
        <f t="shared" si="198"/>
        <v>C2029</v>
      </c>
      <c r="BB111" s="1" t="s">
        <v>369</v>
      </c>
      <c r="BC111" s="1" t="s">
        <v>370</v>
      </c>
      <c r="BD111" s="1">
        <v>1.3705841703750997E-3</v>
      </c>
      <c r="BE111" s="1">
        <f t="shared" si="257"/>
        <v>0.13705841703750996</v>
      </c>
      <c r="BF111" s="1">
        <f t="shared" si="258"/>
        <v>0.13705841703750996</v>
      </c>
      <c r="BG111" s="1">
        <f t="shared" si="259"/>
        <v>0.13705841703750996</v>
      </c>
      <c r="BH111" s="1">
        <f t="shared" si="260"/>
        <v>0.13705841703750996</v>
      </c>
      <c r="BI111" s="1">
        <f t="shared" si="261"/>
        <v>0.13705841703750996</v>
      </c>
      <c r="BJ111" s="1">
        <f t="shared" si="262"/>
        <v>0.13705841703750996</v>
      </c>
      <c r="BK111" s="1">
        <f t="shared" si="263"/>
        <v>0.13705841703750996</v>
      </c>
      <c r="BL111" s="1">
        <f t="shared" si="264"/>
        <v>0.13705841703750996</v>
      </c>
      <c r="BM111" s="1">
        <f t="shared" si="265"/>
        <v>0.13705841703750996</v>
      </c>
      <c r="BN111" s="1">
        <f t="shared" si="266"/>
        <v>0.13705841703750996</v>
      </c>
      <c r="BO111" s="1">
        <f t="shared" si="267"/>
        <v>0.13705841703750996</v>
      </c>
      <c r="BP111" s="1">
        <f t="shared" si="268"/>
        <v>0.13705841703750996</v>
      </c>
      <c r="BQ111" s="1">
        <f t="shared" si="269"/>
        <v>0.13705841703750996</v>
      </c>
      <c r="BR111" s="1">
        <f t="shared" si="270"/>
        <v>0.13705841703750996</v>
      </c>
      <c r="BS111" s="1">
        <f t="shared" si="271"/>
        <v>0.13706219900266009</v>
      </c>
      <c r="BV111" s="1" t="s">
        <v>118</v>
      </c>
      <c r="BW111" s="1">
        <f>((AJ111-AI111)/BE$154)*$BD111</f>
        <v>0</v>
      </c>
      <c r="BX111" s="1">
        <f>((AK111-AJ111)/BF$154)*$BD111</f>
        <v>0</v>
      </c>
      <c r="BY111" s="1">
        <f>((AL111-AK111)/BG$154)*$BD111</f>
        <v>0</v>
      </c>
      <c r="BZ111" s="1">
        <f>((AM111-AL111)/BH$154)*$BD111</f>
        <v>0</v>
      </c>
      <c r="CA111" s="1">
        <f>((AN111-AM111)/BI$154)*$BD111</f>
        <v>0</v>
      </c>
      <c r="CB111" s="1">
        <f>((AO111-AN111)/BJ$154)*$BD111</f>
        <v>0</v>
      </c>
      <c r="CC111" s="1">
        <f>((AP111-AO111)/BK$154)*$BD111</f>
        <v>0</v>
      </c>
      <c r="CD111" s="1">
        <f>((AQ111-AP111)/BL$154)*$BD111</f>
        <v>0</v>
      </c>
      <c r="CE111" s="1">
        <f>((AR111-AQ111)/BM$154)*$BD111</f>
        <v>0</v>
      </c>
      <c r="CF111" s="1">
        <f>((AS111-AR111)/BN$154)*$BD111</f>
        <v>0</v>
      </c>
      <c r="CG111" s="1">
        <f>((AT111-AS111)/BO$154)*$BD111</f>
        <v>0</v>
      </c>
      <c r="CH111" s="1">
        <f>((AU111-AT111)/BP$154)*$BD111</f>
        <v>0</v>
      </c>
      <c r="CI111" s="1">
        <f>((AV111-AU111)/BQ$154)*$BD111</f>
        <v>0</v>
      </c>
      <c r="CJ111" s="1">
        <f>((AW111-AV111)/BR$154)*$BD111</f>
        <v>3.7342518302790797E-8</v>
      </c>
    </row>
    <row r="112" spans="1:88" x14ac:dyDescent="0.35">
      <c r="A112" s="1" t="s">
        <v>119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1.0085631201411021</v>
      </c>
      <c r="L112" s="1">
        <v>1.0125045040042477</v>
      </c>
      <c r="M112" s="1">
        <v>1</v>
      </c>
      <c r="N112" s="1">
        <v>1.0096961945493159</v>
      </c>
      <c r="O112" s="1">
        <v>1</v>
      </c>
      <c r="P112" s="1">
        <v>1</v>
      </c>
      <c r="Q112" s="1">
        <v>1</v>
      </c>
      <c r="S112" s="1">
        <f t="shared" si="199"/>
        <v>100</v>
      </c>
      <c r="T112" s="1">
        <f t="shared" si="201"/>
        <v>100</v>
      </c>
      <c r="U112" s="1">
        <f t="shared" si="202"/>
        <v>100</v>
      </c>
      <c r="V112" s="1">
        <f t="shared" si="203"/>
        <v>100</v>
      </c>
      <c r="W112" s="1">
        <f t="shared" si="204"/>
        <v>100</v>
      </c>
      <c r="X112" s="1">
        <f t="shared" si="205"/>
        <v>100</v>
      </c>
      <c r="Y112" s="1">
        <f t="shared" si="206"/>
        <v>100</v>
      </c>
      <c r="Z112" s="1">
        <f t="shared" si="207"/>
        <v>100</v>
      </c>
      <c r="AA112" s="1">
        <f t="shared" si="208"/>
        <v>100.8563120141102</v>
      </c>
      <c r="AB112" s="1">
        <f t="shared" si="209"/>
        <v>102.1174701715443</v>
      </c>
      <c r="AC112" s="1">
        <f t="shared" si="210"/>
        <v>102.1174701715443</v>
      </c>
      <c r="AD112" s="1">
        <f t="shared" si="211"/>
        <v>103.10762102921156</v>
      </c>
      <c r="AE112" s="1">
        <f t="shared" si="212"/>
        <v>100.68323944886752</v>
      </c>
      <c r="AF112" s="1">
        <f t="shared" si="213"/>
        <v>0.99321397034295356</v>
      </c>
      <c r="AH112" s="1" t="str">
        <f t="shared" si="214"/>
        <v>C2029.35460</v>
      </c>
      <c r="AI112" s="1">
        <f t="shared" si="237"/>
        <v>99.321397034295359</v>
      </c>
      <c r="AJ112" s="1">
        <f t="shared" si="238"/>
        <v>99.321397034295359</v>
      </c>
      <c r="AK112" s="1">
        <f t="shared" si="239"/>
        <v>99.321397034295359</v>
      </c>
      <c r="AL112" s="1">
        <f t="shared" si="240"/>
        <v>99.321397034295359</v>
      </c>
      <c r="AM112" s="1">
        <f t="shared" si="241"/>
        <v>99.321397034295359</v>
      </c>
      <c r="AN112" s="1">
        <f t="shared" si="242"/>
        <v>99.321397034295359</v>
      </c>
      <c r="AO112" s="1">
        <f t="shared" si="243"/>
        <v>99.321397034295359</v>
      </c>
      <c r="AP112" s="1">
        <f t="shared" si="244"/>
        <v>99.321397034295359</v>
      </c>
      <c r="AQ112" s="1">
        <f t="shared" si="245"/>
        <v>100.17189808968212</v>
      </c>
      <c r="AR112" s="1">
        <f t="shared" si="246"/>
        <v>101.42449799045764</v>
      </c>
      <c r="AS112" s="1">
        <f t="shared" si="247"/>
        <v>101.42449799045764</v>
      </c>
      <c r="AT112" s="1">
        <f t="shared" si="248"/>
        <v>102.40792965503982</v>
      </c>
      <c r="AU112" s="1">
        <f t="shared" ref="AU112:AW112" si="284">AT112*O112</f>
        <v>102.40792965503982</v>
      </c>
      <c r="AV112" s="1">
        <f t="shared" si="284"/>
        <v>102.40792965503982</v>
      </c>
      <c r="AW112" s="1">
        <f t="shared" si="284"/>
        <v>102.40792965503982</v>
      </c>
      <c r="AX112" s="1" t="b">
        <f t="shared" si="173"/>
        <v>1</v>
      </c>
      <c r="AY112" s="1" t="s">
        <v>119</v>
      </c>
      <c r="AZ112" s="1" t="str">
        <f t="shared" si="197"/>
        <v>C20</v>
      </c>
      <c r="BA112" s="1" t="str">
        <f t="shared" si="198"/>
        <v>C2029</v>
      </c>
      <c r="BB112" s="1" t="s">
        <v>371</v>
      </c>
      <c r="BC112" s="1" t="s">
        <v>372</v>
      </c>
      <c r="BD112" s="1">
        <v>1.3705841703750997E-3</v>
      </c>
      <c r="BE112" s="1">
        <f t="shared" si="257"/>
        <v>0.1361283345547456</v>
      </c>
      <c r="BF112" s="1">
        <f t="shared" si="258"/>
        <v>0.1361283345547456</v>
      </c>
      <c r="BG112" s="1">
        <f t="shared" si="259"/>
        <v>0.1361283345547456</v>
      </c>
      <c r="BH112" s="1">
        <f t="shared" si="260"/>
        <v>0.1361283345547456</v>
      </c>
      <c r="BI112" s="1">
        <f t="shared" si="261"/>
        <v>0.1361283345547456</v>
      </c>
      <c r="BJ112" s="1">
        <f t="shared" si="262"/>
        <v>0.1361283345547456</v>
      </c>
      <c r="BK112" s="1">
        <f t="shared" si="263"/>
        <v>0.1361283345547456</v>
      </c>
      <c r="BL112" s="1">
        <f t="shared" si="264"/>
        <v>0.1361283345547456</v>
      </c>
      <c r="BM112" s="1">
        <f t="shared" si="265"/>
        <v>0.13729401783814599</v>
      </c>
      <c r="BN112" s="1">
        <f t="shared" si="266"/>
        <v>0.13901081143396235</v>
      </c>
      <c r="BO112" s="1">
        <f t="shared" si="267"/>
        <v>0.13901081143396235</v>
      </c>
      <c r="BP112" s="1">
        <f t="shared" si="268"/>
        <v>0.14035868730608433</v>
      </c>
      <c r="BQ112" s="1">
        <f t="shared" si="269"/>
        <v>0.14035868730608433</v>
      </c>
      <c r="BR112" s="1">
        <f t="shared" si="270"/>
        <v>0.14035868730608433</v>
      </c>
      <c r="BS112" s="1">
        <f t="shared" si="271"/>
        <v>0.14035868730608433</v>
      </c>
      <c r="BV112" s="1" t="s">
        <v>119</v>
      </c>
      <c r="BW112" s="1">
        <f>((AJ112-AI112)/BE$154)*$BD112</f>
        <v>0</v>
      </c>
      <c r="BX112" s="1">
        <f>((AK112-AJ112)/BF$154)*$BD112</f>
        <v>0</v>
      </c>
      <c r="BY112" s="1">
        <f>((AL112-AK112)/BG$154)*$BD112</f>
        <v>0</v>
      </c>
      <c r="BZ112" s="1">
        <f>((AM112-AL112)/BH$154)*$BD112</f>
        <v>0</v>
      </c>
      <c r="CA112" s="1">
        <f>((AN112-AM112)/BI$154)*$BD112</f>
        <v>0</v>
      </c>
      <c r="CB112" s="1">
        <f>((AO112-AN112)/BJ$154)*$BD112</f>
        <v>0</v>
      </c>
      <c r="CC112" s="1">
        <f>((AP112-AO112)/BK$154)*$BD112</f>
        <v>0</v>
      </c>
      <c r="CD112" s="1">
        <f>((AQ112-AP112)/BL$154)*$BD112</f>
        <v>1.1656120525726008E-5</v>
      </c>
      <c r="CE112" s="1">
        <f>((AR112-AQ112)/BM$154)*$BD112</f>
        <v>1.7098479569823551E-5</v>
      </c>
      <c r="CF112" s="1">
        <f>((AS112-AR112)/BN$154)*$BD112</f>
        <v>0</v>
      </c>
      <c r="CG112" s="1">
        <f>((AT112-AS112)/BO$154)*$BD112</f>
        <v>1.3382407619179168E-5</v>
      </c>
      <c r="CH112" s="1">
        <f>((AU112-AT112)/BP$154)*$BD112</f>
        <v>0</v>
      </c>
      <c r="CI112" s="1">
        <f>((AV112-AU112)/BQ$154)*$BD112</f>
        <v>0</v>
      </c>
      <c r="CJ112" s="1">
        <f>((AW112-AV112)/BR$154)*$BD112</f>
        <v>0</v>
      </c>
    </row>
    <row r="113" spans="1:88" x14ac:dyDescent="0.35">
      <c r="A113" s="1" t="s">
        <v>120</v>
      </c>
      <c r="B113" s="1">
        <v>1.0148411946864364</v>
      </c>
      <c r="C113" s="1">
        <v>1</v>
      </c>
      <c r="D113" s="1">
        <v>0.9947037006940298</v>
      </c>
      <c r="E113" s="1">
        <v>0.99929391987387539</v>
      </c>
      <c r="F113" s="1">
        <v>1.0024850047962293</v>
      </c>
      <c r="G113" s="1">
        <v>1.0010474009352315</v>
      </c>
      <c r="H113" s="1">
        <v>1.0000744611706487</v>
      </c>
      <c r="I113" s="1">
        <v>0.99717695271354112</v>
      </c>
      <c r="J113" s="1">
        <v>0.99999659782510719</v>
      </c>
      <c r="K113" s="1">
        <v>0.99873546326024609</v>
      </c>
      <c r="L113" s="1">
        <v>1.0024866487841437</v>
      </c>
      <c r="M113" s="1">
        <v>0.99825272560632705</v>
      </c>
      <c r="N113" s="1">
        <v>0.99992366523621357</v>
      </c>
      <c r="O113" s="1">
        <v>0.99996056941999556</v>
      </c>
      <c r="P113" s="1">
        <v>0.99122173206119846</v>
      </c>
      <c r="Q113" s="1">
        <v>0.99936156290462275</v>
      </c>
      <c r="S113" s="1">
        <f t="shared" si="199"/>
        <v>100</v>
      </c>
      <c r="T113" s="1">
        <f t="shared" si="201"/>
        <v>99.470370069402975</v>
      </c>
      <c r="U113" s="1">
        <f t="shared" si="202"/>
        <v>99.400136017958715</v>
      </c>
      <c r="V113" s="1">
        <f t="shared" si="203"/>
        <v>99.647145832709185</v>
      </c>
      <c r="W113" s="1">
        <f t="shared" si="204"/>
        <v>99.751516346447517</v>
      </c>
      <c r="X113" s="1">
        <f t="shared" si="205"/>
        <v>99.758943961128651</v>
      </c>
      <c r="Y113" s="1">
        <f t="shared" si="206"/>
        <v>99.477319745079186</v>
      </c>
      <c r="Z113" s="1">
        <f t="shared" si="207"/>
        <v>99.476981305839544</v>
      </c>
      <c r="AA113" s="1">
        <f t="shared" si="208"/>
        <v>99.351189008218498</v>
      </c>
      <c r="AB113" s="1">
        <f t="shared" si="209"/>
        <v>99.598240521569025</v>
      </c>
      <c r="AC113" s="1">
        <f t="shared" si="210"/>
        <v>99.42421506625081</v>
      </c>
      <c r="AD113" s="1">
        <f t="shared" si="211"/>
        <v>99.416625542279078</v>
      </c>
      <c r="AE113" s="1">
        <f t="shared" si="212"/>
        <v>99.56439028474027</v>
      </c>
      <c r="AF113" s="1">
        <f t="shared" si="213"/>
        <v>1.0043751557561287</v>
      </c>
      <c r="AH113" s="1" t="str">
        <f t="shared" si="214"/>
        <v>C2029.35490</v>
      </c>
      <c r="AI113" s="1">
        <f t="shared" si="237"/>
        <v>100.43751557561286</v>
      </c>
      <c r="AJ113" s="1">
        <f t="shared" si="238"/>
        <v>99.90556843157637</v>
      </c>
      <c r="AK113" s="1">
        <f t="shared" si="239"/>
        <v>99.835027095217654</v>
      </c>
      <c r="AL113" s="1">
        <f t="shared" si="240"/>
        <v>100.08311761638096</v>
      </c>
      <c r="AM113" s="1">
        <f t="shared" si="241"/>
        <v>100.18794476737324</v>
      </c>
      <c r="AN113" s="1">
        <f t="shared" si="242"/>
        <v>100.1954048790255</v>
      </c>
      <c r="AO113" s="1">
        <f t="shared" si="243"/>
        <v>99.912548513166115</v>
      </c>
      <c r="AP113" s="1">
        <f t="shared" si="244"/>
        <v>99.912208593202095</v>
      </c>
      <c r="AQ113" s="1">
        <f t="shared" si="245"/>
        <v>99.785865934686029</v>
      </c>
      <c r="AR113" s="1">
        <f t="shared" si="246"/>
        <v>100.03399833688725</v>
      </c>
      <c r="AS113" s="1">
        <f t="shared" si="247"/>
        <v>99.859211493096495</v>
      </c>
      <c r="AT113" s="1">
        <f t="shared" si="248"/>
        <v>99.851588763775268</v>
      </c>
      <c r="AU113" s="1">
        <f t="shared" ref="AU113:AW113" si="285">AT113*O113</f>
        <v>99.847651557715949</v>
      </c>
      <c r="AV113" s="1">
        <f t="shared" si="285"/>
        <v>98.971162119282226</v>
      </c>
      <c r="AW113" s="1">
        <f t="shared" si="285"/>
        <v>98.907975258012684</v>
      </c>
      <c r="AX113" s="1" t="b">
        <f t="shared" si="173"/>
        <v>1</v>
      </c>
      <c r="AY113" s="1" t="s">
        <v>120</v>
      </c>
      <c r="AZ113" s="1" t="str">
        <f t="shared" si="197"/>
        <v>C20</v>
      </c>
      <c r="BA113" s="1" t="str">
        <f t="shared" si="198"/>
        <v>C2029</v>
      </c>
      <c r="BB113" s="1" t="s">
        <v>373</v>
      </c>
      <c r="BC113" s="1" t="s">
        <v>374</v>
      </c>
      <c r="BD113" s="1">
        <v>1.3705841703750997E-3</v>
      </c>
      <c r="BE113" s="1">
        <f t="shared" si="257"/>
        <v>0.13765806895973751</v>
      </c>
      <c r="BF113" s="1">
        <f t="shared" si="258"/>
        <v>0.13692899062464484</v>
      </c>
      <c r="BG113" s="1">
        <f t="shared" si="259"/>
        <v>0.13683230778567448</v>
      </c>
      <c r="BH113" s="1">
        <f t="shared" si="260"/>
        <v>0.13717233672680101</v>
      </c>
      <c r="BI113" s="1">
        <f t="shared" si="261"/>
        <v>0.13731601116057657</v>
      </c>
      <c r="BJ113" s="1">
        <f t="shared" si="262"/>
        <v>0.13732623587151638</v>
      </c>
      <c r="BK113" s="1">
        <f t="shared" si="263"/>
        <v>0.13693855741397967</v>
      </c>
      <c r="BL113" s="1">
        <f t="shared" si="264"/>
        <v>0.13693809152505779</v>
      </c>
      <c r="BM113" s="1">
        <f t="shared" si="265"/>
        <v>0.13676492827725256</v>
      </c>
      <c r="BN113" s="1">
        <f t="shared" si="266"/>
        <v>0.13710501461986671</v>
      </c>
      <c r="BO113" s="1">
        <f t="shared" si="267"/>
        <v>0.13686545453857726</v>
      </c>
      <c r="BP113" s="1">
        <f t="shared" si="268"/>
        <v>0.13685500694643454</v>
      </c>
      <c r="BQ113" s="1">
        <f t="shared" si="269"/>
        <v>0.13684961067413415</v>
      </c>
      <c r="BR113" s="1">
        <f t="shared" si="270"/>
        <v>0.13564830812431591</v>
      </c>
      <c r="BS113" s="1">
        <f t="shared" si="271"/>
        <v>0.1355617052124842</v>
      </c>
      <c r="BV113" s="1" t="s">
        <v>120</v>
      </c>
      <c r="BW113" s="1">
        <f>((AJ113-AI113)/BE$154)*$BD113</f>
        <v>-7.3239172124482139E-6</v>
      </c>
      <c r="BX113" s="1">
        <f>((AK113-AJ113)/BF$154)*$BD113</f>
        <v>-9.7175361011124467E-7</v>
      </c>
      <c r="BY113" s="1">
        <f>((AL113-AK113)/BG$154)*$BD113</f>
        <v>3.4191680730190018E-6</v>
      </c>
      <c r="BZ113" s="1">
        <f>((AM113-AL113)/BH$154)*$BD113</f>
        <v>1.4414706561454296E-6</v>
      </c>
      <c r="CA113" s="1">
        <f>((AN113-AM113)/BI$154)*$BD113</f>
        <v>1.0247337474275615E-7</v>
      </c>
      <c r="CB113" s="1">
        <f>((AO113-AN113)/BJ$154)*$BD113</f>
        <v>-3.8833066407734115E-6</v>
      </c>
      <c r="CC113" s="1">
        <f>((AP113-AO113)/BK$154)*$BD113</f>
        <v>-4.6653868635369207E-9</v>
      </c>
      <c r="CD113" s="1">
        <f>((AQ113-AP113)/BL$154)*$BD113</f>
        <v>-1.7315266640489062E-6</v>
      </c>
      <c r="CE113" s="1">
        <f>((AR113-AQ113)/BM$154)*$BD113</f>
        <v>3.387104539144587E-6</v>
      </c>
      <c r="CF113" s="1">
        <f>((AS113-AR113)/BN$154)*$BD113</f>
        <v>-2.3839330635214631E-6</v>
      </c>
      <c r="CG113" s="1">
        <f>((AT113-AS113)/BO$154)*$BD113</f>
        <v>-1.037290892912911E-7</v>
      </c>
      <c r="CH113" s="1">
        <f>((AU113-AT113)/BP$154)*$BD113</f>
        <v>-5.3563377909860285E-8</v>
      </c>
      <c r="CI113" s="1">
        <f>((AV113-AU113)/BQ$154)*$BD113</f>
        <v>-1.1882778285685472E-5</v>
      </c>
      <c r="CJ113" s="1">
        <f>((AW113-AV113)/BR$154)*$BD113</f>
        <v>-8.5510328408133351E-7</v>
      </c>
    </row>
    <row r="114" spans="1:88" x14ac:dyDescent="0.35">
      <c r="A114" s="1" t="s">
        <v>121</v>
      </c>
      <c r="B114" s="1">
        <v>1.000005273836422</v>
      </c>
      <c r="C114" s="1">
        <v>1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1</v>
      </c>
      <c r="O114" s="1">
        <v>0.99999472619139096</v>
      </c>
      <c r="P114" s="1">
        <v>1</v>
      </c>
      <c r="Q114" s="1">
        <v>1</v>
      </c>
      <c r="S114" s="1">
        <f t="shared" si="199"/>
        <v>100</v>
      </c>
      <c r="T114" s="1">
        <f t="shared" si="201"/>
        <v>100</v>
      </c>
      <c r="U114" s="1">
        <f t="shared" si="202"/>
        <v>100</v>
      </c>
      <c r="V114" s="1">
        <f t="shared" si="203"/>
        <v>100</v>
      </c>
      <c r="W114" s="1">
        <f t="shared" si="204"/>
        <v>100</v>
      </c>
      <c r="X114" s="1">
        <f t="shared" si="205"/>
        <v>100</v>
      </c>
      <c r="Y114" s="1">
        <f t="shared" si="206"/>
        <v>100</v>
      </c>
      <c r="Z114" s="1">
        <f t="shared" si="207"/>
        <v>100</v>
      </c>
      <c r="AA114" s="1">
        <f t="shared" si="208"/>
        <v>100</v>
      </c>
      <c r="AB114" s="1">
        <f t="shared" si="209"/>
        <v>100</v>
      </c>
      <c r="AC114" s="1">
        <f t="shared" si="210"/>
        <v>100</v>
      </c>
      <c r="AD114" s="1">
        <f t="shared" si="211"/>
        <v>100</v>
      </c>
      <c r="AE114" s="1">
        <f t="shared" si="212"/>
        <v>100</v>
      </c>
      <c r="AF114" s="1">
        <f t="shared" si="213"/>
        <v>1</v>
      </c>
      <c r="AH114" s="1" t="str">
        <f t="shared" si="214"/>
        <v>C2029.38998</v>
      </c>
      <c r="AI114" s="1">
        <f t="shared" si="237"/>
        <v>100</v>
      </c>
      <c r="AJ114" s="1">
        <f t="shared" si="238"/>
        <v>100</v>
      </c>
      <c r="AK114" s="1">
        <f t="shared" si="239"/>
        <v>100</v>
      </c>
      <c r="AL114" s="1">
        <f t="shared" si="240"/>
        <v>100</v>
      </c>
      <c r="AM114" s="1">
        <f t="shared" si="241"/>
        <v>100</v>
      </c>
      <c r="AN114" s="1">
        <f t="shared" si="242"/>
        <v>100</v>
      </c>
      <c r="AO114" s="1">
        <f t="shared" si="243"/>
        <v>100</v>
      </c>
      <c r="AP114" s="1">
        <f t="shared" si="244"/>
        <v>100</v>
      </c>
      <c r="AQ114" s="1">
        <f t="shared" si="245"/>
        <v>100</v>
      </c>
      <c r="AR114" s="1">
        <f t="shared" si="246"/>
        <v>100</v>
      </c>
      <c r="AS114" s="1">
        <f t="shared" si="247"/>
        <v>100</v>
      </c>
      <c r="AT114" s="1">
        <f t="shared" si="248"/>
        <v>100</v>
      </c>
      <c r="AU114" s="1">
        <f t="shared" ref="AU114:AW114" si="286">AT114*O114</f>
        <v>99.999472619139098</v>
      </c>
      <c r="AV114" s="1">
        <f t="shared" si="286"/>
        <v>99.999472619139098</v>
      </c>
      <c r="AW114" s="1">
        <f t="shared" si="286"/>
        <v>99.999472619139098</v>
      </c>
      <c r="AX114" s="1" t="b">
        <f t="shared" si="173"/>
        <v>1</v>
      </c>
      <c r="AY114" s="1" t="s">
        <v>121</v>
      </c>
      <c r="AZ114" s="1" t="str">
        <f t="shared" si="197"/>
        <v>C20</v>
      </c>
      <c r="BA114" s="1" t="str">
        <f t="shared" si="198"/>
        <v>C2029</v>
      </c>
      <c r="BB114" s="1" t="s">
        <v>375</v>
      </c>
      <c r="BC114" s="1" t="s">
        <v>376</v>
      </c>
      <c r="BD114" s="1">
        <v>1.3705841703750997E-3</v>
      </c>
      <c r="BE114" s="1">
        <f t="shared" si="257"/>
        <v>0.13705841703750996</v>
      </c>
      <c r="BF114" s="1">
        <f t="shared" si="258"/>
        <v>0.13705841703750996</v>
      </c>
      <c r="BG114" s="1">
        <f t="shared" si="259"/>
        <v>0.13705841703750996</v>
      </c>
      <c r="BH114" s="1">
        <f t="shared" si="260"/>
        <v>0.13705841703750996</v>
      </c>
      <c r="BI114" s="1">
        <f t="shared" si="261"/>
        <v>0.13705841703750996</v>
      </c>
      <c r="BJ114" s="1">
        <f t="shared" si="262"/>
        <v>0.13705841703750996</v>
      </c>
      <c r="BK114" s="1">
        <f t="shared" si="263"/>
        <v>0.13705841703750996</v>
      </c>
      <c r="BL114" s="1">
        <f t="shared" si="264"/>
        <v>0.13705841703750996</v>
      </c>
      <c r="BM114" s="1">
        <f t="shared" si="265"/>
        <v>0.13705841703750996</v>
      </c>
      <c r="BN114" s="1">
        <f t="shared" si="266"/>
        <v>0.13705841703750996</v>
      </c>
      <c r="BO114" s="1">
        <f t="shared" si="267"/>
        <v>0.13705841703750996</v>
      </c>
      <c r="BP114" s="1">
        <f t="shared" si="268"/>
        <v>0.13705841703750996</v>
      </c>
      <c r="BQ114" s="1">
        <f t="shared" si="269"/>
        <v>0.13705769421765027</v>
      </c>
      <c r="BR114" s="1">
        <f t="shared" si="270"/>
        <v>0.13705769421765027</v>
      </c>
      <c r="BS114" s="1">
        <f t="shared" si="271"/>
        <v>0.13705769421765027</v>
      </c>
      <c r="BV114" s="1" t="s">
        <v>121</v>
      </c>
      <c r="BW114" s="1">
        <f>((AJ114-AI114)/BE$154)*$BD114</f>
        <v>0</v>
      </c>
      <c r="BX114" s="1">
        <f>((AK114-AJ114)/BF$154)*$BD114</f>
        <v>0</v>
      </c>
      <c r="BY114" s="1">
        <f>((AL114-AK114)/BG$154)*$BD114</f>
        <v>0</v>
      </c>
      <c r="BZ114" s="1">
        <f>((AM114-AL114)/BH$154)*$BD114</f>
        <v>0</v>
      </c>
      <c r="CA114" s="1">
        <f>((AN114-AM114)/BI$154)*$BD114</f>
        <v>0</v>
      </c>
      <c r="CB114" s="1">
        <f>((AO114-AN114)/BJ$154)*$BD114</f>
        <v>0</v>
      </c>
      <c r="CC114" s="1">
        <f>((AP114-AO114)/BK$154)*$BD114</f>
        <v>0</v>
      </c>
      <c r="CD114" s="1">
        <f>((AQ114-AP114)/BL$154)*$BD114</f>
        <v>0</v>
      </c>
      <c r="CE114" s="1">
        <f>((AR114-AQ114)/BM$154)*$BD114</f>
        <v>0</v>
      </c>
      <c r="CF114" s="1">
        <f>((AS114-AR114)/BN$154)*$BD114</f>
        <v>0</v>
      </c>
      <c r="CG114" s="1">
        <f>((AT114-AS114)/BO$154)*$BD114</f>
        <v>0</v>
      </c>
      <c r="CH114" s="1">
        <f>((AU114-AT114)/BP$154)*$BD114</f>
        <v>-7.1747071220847006E-9</v>
      </c>
      <c r="CI114" s="1">
        <f>((AV114-AU114)/BQ$154)*$BD114</f>
        <v>0</v>
      </c>
      <c r="CJ114" s="1">
        <f>((AW114-AV114)/BR$154)*$BD114</f>
        <v>0</v>
      </c>
    </row>
    <row r="115" spans="1:88" x14ac:dyDescent="0.35">
      <c r="A115" s="1" t="s">
        <v>122</v>
      </c>
      <c r="B115" s="1">
        <v>1.0059896177294214</v>
      </c>
      <c r="C115" s="1">
        <v>1</v>
      </c>
      <c r="D115" s="1">
        <v>1.0049509874478975</v>
      </c>
      <c r="E115" s="1">
        <v>1.0013661919631076</v>
      </c>
      <c r="F115" s="1">
        <v>1.0000254139313485</v>
      </c>
      <c r="G115" s="1">
        <v>1</v>
      </c>
      <c r="H115" s="1">
        <v>1.0024915411119899</v>
      </c>
      <c r="I115" s="1">
        <v>1</v>
      </c>
      <c r="J115" s="1">
        <v>1</v>
      </c>
      <c r="K115" s="1">
        <v>1.0023398758112931</v>
      </c>
      <c r="L115" s="1">
        <v>0.99926485113363228</v>
      </c>
      <c r="M115" s="1">
        <v>1</v>
      </c>
      <c r="N115" s="1">
        <v>0.99996801858792506</v>
      </c>
      <c r="O115" s="1">
        <v>1.0170597452970385</v>
      </c>
      <c r="P115" s="1">
        <v>1.0005140342800884</v>
      </c>
      <c r="Q115" s="1">
        <v>1</v>
      </c>
      <c r="S115" s="1">
        <f t="shared" si="199"/>
        <v>100</v>
      </c>
      <c r="T115" s="1">
        <f t="shared" si="201"/>
        <v>100.49509874478974</v>
      </c>
      <c r="U115" s="1">
        <f t="shared" si="202"/>
        <v>100.63239434102658</v>
      </c>
      <c r="V115" s="1">
        <f t="shared" si="203"/>
        <v>100.63495180578779</v>
      </c>
      <c r="W115" s="1">
        <f t="shared" si="204"/>
        <v>100.63495180578779</v>
      </c>
      <c r="X115" s="1">
        <f t="shared" si="205"/>
        <v>100.88568792551503</v>
      </c>
      <c r="Y115" s="1">
        <f t="shared" si="206"/>
        <v>100.88568792551503</v>
      </c>
      <c r="Z115" s="1">
        <f t="shared" si="207"/>
        <v>100.88568792551503</v>
      </c>
      <c r="AA115" s="1">
        <f t="shared" si="208"/>
        <v>101.12174790639762</v>
      </c>
      <c r="AB115" s="1">
        <f t="shared" si="209"/>
        <v>101.04740836805911</v>
      </c>
      <c r="AC115" s="1">
        <f t="shared" si="210"/>
        <v>101.04740836805911</v>
      </c>
      <c r="AD115" s="1">
        <f t="shared" si="211"/>
        <v>101.04417672925298</v>
      </c>
      <c r="AE115" s="1">
        <f t="shared" si="212"/>
        <v>100.7762668204755</v>
      </c>
      <c r="AF115" s="1">
        <f t="shared" si="213"/>
        <v>0.99229712664532066</v>
      </c>
      <c r="AH115" s="1" t="str">
        <f t="shared" si="214"/>
        <v>C2100.35260</v>
      </c>
      <c r="AI115" s="1">
        <f t="shared" si="237"/>
        <v>99.229712664532059</v>
      </c>
      <c r="AJ115" s="1">
        <f t="shared" si="238"/>
        <v>99.720997726392639</v>
      </c>
      <c r="AK115" s="1">
        <f t="shared" si="239"/>
        <v>99.8572357520395</v>
      </c>
      <c r="AL115" s="1">
        <f t="shared" si="240"/>
        <v>99.859773516973547</v>
      </c>
      <c r="AM115" s="1">
        <f t="shared" si="241"/>
        <v>99.859773516973547</v>
      </c>
      <c r="AN115" s="1">
        <f t="shared" si="242"/>
        <v>100.10857824812508</v>
      </c>
      <c r="AO115" s="1">
        <f t="shared" si="243"/>
        <v>100.10857824812508</v>
      </c>
      <c r="AP115" s="1">
        <f t="shared" si="244"/>
        <v>100.10857824812508</v>
      </c>
      <c r="AQ115" s="1">
        <f t="shared" si="245"/>
        <v>100.34281988887082</v>
      </c>
      <c r="AR115" s="1">
        <f t="shared" si="246"/>
        <v>100.26905297858139</v>
      </c>
      <c r="AS115" s="1">
        <f t="shared" si="247"/>
        <v>100.26905297858139</v>
      </c>
      <c r="AT115" s="1">
        <f t="shared" si="248"/>
        <v>100.26584623267971</v>
      </c>
      <c r="AU115" s="1">
        <f t="shared" ref="AU115:AW115" si="287">AT115*O115</f>
        <v>101.97635603140125</v>
      </c>
      <c r="AV115" s="1">
        <f t="shared" si="287"/>
        <v>102.02877537415989</v>
      </c>
      <c r="AW115" s="1">
        <f t="shared" si="287"/>
        <v>102.02877537415989</v>
      </c>
      <c r="AX115" s="1" t="b">
        <f t="shared" si="173"/>
        <v>1</v>
      </c>
      <c r="AY115" s="1" t="s">
        <v>122</v>
      </c>
      <c r="AZ115" s="1" t="str">
        <f t="shared" si="197"/>
        <v>C21</v>
      </c>
      <c r="BA115" s="1" t="str">
        <f t="shared" si="198"/>
        <v>C2100</v>
      </c>
      <c r="BB115" s="1" t="s">
        <v>377</v>
      </c>
      <c r="BC115" s="1" t="s">
        <v>378</v>
      </c>
      <c r="BD115" s="1">
        <v>1.285127635878091E-2</v>
      </c>
      <c r="BE115" s="1">
        <f t="shared" si="257"/>
        <v>1.2752284604543234</v>
      </c>
      <c r="BF115" s="1">
        <f t="shared" si="258"/>
        <v>1.2815421005552345</v>
      </c>
      <c r="BG115" s="1">
        <f t="shared" si="259"/>
        <v>1.2832929330733971</v>
      </c>
      <c r="BH115" s="1">
        <f t="shared" si="260"/>
        <v>1.283325546591898</v>
      </c>
      <c r="BI115" s="1">
        <f t="shared" si="261"/>
        <v>1.283325546591898</v>
      </c>
      <c r="BJ115" s="1">
        <f t="shared" si="262"/>
        <v>1.2865230049512988</v>
      </c>
      <c r="BK115" s="1">
        <f t="shared" si="263"/>
        <v>1.2865230049512988</v>
      </c>
      <c r="BL115" s="1">
        <f t="shared" si="264"/>
        <v>1.2865230049512988</v>
      </c>
      <c r="BM115" s="1">
        <f t="shared" si="265"/>
        <v>1.2895333090112564</v>
      </c>
      <c r="BN115" s="1">
        <f t="shared" si="266"/>
        <v>1.2885853100609934</v>
      </c>
      <c r="BO115" s="1">
        <f t="shared" si="267"/>
        <v>1.2885853100609934</v>
      </c>
      <c r="BP115" s="1">
        <f t="shared" si="268"/>
        <v>1.2885440992831987</v>
      </c>
      <c r="BQ115" s="1">
        <f t="shared" si="269"/>
        <v>1.310526333420972</v>
      </c>
      <c r="BR115" s="1">
        <f t="shared" si="270"/>
        <v>1.3111999888813088</v>
      </c>
      <c r="BS115" s="1">
        <f t="shared" si="271"/>
        <v>1.3111999888813088</v>
      </c>
      <c r="BV115" s="1" t="s">
        <v>122</v>
      </c>
      <c r="BW115" s="1">
        <f>((AJ115-AI115)/BE$154)*$BD115</f>
        <v>6.3423332147689092E-5</v>
      </c>
      <c r="BX115" s="1">
        <f>((AK115-AJ115)/BF$154)*$BD115</f>
        <v>1.7597516150163305E-5</v>
      </c>
      <c r="BY115" s="1">
        <f>((AL115-AK115)/BG$154)*$BD115</f>
        <v>3.2794591201031645E-7</v>
      </c>
      <c r="BZ115" s="1">
        <f>((AM115-AL115)/BH$154)*$BD115</f>
        <v>0</v>
      </c>
      <c r="CA115" s="1">
        <f>((AN115-AM115)/BI$154)*$BD115</f>
        <v>3.2045340999424304E-5</v>
      </c>
      <c r="CB115" s="1">
        <f>((AO115-AN115)/BJ$154)*$BD115</f>
        <v>0</v>
      </c>
      <c r="CC115" s="1">
        <f>((AP115-AO115)/BK$154)*$BD115</f>
        <v>0</v>
      </c>
      <c r="CD115" s="1">
        <f>((AQ115-AP115)/BL$154)*$BD115</f>
        <v>3.010120110806887E-5</v>
      </c>
      <c r="CE115" s="1">
        <f>((AR115-AQ115)/BM$154)*$BD115</f>
        <v>-9.4416362705368478E-6</v>
      </c>
      <c r="CF115" s="1">
        <f>((AS115-AR115)/BN$154)*$BD115</f>
        <v>0</v>
      </c>
      <c r="CG115" s="1">
        <f>((AT115-AS115)/BO$154)*$BD115</f>
        <v>-4.0916188067526873E-7</v>
      </c>
      <c r="CH115" s="1">
        <f>((AU115-AT115)/BP$154)*$BD115</f>
        <v>2.1819557073417492E-4</v>
      </c>
      <c r="CI115" s="1">
        <f>((AV115-AU115)/BQ$154)*$BD115</f>
        <v>6.6635157624001748E-6</v>
      </c>
      <c r="CJ115" s="1">
        <f>((AW115-AV115)/BR$154)*$BD115</f>
        <v>0</v>
      </c>
    </row>
    <row r="116" spans="1:88" x14ac:dyDescent="0.35">
      <c r="A116" s="1" t="s">
        <v>123</v>
      </c>
      <c r="B116" s="1">
        <v>1</v>
      </c>
      <c r="C116" s="1">
        <v>1</v>
      </c>
      <c r="D116" s="1">
        <v>1</v>
      </c>
      <c r="E116" s="1">
        <v>1.0102535446579124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1</v>
      </c>
      <c r="S116" s="1">
        <f t="shared" si="199"/>
        <v>100</v>
      </c>
      <c r="T116" s="1">
        <f t="shared" si="201"/>
        <v>100</v>
      </c>
      <c r="U116" s="1">
        <f t="shared" si="202"/>
        <v>101.02535446579124</v>
      </c>
      <c r="V116" s="1">
        <f t="shared" si="203"/>
        <v>101.02535446579124</v>
      </c>
      <c r="W116" s="1">
        <f t="shared" si="204"/>
        <v>101.02535446579124</v>
      </c>
      <c r="X116" s="1">
        <f t="shared" si="205"/>
        <v>101.02535446579124</v>
      </c>
      <c r="Y116" s="1">
        <f t="shared" si="206"/>
        <v>101.02535446579124</v>
      </c>
      <c r="Z116" s="1">
        <f t="shared" si="207"/>
        <v>101.02535446579124</v>
      </c>
      <c r="AA116" s="1">
        <f t="shared" si="208"/>
        <v>101.02535446579124</v>
      </c>
      <c r="AB116" s="1">
        <f t="shared" si="209"/>
        <v>101.02535446579124</v>
      </c>
      <c r="AC116" s="1">
        <f t="shared" si="210"/>
        <v>101.02535446579124</v>
      </c>
      <c r="AD116" s="1">
        <f t="shared" si="211"/>
        <v>101.02535446579124</v>
      </c>
      <c r="AE116" s="1">
        <f t="shared" si="212"/>
        <v>100.85446205482602</v>
      </c>
      <c r="AF116" s="1">
        <f t="shared" si="213"/>
        <v>0.99152777143006809</v>
      </c>
      <c r="AH116" s="1" t="str">
        <f t="shared" si="214"/>
        <v>C2100.35270</v>
      </c>
      <c r="AI116" s="1">
        <f t="shared" si="237"/>
        <v>99.152777143006816</v>
      </c>
      <c r="AJ116" s="1">
        <f t="shared" si="238"/>
        <v>99.152777143006816</v>
      </c>
      <c r="AK116" s="1">
        <f t="shared" si="239"/>
        <v>100.16944457139867</v>
      </c>
      <c r="AL116" s="1">
        <f t="shared" si="240"/>
        <v>100.16944457139867</v>
      </c>
      <c r="AM116" s="1">
        <f t="shared" si="241"/>
        <v>100.16944457139867</v>
      </c>
      <c r="AN116" s="1">
        <f t="shared" si="242"/>
        <v>100.16944457139867</v>
      </c>
      <c r="AO116" s="1">
        <f t="shared" si="243"/>
        <v>100.16944457139867</v>
      </c>
      <c r="AP116" s="1">
        <f t="shared" si="244"/>
        <v>100.16944457139867</v>
      </c>
      <c r="AQ116" s="1">
        <f t="shared" si="245"/>
        <v>100.16944457139867</v>
      </c>
      <c r="AR116" s="1">
        <f t="shared" si="246"/>
        <v>100.16944457139867</v>
      </c>
      <c r="AS116" s="1">
        <f t="shared" si="247"/>
        <v>100.16944457139867</v>
      </c>
      <c r="AT116" s="1">
        <f t="shared" si="248"/>
        <v>100.16944457139867</v>
      </c>
      <c r="AU116" s="1">
        <f t="shared" ref="AU116:AW116" si="288">AT116*O116</f>
        <v>100.16944457139867</v>
      </c>
      <c r="AV116" s="1">
        <f t="shared" si="288"/>
        <v>100.16944457139867</v>
      </c>
      <c r="AW116" s="1">
        <f t="shared" si="288"/>
        <v>100.16944457139867</v>
      </c>
      <c r="AX116" s="1" t="b">
        <f t="shared" si="173"/>
        <v>1</v>
      </c>
      <c r="AY116" s="1" t="s">
        <v>123</v>
      </c>
      <c r="AZ116" s="1" t="str">
        <f t="shared" si="197"/>
        <v>C21</v>
      </c>
      <c r="BA116" s="1" t="str">
        <f t="shared" si="198"/>
        <v>C2100</v>
      </c>
      <c r="BB116" s="1" t="s">
        <v>379</v>
      </c>
      <c r="BC116" s="1" t="s">
        <v>380</v>
      </c>
      <c r="BD116" s="1">
        <v>8.5675175725206075E-3</v>
      </c>
      <c r="BE116" s="1">
        <f t="shared" si="257"/>
        <v>0.84949316053693058</v>
      </c>
      <c r="BF116" s="1">
        <f t="shared" si="258"/>
        <v>0.84949316053693058</v>
      </c>
      <c r="BG116" s="1">
        <f t="shared" si="259"/>
        <v>0.85820347659508711</v>
      </c>
      <c r="BH116" s="1">
        <f t="shared" si="260"/>
        <v>0.85820347659508711</v>
      </c>
      <c r="BI116" s="1">
        <f t="shared" si="261"/>
        <v>0.85820347659508711</v>
      </c>
      <c r="BJ116" s="1">
        <f t="shared" si="262"/>
        <v>0.85820347659508711</v>
      </c>
      <c r="BK116" s="1">
        <f t="shared" si="263"/>
        <v>0.85820347659508711</v>
      </c>
      <c r="BL116" s="1">
        <f t="shared" si="264"/>
        <v>0.85820347659508711</v>
      </c>
      <c r="BM116" s="1">
        <f t="shared" si="265"/>
        <v>0.85820347659508711</v>
      </c>
      <c r="BN116" s="1">
        <f t="shared" si="266"/>
        <v>0.85820347659508711</v>
      </c>
      <c r="BO116" s="1">
        <f t="shared" si="267"/>
        <v>0.85820347659508711</v>
      </c>
      <c r="BP116" s="1">
        <f t="shared" si="268"/>
        <v>0.85820347659508711</v>
      </c>
      <c r="BQ116" s="1">
        <f t="shared" si="269"/>
        <v>0.85820347659508711</v>
      </c>
      <c r="BR116" s="1">
        <f t="shared" si="270"/>
        <v>0.85820347659508711</v>
      </c>
      <c r="BS116" s="1">
        <f t="shared" si="271"/>
        <v>0.85820347659508711</v>
      </c>
      <c r="BV116" s="1" t="s">
        <v>123</v>
      </c>
      <c r="BW116" s="1">
        <f>((AJ116-AI116)/BE$154)*$BD116</f>
        <v>0</v>
      </c>
      <c r="BX116" s="1">
        <f>((AK116-AJ116)/BF$154)*$BD116</f>
        <v>8.7546881792728345E-5</v>
      </c>
      <c r="BY116" s="1">
        <f>((AL116-AK116)/BG$154)*$BD116</f>
        <v>0</v>
      </c>
      <c r="BZ116" s="1">
        <f>((AM116-AL116)/BH$154)*$BD116</f>
        <v>0</v>
      </c>
      <c r="CA116" s="1">
        <f>((AN116-AM116)/BI$154)*$BD116</f>
        <v>0</v>
      </c>
      <c r="CB116" s="1">
        <f>((AO116-AN116)/BJ$154)*$BD116</f>
        <v>0</v>
      </c>
      <c r="CC116" s="1">
        <f>((AP116-AO116)/BK$154)*$BD116</f>
        <v>0</v>
      </c>
      <c r="CD116" s="1">
        <f>((AQ116-AP116)/BL$154)*$BD116</f>
        <v>0</v>
      </c>
      <c r="CE116" s="1">
        <f>((AR116-AQ116)/BM$154)*$BD116</f>
        <v>0</v>
      </c>
      <c r="CF116" s="1">
        <f>((AS116-AR116)/BN$154)*$BD116</f>
        <v>0</v>
      </c>
      <c r="CG116" s="1">
        <f>((AT116-AS116)/BO$154)*$BD116</f>
        <v>0</v>
      </c>
      <c r="CH116" s="1">
        <f>((AU116-AT116)/BP$154)*$BD116</f>
        <v>0</v>
      </c>
      <c r="CI116" s="1">
        <f>((AV116-AU116)/BQ$154)*$BD116</f>
        <v>0</v>
      </c>
      <c r="CJ116" s="1">
        <f>((AW116-AV116)/BR$154)*$BD116</f>
        <v>0</v>
      </c>
    </row>
    <row r="117" spans="1:88" x14ac:dyDescent="0.35">
      <c r="A117" s="1" t="s">
        <v>124</v>
      </c>
      <c r="B117" s="1">
        <v>1</v>
      </c>
      <c r="C117" s="1">
        <v>1</v>
      </c>
      <c r="D117" s="1">
        <v>1</v>
      </c>
      <c r="E117" s="1">
        <v>0.99999974447144124</v>
      </c>
      <c r="F117" s="1">
        <v>0.99952459921092018</v>
      </c>
      <c r="G117" s="1">
        <v>1</v>
      </c>
      <c r="H117" s="1">
        <v>1.0014866049756752</v>
      </c>
      <c r="I117" s="1">
        <v>1.0151806904784209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1.010122887977889</v>
      </c>
      <c r="P117" s="1">
        <v>1</v>
      </c>
      <c r="Q117" s="1">
        <v>1</v>
      </c>
      <c r="S117" s="1">
        <f t="shared" si="199"/>
        <v>100</v>
      </c>
      <c r="T117" s="1">
        <f t="shared" si="201"/>
        <v>100</v>
      </c>
      <c r="U117" s="1">
        <f t="shared" si="202"/>
        <v>99.999974447144126</v>
      </c>
      <c r="V117" s="1">
        <f t="shared" si="203"/>
        <v>99.952434380383991</v>
      </c>
      <c r="W117" s="1">
        <f t="shared" si="204"/>
        <v>99.952434380383991</v>
      </c>
      <c r="X117" s="1">
        <f t="shared" si="205"/>
        <v>100.10102416666471</v>
      </c>
      <c r="Y117" s="1">
        <f t="shared" si="206"/>
        <v>101.62062683111178</v>
      </c>
      <c r="Z117" s="1">
        <f t="shared" si="207"/>
        <v>101.62062683111178</v>
      </c>
      <c r="AA117" s="1">
        <f t="shared" si="208"/>
        <v>101.62062683111178</v>
      </c>
      <c r="AB117" s="1">
        <f t="shared" si="209"/>
        <v>101.62062683111178</v>
      </c>
      <c r="AC117" s="1">
        <f t="shared" si="210"/>
        <v>101.62062683111178</v>
      </c>
      <c r="AD117" s="1">
        <f t="shared" si="211"/>
        <v>101.62062683111178</v>
      </c>
      <c r="AE117" s="1">
        <f t="shared" si="212"/>
        <v>100.81080236343729</v>
      </c>
      <c r="AF117" s="1">
        <f t="shared" si="213"/>
        <v>0.99195718767802055</v>
      </c>
      <c r="AH117" s="1" t="str">
        <f t="shared" si="214"/>
        <v>C2220.36320</v>
      </c>
      <c r="AI117" s="1">
        <f t="shared" si="237"/>
        <v>99.195718767802049</v>
      </c>
      <c r="AJ117" s="1">
        <f t="shared" si="238"/>
        <v>99.195718767802049</v>
      </c>
      <c r="AK117" s="1">
        <f t="shared" si="239"/>
        <v>99.195693420463002</v>
      </c>
      <c r="AL117" s="1">
        <f t="shared" si="240"/>
        <v>99.148535709537597</v>
      </c>
      <c r="AM117" s="1">
        <f t="shared" si="241"/>
        <v>99.148535709537597</v>
      </c>
      <c r="AN117" s="1">
        <f t="shared" si="242"/>
        <v>99.295930416054304</v>
      </c>
      <c r="AO117" s="1">
        <f t="shared" si="243"/>
        <v>100.80331120146724</v>
      </c>
      <c r="AP117" s="1">
        <f t="shared" si="244"/>
        <v>100.80331120146724</v>
      </c>
      <c r="AQ117" s="1">
        <f t="shared" si="245"/>
        <v>100.80331120146724</v>
      </c>
      <c r="AR117" s="1">
        <f t="shared" si="246"/>
        <v>100.80331120146724</v>
      </c>
      <c r="AS117" s="1">
        <f t="shared" si="247"/>
        <v>100.80331120146724</v>
      </c>
      <c r="AT117" s="1">
        <f t="shared" si="248"/>
        <v>100.80331120146724</v>
      </c>
      <c r="AU117" s="1">
        <f t="shared" ref="AU117:AW117" si="289">AT117*O117</f>
        <v>101.82373182855997</v>
      </c>
      <c r="AV117" s="1">
        <f t="shared" si="289"/>
        <v>101.82373182855997</v>
      </c>
      <c r="AW117" s="1">
        <f t="shared" si="289"/>
        <v>101.82373182855997</v>
      </c>
      <c r="AX117" s="1" t="b">
        <f t="shared" si="173"/>
        <v>1</v>
      </c>
      <c r="AY117" s="1" t="s">
        <v>124</v>
      </c>
      <c r="AZ117" s="1" t="str">
        <f t="shared" si="197"/>
        <v>C22</v>
      </c>
      <c r="BA117" s="1" t="str">
        <f t="shared" si="198"/>
        <v>C2220</v>
      </c>
      <c r="BB117" s="1" t="s">
        <v>381</v>
      </c>
      <c r="BC117" s="1" t="s">
        <v>382</v>
      </c>
      <c r="BD117" s="1">
        <v>1.0225709959568917E-2</v>
      </c>
      <c r="BE117" s="1">
        <f t="shared" si="257"/>
        <v>1.0143466493505107</v>
      </c>
      <c r="BF117" s="1">
        <f t="shared" si="258"/>
        <v>1.0143466493505107</v>
      </c>
      <c r="BG117" s="1">
        <f t="shared" si="259"/>
        <v>1.0143463901559735</v>
      </c>
      <c r="BH117" s="1">
        <f t="shared" si="260"/>
        <v>1.013864169081693</v>
      </c>
      <c r="BI117" s="1">
        <f t="shared" si="261"/>
        <v>1.013864169081693</v>
      </c>
      <c r="BJ117" s="1">
        <f t="shared" si="262"/>
        <v>1.0153713846001087</v>
      </c>
      <c r="BK117" s="1">
        <f t="shared" si="263"/>
        <v>1.0307854233103686</v>
      </c>
      <c r="BL117" s="1">
        <f t="shared" si="264"/>
        <v>1.0307854233103686</v>
      </c>
      <c r="BM117" s="1">
        <f t="shared" si="265"/>
        <v>1.0307854233103686</v>
      </c>
      <c r="BN117" s="1">
        <f t="shared" si="266"/>
        <v>1.0307854233103686</v>
      </c>
      <c r="BO117" s="1">
        <f t="shared" si="267"/>
        <v>1.0307854233103686</v>
      </c>
      <c r="BP117" s="1">
        <f t="shared" si="268"/>
        <v>1.0307854233103686</v>
      </c>
      <c r="BQ117" s="1">
        <f t="shared" si="269"/>
        <v>1.0412199486797802</v>
      </c>
      <c r="BR117" s="1">
        <f t="shared" si="270"/>
        <v>1.0412199486797802</v>
      </c>
      <c r="BS117" s="1">
        <f t="shared" si="271"/>
        <v>1.0412199486797802</v>
      </c>
      <c r="BV117" s="1" t="s">
        <v>124</v>
      </c>
      <c r="BW117" s="1">
        <f>((AJ117-AI117)/BE$154)*$BD117</f>
        <v>0</v>
      </c>
      <c r="BX117" s="1">
        <f>((AK117-AJ117)/BF$154)*$BD117</f>
        <v>-2.6051492702063709E-9</v>
      </c>
      <c r="BY117" s="1">
        <f>((AL117-AK117)/BG$154)*$BD117</f>
        <v>-4.8489840184010209E-6</v>
      </c>
      <c r="BZ117" s="1">
        <f>((AM117-AL117)/BH$154)*$BD117</f>
        <v>0</v>
      </c>
      <c r="CA117" s="1">
        <f>((AN117-AM117)/BI$154)*$BD117</f>
        <v>1.5105508756744893E-5</v>
      </c>
      <c r="CB117" s="1">
        <f>((AO117-AN117)/BJ$154)*$BD117</f>
        <v>1.5439970346823651E-4</v>
      </c>
      <c r="CC117" s="1">
        <f>((AP117-AO117)/BK$154)*$BD117</f>
        <v>0</v>
      </c>
      <c r="CD117" s="1">
        <f>((AQ117-AP117)/BL$154)*$BD117</f>
        <v>0</v>
      </c>
      <c r="CE117" s="1">
        <f>((AR117-AQ117)/BM$154)*$BD117</f>
        <v>0</v>
      </c>
      <c r="CF117" s="1">
        <f>((AS117-AR117)/BN$154)*$BD117</f>
        <v>0</v>
      </c>
      <c r="CG117" s="1">
        <f>((AT117-AS117)/BO$154)*$BD117</f>
        <v>0</v>
      </c>
      <c r="CH117" s="1">
        <f>((AU117-AT117)/BP$154)*$BD117</f>
        <v>1.035730583183409E-4</v>
      </c>
      <c r="CI117" s="1">
        <f>((AV117-AU117)/BQ$154)*$BD117</f>
        <v>0</v>
      </c>
      <c r="CJ117" s="1">
        <f>((AW117-AV117)/BR$154)*$BD117</f>
        <v>0</v>
      </c>
    </row>
    <row r="118" spans="1:88" x14ac:dyDescent="0.35">
      <c r="A118" s="1" t="s">
        <v>125</v>
      </c>
      <c r="B118" s="1">
        <v>0.99488129433311434</v>
      </c>
      <c r="C118" s="1">
        <v>1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1.0041095272793994</v>
      </c>
      <c r="M118" s="1">
        <v>1</v>
      </c>
      <c r="N118" s="1">
        <v>1</v>
      </c>
      <c r="O118" s="1">
        <v>1.0072360010792725</v>
      </c>
      <c r="P118" s="1">
        <v>1</v>
      </c>
      <c r="Q118" s="1">
        <v>1</v>
      </c>
      <c r="S118" s="1">
        <f t="shared" si="199"/>
        <v>100</v>
      </c>
      <c r="T118" s="1">
        <f t="shared" si="201"/>
        <v>100</v>
      </c>
      <c r="U118" s="1">
        <f t="shared" si="202"/>
        <v>100</v>
      </c>
      <c r="V118" s="1">
        <f t="shared" si="203"/>
        <v>100</v>
      </c>
      <c r="W118" s="1">
        <f t="shared" si="204"/>
        <v>100</v>
      </c>
      <c r="X118" s="1">
        <f t="shared" si="205"/>
        <v>100</v>
      </c>
      <c r="Y118" s="1">
        <f t="shared" si="206"/>
        <v>100</v>
      </c>
      <c r="Z118" s="1">
        <f t="shared" si="207"/>
        <v>100</v>
      </c>
      <c r="AA118" s="1">
        <f t="shared" si="208"/>
        <v>100</v>
      </c>
      <c r="AB118" s="1">
        <f t="shared" si="209"/>
        <v>100.41095272793994</v>
      </c>
      <c r="AC118" s="1">
        <f t="shared" si="210"/>
        <v>100.41095272793994</v>
      </c>
      <c r="AD118" s="1">
        <f t="shared" si="211"/>
        <v>100.41095272793994</v>
      </c>
      <c r="AE118" s="1">
        <f t="shared" si="212"/>
        <v>100.10273818198499</v>
      </c>
      <c r="AF118" s="1">
        <f t="shared" si="213"/>
        <v>0.9989736726102515</v>
      </c>
      <c r="AH118" s="1" t="str">
        <f t="shared" si="214"/>
        <v>C2220.36410</v>
      </c>
      <c r="AI118" s="1">
        <f t="shared" si="237"/>
        <v>99.897367261025153</v>
      </c>
      <c r="AJ118" s="1">
        <f t="shared" si="238"/>
        <v>99.897367261025153</v>
      </c>
      <c r="AK118" s="1">
        <f t="shared" si="239"/>
        <v>99.897367261025153</v>
      </c>
      <c r="AL118" s="1">
        <f t="shared" si="240"/>
        <v>99.897367261025153</v>
      </c>
      <c r="AM118" s="1">
        <f t="shared" si="241"/>
        <v>99.897367261025153</v>
      </c>
      <c r="AN118" s="1">
        <f t="shared" si="242"/>
        <v>99.897367261025153</v>
      </c>
      <c r="AO118" s="1">
        <f t="shared" si="243"/>
        <v>99.897367261025153</v>
      </c>
      <c r="AP118" s="1">
        <f t="shared" si="244"/>
        <v>99.897367261025153</v>
      </c>
      <c r="AQ118" s="1">
        <f t="shared" si="245"/>
        <v>99.897367261025153</v>
      </c>
      <c r="AR118" s="1">
        <f t="shared" si="246"/>
        <v>100.30789821692451</v>
      </c>
      <c r="AS118" s="1">
        <f t="shared" si="247"/>
        <v>100.30789821692451</v>
      </c>
      <c r="AT118" s="1">
        <f t="shared" si="248"/>
        <v>100.30789821692451</v>
      </c>
      <c r="AU118" s="1">
        <f t="shared" ref="AU118:AW118" si="290">AT118*O118</f>
        <v>101.03372627668173</v>
      </c>
      <c r="AV118" s="1">
        <f t="shared" si="290"/>
        <v>101.03372627668173</v>
      </c>
      <c r="AW118" s="1">
        <f t="shared" si="290"/>
        <v>101.03372627668173</v>
      </c>
      <c r="AX118" s="1" t="b">
        <f t="shared" si="173"/>
        <v>1</v>
      </c>
      <c r="AY118" s="1" t="s">
        <v>125</v>
      </c>
      <c r="AZ118" s="1" t="str">
        <f t="shared" si="197"/>
        <v>C22</v>
      </c>
      <c r="BA118" s="1" t="str">
        <f t="shared" si="198"/>
        <v>C2220</v>
      </c>
      <c r="BB118" s="1" t="s">
        <v>383</v>
      </c>
      <c r="BC118" s="1" t="s">
        <v>384</v>
      </c>
      <c r="BD118" s="1">
        <v>1.0225709959568917E-2</v>
      </c>
      <c r="BE118" s="1">
        <f t="shared" si="257"/>
        <v>1.0215215033357787</v>
      </c>
      <c r="BF118" s="1">
        <f t="shared" si="258"/>
        <v>1.0215215033357787</v>
      </c>
      <c r="BG118" s="1">
        <f t="shared" si="259"/>
        <v>1.0215215033357787</v>
      </c>
      <c r="BH118" s="1">
        <f t="shared" si="260"/>
        <v>1.0215215033357787</v>
      </c>
      <c r="BI118" s="1">
        <f t="shared" si="261"/>
        <v>1.0215215033357787</v>
      </c>
      <c r="BJ118" s="1">
        <f t="shared" si="262"/>
        <v>1.0215215033357787</v>
      </c>
      <c r="BK118" s="1">
        <f t="shared" si="263"/>
        <v>1.0215215033357787</v>
      </c>
      <c r="BL118" s="1">
        <f t="shared" si="264"/>
        <v>1.0215215033357787</v>
      </c>
      <c r="BM118" s="1">
        <f t="shared" si="265"/>
        <v>1.0215215033357787</v>
      </c>
      <c r="BN118" s="1">
        <f t="shared" si="266"/>
        <v>1.0257194738202302</v>
      </c>
      <c r="BO118" s="1">
        <f t="shared" si="267"/>
        <v>1.0257194738202302</v>
      </c>
      <c r="BP118" s="1">
        <f t="shared" si="268"/>
        <v>1.0257194738202302</v>
      </c>
      <c r="BQ118" s="1">
        <f t="shared" si="269"/>
        <v>1.0331415810398241</v>
      </c>
      <c r="BR118" s="1">
        <f t="shared" si="270"/>
        <v>1.0331415810398241</v>
      </c>
      <c r="BS118" s="1">
        <f t="shared" si="271"/>
        <v>1.0331415810398241</v>
      </c>
      <c r="BV118" s="1" t="s">
        <v>125</v>
      </c>
      <c r="BW118" s="1">
        <f>((AJ118-AI118)/BE$154)*$BD118</f>
        <v>0</v>
      </c>
      <c r="BX118" s="1">
        <f>((AK118-AJ118)/BF$154)*$BD118</f>
        <v>0</v>
      </c>
      <c r="BY118" s="1">
        <f>((AL118-AK118)/BG$154)*$BD118</f>
        <v>0</v>
      </c>
      <c r="BZ118" s="1">
        <f>((AM118-AL118)/BH$154)*$BD118</f>
        <v>0</v>
      </c>
      <c r="CA118" s="1">
        <f>((AN118-AM118)/BI$154)*$BD118</f>
        <v>0</v>
      </c>
      <c r="CB118" s="1">
        <f>((AO118-AN118)/BJ$154)*$BD118</f>
        <v>0</v>
      </c>
      <c r="CC118" s="1">
        <f>((AP118-AO118)/BK$154)*$BD118</f>
        <v>0</v>
      </c>
      <c r="CD118" s="1">
        <f>((AQ118-AP118)/BL$154)*$BD118</f>
        <v>0</v>
      </c>
      <c r="CE118" s="1">
        <f>((AR118-AQ118)/BM$154)*$BD118</f>
        <v>4.1809867381864141E-5</v>
      </c>
      <c r="CF118" s="1">
        <f>((AS118-AR118)/BN$154)*$BD118</f>
        <v>0</v>
      </c>
      <c r="CG118" s="1">
        <f>((AT118-AS118)/BO$154)*$BD118</f>
        <v>0</v>
      </c>
      <c r="CH118" s="1">
        <f>((AU118-AT118)/BP$154)*$BD118</f>
        <v>7.3671807455035797E-5</v>
      </c>
      <c r="CI118" s="1">
        <f>((AV118-AU118)/BQ$154)*$BD118</f>
        <v>0</v>
      </c>
      <c r="CJ118" s="1">
        <f>((AW118-AV118)/BR$154)*$BD118</f>
        <v>0</v>
      </c>
    </row>
    <row r="119" spans="1:88" x14ac:dyDescent="0.35">
      <c r="A119" s="1" t="s">
        <v>126</v>
      </c>
      <c r="B119" s="1">
        <v>0.99989911827728817</v>
      </c>
      <c r="C119" s="1">
        <v>1</v>
      </c>
      <c r="D119" s="1">
        <v>1</v>
      </c>
      <c r="E119" s="1">
        <v>0.99986307149158948</v>
      </c>
      <c r="F119" s="1">
        <v>0.99957868200210376</v>
      </c>
      <c r="G119" s="1">
        <v>1.0062948287537485</v>
      </c>
      <c r="H119" s="1">
        <v>0.99995038337085074</v>
      </c>
      <c r="I119" s="1">
        <v>0.99982859352017261</v>
      </c>
      <c r="J119" s="1">
        <v>0.99985024683390877</v>
      </c>
      <c r="K119" s="1">
        <v>1.003659704839398</v>
      </c>
      <c r="L119" s="1">
        <v>0.99995683659509682</v>
      </c>
      <c r="M119" s="1">
        <v>0.99932022524538078</v>
      </c>
      <c r="N119" s="1">
        <v>0.99979159301413434</v>
      </c>
      <c r="O119" s="1">
        <v>1.0054268367118291</v>
      </c>
      <c r="P119" s="1">
        <v>0.9994146078309778</v>
      </c>
      <c r="Q119" s="1">
        <v>0.99986414055180239</v>
      </c>
      <c r="S119" s="1">
        <f t="shared" si="199"/>
        <v>100</v>
      </c>
      <c r="T119" s="1">
        <f t="shared" si="201"/>
        <v>100</v>
      </c>
      <c r="U119" s="1">
        <f t="shared" si="202"/>
        <v>99.986307149158947</v>
      </c>
      <c r="V119" s="1">
        <f t="shared" si="203"/>
        <v>99.944181118413823</v>
      </c>
      <c r="W119" s="1">
        <f t="shared" si="204"/>
        <v>100.57331262348787</v>
      </c>
      <c r="X119" s="1">
        <f t="shared" si="205"/>
        <v>100.56832251473311</v>
      </c>
      <c r="Y119" s="1">
        <f t="shared" si="206"/>
        <v>100.55108445258871</v>
      </c>
      <c r="Z119" s="1">
        <f t="shared" si="207"/>
        <v>100.53602660933802</v>
      </c>
      <c r="AA119" s="1">
        <f t="shared" si="208"/>
        <v>100.90395879245406</v>
      </c>
      <c r="AB119" s="1">
        <f t="shared" si="209"/>
        <v>100.89960343402437</v>
      </c>
      <c r="AC119" s="1">
        <f t="shared" si="210"/>
        <v>100.83101443085883</v>
      </c>
      <c r="AD119" s="1">
        <f t="shared" si="211"/>
        <v>100.81000054305952</v>
      </c>
      <c r="AE119" s="1">
        <f t="shared" si="212"/>
        <v>100.46698430567643</v>
      </c>
      <c r="AF119" s="1">
        <f t="shared" si="213"/>
        <v>0.99535186301346912</v>
      </c>
      <c r="AH119" s="1" t="str">
        <f t="shared" si="214"/>
        <v>C2220.36490</v>
      </c>
      <c r="AI119" s="1">
        <f t="shared" si="237"/>
        <v>99.535186301346911</v>
      </c>
      <c r="AJ119" s="1">
        <f t="shared" si="238"/>
        <v>99.535186301346911</v>
      </c>
      <c r="AK119" s="1">
        <f t="shared" si="239"/>
        <v>99.521557096752304</v>
      </c>
      <c r="AL119" s="1">
        <f t="shared" si="240"/>
        <v>99.479626873568776</v>
      </c>
      <c r="AM119" s="1">
        <f t="shared" si="241"/>
        <v>100.1058340892247</v>
      </c>
      <c r="AN119" s="1">
        <f t="shared" si="242"/>
        <v>100.10086717517902</v>
      </c>
      <c r="AO119" s="1">
        <f t="shared" si="243"/>
        <v>100.08370923790885</v>
      </c>
      <c r="AP119" s="1">
        <f t="shared" si="244"/>
        <v>100.06872138557631</v>
      </c>
      <c r="AQ119" s="1">
        <f t="shared" si="245"/>
        <v>100.43494336950347</v>
      </c>
      <c r="AR119" s="1">
        <f t="shared" si="246"/>
        <v>100.43060825537638</v>
      </c>
      <c r="AS119" s="1">
        <f t="shared" si="247"/>
        <v>100.36233806329332</v>
      </c>
      <c r="AT119" s="1">
        <f t="shared" si="248"/>
        <v>100.34142185092313</v>
      </c>
      <c r="AU119" s="1">
        <f t="shared" ref="AU119:AW119" si="291">AT119*O119</f>
        <v>100.88595836274085</v>
      </c>
      <c r="AV119" s="1">
        <f t="shared" si="291"/>
        <v>100.826900512751</v>
      </c>
      <c r="AW119" s="1">
        <f t="shared" si="291"/>
        <v>100.81320222568385</v>
      </c>
      <c r="AX119" s="1" t="b">
        <f t="shared" si="173"/>
        <v>1</v>
      </c>
      <c r="AY119" s="1" t="s">
        <v>126</v>
      </c>
      <c r="AZ119" s="1" t="str">
        <f t="shared" si="197"/>
        <v>C22</v>
      </c>
      <c r="BA119" s="1" t="str">
        <f t="shared" si="198"/>
        <v>C2220</v>
      </c>
      <c r="BB119" s="1" t="s">
        <v>385</v>
      </c>
      <c r="BC119" s="1" t="s">
        <v>386</v>
      </c>
      <c r="BD119" s="1">
        <v>1.0225709959568917E-2</v>
      </c>
      <c r="BE119" s="1">
        <f t="shared" si="257"/>
        <v>1.0178179458892307</v>
      </c>
      <c r="BF119" s="1">
        <f t="shared" si="258"/>
        <v>1.0178179458892307</v>
      </c>
      <c r="BG119" s="1">
        <f t="shared" si="259"/>
        <v>1.0176785775960666</v>
      </c>
      <c r="BH119" s="1">
        <f t="shared" si="260"/>
        <v>1.0172498112952519</v>
      </c>
      <c r="BI119" s="1">
        <f t="shared" si="261"/>
        <v>1.0236532246571386</v>
      </c>
      <c r="BJ119" s="1">
        <f t="shared" si="262"/>
        <v>1.0236024344347134</v>
      </c>
      <c r="BK119" s="1">
        <f t="shared" si="263"/>
        <v>1.0234269823446842</v>
      </c>
      <c r="BL119" s="1">
        <f t="shared" si="264"/>
        <v>1.0232737209138147</v>
      </c>
      <c r="BM119" s="1">
        <f t="shared" si="265"/>
        <v>1.0270186007022719</v>
      </c>
      <c r="BN119" s="1">
        <f t="shared" si="266"/>
        <v>1.0269742710825667</v>
      </c>
      <c r="BO119" s="1">
        <f t="shared" si="267"/>
        <v>1.0262761598994412</v>
      </c>
      <c r="BP119" s="1">
        <f t="shared" si="268"/>
        <v>1.0260622767782908</v>
      </c>
      <c r="BQ119" s="1">
        <f t="shared" si="269"/>
        <v>1.0316305492105342</v>
      </c>
      <c r="BR119" s="1">
        <f t="shared" si="270"/>
        <v>1.0310266407657023</v>
      </c>
      <c r="BS119" s="1">
        <f t="shared" si="271"/>
        <v>1.0308865660552107</v>
      </c>
      <c r="BV119" s="1" t="s">
        <v>126</v>
      </c>
      <c r="BW119" s="1">
        <f>((AJ119-AI119)/BE$154)*$BD119</f>
        <v>0</v>
      </c>
      <c r="BX119" s="1">
        <f>((AK119-AJ119)/BF$154)*$BD119</f>
        <v>-1.4007826358797591E-6</v>
      </c>
      <c r="BY119" s="1">
        <f>((AL119-AK119)/BG$154)*$BD119</f>
        <v>-4.3114684346432764E-6</v>
      </c>
      <c r="BZ119" s="1">
        <f>((AM119-AL119)/BH$154)*$BD119</f>
        <v>6.4244780492747909E-5</v>
      </c>
      <c r="CA119" s="1">
        <f>((AN119-AM119)/BI$154)*$BD119</f>
        <v>-5.0902617457659723E-7</v>
      </c>
      <c r="CB119" s="1">
        <f>((AO119-AN119)/BJ$154)*$BD119</f>
        <v>-1.7574725990122876E-6</v>
      </c>
      <c r="CC119" s="1">
        <f>((AP119-AO119)/BK$154)*$BD119</f>
        <v>-1.5347518103226374E-6</v>
      </c>
      <c r="CD119" s="1">
        <f>((AQ119-AP119)/BL$154)*$BD119</f>
        <v>3.7446509519530463E-5</v>
      </c>
      <c r="CE119" s="1">
        <f>((AR119-AQ119)/BM$154)*$BD119</f>
        <v>-4.41502751824659E-7</v>
      </c>
      <c r="CF119" s="1">
        <f>((AS119-AR119)/BN$154)*$BD119</f>
        <v>-6.9471103971455121E-6</v>
      </c>
      <c r="CG119" s="1">
        <f>((AT119-AS119)/BO$154)*$BD119</f>
        <v>-2.1235420629574924E-6</v>
      </c>
      <c r="CH119" s="1">
        <f>((AU119-AT119)/BP$154)*$BD119</f>
        <v>5.5270650550890662E-5</v>
      </c>
      <c r="CI119" s="1">
        <f>((AV119-AU119)/BQ$154)*$BD119</f>
        <v>-5.9736076943127805E-6</v>
      </c>
      <c r="CJ119" s="1">
        <f>((AW119-AV119)/BR$154)*$BD119</f>
        <v>-1.3830752618431665E-6</v>
      </c>
    </row>
    <row r="120" spans="1:88" x14ac:dyDescent="0.35">
      <c r="A120" s="1" t="s">
        <v>127</v>
      </c>
      <c r="B120" s="1">
        <v>1</v>
      </c>
      <c r="C120" s="1">
        <v>1</v>
      </c>
      <c r="D120" s="1">
        <v>1</v>
      </c>
      <c r="E120" s="1">
        <v>1.0137043552177676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0.97687315984743706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S120" s="1">
        <f t="shared" si="199"/>
        <v>100</v>
      </c>
      <c r="T120" s="1">
        <f t="shared" si="201"/>
        <v>100</v>
      </c>
      <c r="U120" s="1">
        <f t="shared" si="202"/>
        <v>101.37043552177676</v>
      </c>
      <c r="V120" s="1">
        <f t="shared" si="203"/>
        <v>101.37043552177676</v>
      </c>
      <c r="W120" s="1">
        <f t="shared" si="204"/>
        <v>101.37043552177676</v>
      </c>
      <c r="X120" s="1">
        <f t="shared" si="205"/>
        <v>101.37043552177676</v>
      </c>
      <c r="Y120" s="1">
        <f t="shared" si="206"/>
        <v>101.37043552177676</v>
      </c>
      <c r="Z120" s="1">
        <f t="shared" si="207"/>
        <v>101.37043552177676</v>
      </c>
      <c r="AA120" s="1">
        <f t="shared" si="208"/>
        <v>101.37043552177676</v>
      </c>
      <c r="AB120" s="1">
        <f t="shared" si="209"/>
        <v>99.026057663268929</v>
      </c>
      <c r="AC120" s="1">
        <f t="shared" si="210"/>
        <v>99.026057663268929</v>
      </c>
      <c r="AD120" s="1">
        <f t="shared" si="211"/>
        <v>99.026057663268929</v>
      </c>
      <c r="AE120" s="1">
        <f t="shared" si="212"/>
        <v>100.55593513685365</v>
      </c>
      <c r="AF120" s="1">
        <f t="shared" si="213"/>
        <v>0.99447138414955782</v>
      </c>
      <c r="AH120" s="1" t="str">
        <f t="shared" si="214"/>
        <v>C2220.36920</v>
      </c>
      <c r="AI120" s="1">
        <f t="shared" si="237"/>
        <v>99.447138414955788</v>
      </c>
      <c r="AJ120" s="1">
        <f t="shared" si="238"/>
        <v>99.447138414955788</v>
      </c>
      <c r="AK120" s="1">
        <f t="shared" si="239"/>
        <v>100.80999732518484</v>
      </c>
      <c r="AL120" s="1">
        <f t="shared" si="240"/>
        <v>100.80999732518484</v>
      </c>
      <c r="AM120" s="1">
        <f t="shared" si="241"/>
        <v>100.80999732518484</v>
      </c>
      <c r="AN120" s="1">
        <f t="shared" si="242"/>
        <v>100.80999732518484</v>
      </c>
      <c r="AO120" s="1">
        <f t="shared" si="243"/>
        <v>100.80999732518484</v>
      </c>
      <c r="AP120" s="1">
        <f t="shared" si="244"/>
        <v>100.80999732518484</v>
      </c>
      <c r="AQ120" s="1">
        <f t="shared" si="245"/>
        <v>100.80999732518484</v>
      </c>
      <c r="AR120" s="1">
        <f t="shared" si="246"/>
        <v>98.478580631264975</v>
      </c>
      <c r="AS120" s="1">
        <f t="shared" si="247"/>
        <v>98.478580631264975</v>
      </c>
      <c r="AT120" s="1">
        <f t="shared" si="248"/>
        <v>98.478580631264975</v>
      </c>
      <c r="AU120" s="1">
        <f t="shared" ref="AU120:AW120" si="292">AT120*O120</f>
        <v>98.478580631264975</v>
      </c>
      <c r="AV120" s="1">
        <f t="shared" si="292"/>
        <v>98.478580631264975</v>
      </c>
      <c r="AW120" s="1">
        <f t="shared" si="292"/>
        <v>98.478580631264975</v>
      </c>
      <c r="AX120" s="1" t="b">
        <f t="shared" si="173"/>
        <v>1</v>
      </c>
      <c r="AY120" s="1" t="s">
        <v>127</v>
      </c>
      <c r="AZ120" s="1" t="str">
        <f t="shared" si="197"/>
        <v>C22</v>
      </c>
      <c r="BA120" s="1" t="str">
        <f t="shared" si="198"/>
        <v>C2220</v>
      </c>
      <c r="BB120" s="1" t="s">
        <v>387</v>
      </c>
      <c r="BC120" s="1" t="s">
        <v>388</v>
      </c>
      <c r="BD120" s="1">
        <v>1.0225709959568917E-2</v>
      </c>
      <c r="BE120" s="1">
        <f t="shared" si="257"/>
        <v>1.016917593740442</v>
      </c>
      <c r="BF120" s="1">
        <f t="shared" si="258"/>
        <v>1.016917593740442</v>
      </c>
      <c r="BG120" s="1">
        <f t="shared" si="259"/>
        <v>1.0308537936722584</v>
      </c>
      <c r="BH120" s="1">
        <f t="shared" si="260"/>
        <v>1.0308537936722584</v>
      </c>
      <c r="BI120" s="1">
        <f t="shared" si="261"/>
        <v>1.0308537936722584</v>
      </c>
      <c r="BJ120" s="1">
        <f t="shared" si="262"/>
        <v>1.0308537936722584</v>
      </c>
      <c r="BK120" s="1">
        <f t="shared" si="263"/>
        <v>1.0308537936722584</v>
      </c>
      <c r="BL120" s="1">
        <f t="shared" si="264"/>
        <v>1.0308537936722584</v>
      </c>
      <c r="BM120" s="1">
        <f t="shared" si="265"/>
        <v>1.0308537936722584</v>
      </c>
      <c r="BN120" s="1">
        <f t="shared" si="266"/>
        <v>1.0070134027653368</v>
      </c>
      <c r="BO120" s="1">
        <f t="shared" si="267"/>
        <v>1.0070134027653368</v>
      </c>
      <c r="BP120" s="1">
        <f t="shared" si="268"/>
        <v>1.0070134027653368</v>
      </c>
      <c r="BQ120" s="1">
        <f t="shared" si="269"/>
        <v>1.0070134027653368</v>
      </c>
      <c r="BR120" s="1">
        <f t="shared" si="270"/>
        <v>1.0070134027653368</v>
      </c>
      <c r="BS120" s="1">
        <f t="shared" si="271"/>
        <v>1.0070134027653368</v>
      </c>
      <c r="BV120" s="1" t="s">
        <v>127</v>
      </c>
      <c r="BW120" s="1">
        <f>((AJ120-AI120)/BE$154)*$BD120</f>
        <v>0</v>
      </c>
      <c r="BX120" s="1">
        <f>((AK120-AJ120)/BF$154)*$BD120</f>
        <v>1.4007193767992589E-4</v>
      </c>
      <c r="BY120" s="1">
        <f>((AL120-AK120)/BG$154)*$BD120</f>
        <v>0</v>
      </c>
      <c r="BZ120" s="1">
        <f>((AM120-AL120)/BH$154)*$BD120</f>
        <v>0</v>
      </c>
      <c r="CA120" s="1">
        <f>((AN120-AM120)/BI$154)*$BD120</f>
        <v>0</v>
      </c>
      <c r="CB120" s="1">
        <f>((AO120-AN120)/BJ$154)*$BD120</f>
        <v>0</v>
      </c>
      <c r="CC120" s="1">
        <f>((AP120-AO120)/BK$154)*$BD120</f>
        <v>0</v>
      </c>
      <c r="CD120" s="1">
        <f>((AQ120-AP120)/BL$154)*$BD120</f>
        <v>0</v>
      </c>
      <c r="CE120" s="1">
        <f>((AR120-AQ120)/BM$154)*$BD120</f>
        <v>-2.3743939740453887E-4</v>
      </c>
      <c r="CF120" s="1">
        <f>((AS120-AR120)/BN$154)*$BD120</f>
        <v>0</v>
      </c>
      <c r="CG120" s="1">
        <f>((AT120-AS120)/BO$154)*$BD120</f>
        <v>0</v>
      </c>
      <c r="CH120" s="1">
        <f>((AU120-AT120)/BP$154)*$BD120</f>
        <v>0</v>
      </c>
      <c r="CI120" s="1">
        <f>((AV120-AU120)/BQ$154)*$BD120</f>
        <v>0</v>
      </c>
      <c r="CJ120" s="1">
        <f>((AW120-AV120)/BR$154)*$BD120</f>
        <v>0</v>
      </c>
    </row>
    <row r="121" spans="1:88" x14ac:dyDescent="0.35">
      <c r="A121" s="1" t="s">
        <v>128</v>
      </c>
      <c r="B121" s="1">
        <v>0.9974293788623726</v>
      </c>
      <c r="C121" s="1">
        <v>1</v>
      </c>
      <c r="D121" s="1">
        <v>1</v>
      </c>
      <c r="E121" s="1">
        <v>0.99999986138827324</v>
      </c>
      <c r="F121" s="1">
        <v>1.0023259916777818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0.9999993852802096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S121" s="1">
        <f t="shared" si="199"/>
        <v>100</v>
      </c>
      <c r="T121" s="1">
        <f t="shared" si="201"/>
        <v>100</v>
      </c>
      <c r="U121" s="1">
        <f t="shared" si="202"/>
        <v>99.999986138827325</v>
      </c>
      <c r="V121" s="1">
        <f t="shared" si="203"/>
        <v>100.23258527436454</v>
      </c>
      <c r="W121" s="1">
        <f t="shared" si="204"/>
        <v>100.23258527436454</v>
      </c>
      <c r="X121" s="1">
        <f t="shared" si="205"/>
        <v>100.23258527436454</v>
      </c>
      <c r="Y121" s="1">
        <f t="shared" si="206"/>
        <v>100.23258527436454</v>
      </c>
      <c r="Z121" s="1">
        <f t="shared" si="207"/>
        <v>100.23258527436454</v>
      </c>
      <c r="AA121" s="1">
        <f t="shared" si="208"/>
        <v>100.23258527436454</v>
      </c>
      <c r="AB121" s="1">
        <f t="shared" si="209"/>
        <v>100.23252365941073</v>
      </c>
      <c r="AC121" s="1">
        <f t="shared" si="210"/>
        <v>100.23252365941073</v>
      </c>
      <c r="AD121" s="1">
        <f t="shared" si="211"/>
        <v>100.23252365941073</v>
      </c>
      <c r="AE121" s="1">
        <f t="shared" si="212"/>
        <v>100.17442239693723</v>
      </c>
      <c r="AF121" s="1">
        <f t="shared" si="213"/>
        <v>0.9982588130506399</v>
      </c>
      <c r="AH121" s="1" t="str">
        <f t="shared" si="214"/>
        <v>C2220.36950</v>
      </c>
      <c r="AI121" s="1">
        <f t="shared" si="237"/>
        <v>99.825881305063987</v>
      </c>
      <c r="AJ121" s="1">
        <f t="shared" si="238"/>
        <v>99.825881305063987</v>
      </c>
      <c r="AK121" s="1">
        <f t="shared" si="239"/>
        <v>99.825867468026203</v>
      </c>
      <c r="AL121" s="1">
        <f t="shared" si="240"/>
        <v>100.05806160498419</v>
      </c>
      <c r="AM121" s="1">
        <f t="shared" si="241"/>
        <v>100.05806160498419</v>
      </c>
      <c r="AN121" s="1">
        <f t="shared" si="242"/>
        <v>100.05806160498419</v>
      </c>
      <c r="AO121" s="1">
        <f t="shared" si="243"/>
        <v>100.05806160498419</v>
      </c>
      <c r="AP121" s="1">
        <f t="shared" si="244"/>
        <v>100.05806160498419</v>
      </c>
      <c r="AQ121" s="1">
        <f t="shared" si="245"/>
        <v>100.05806160498419</v>
      </c>
      <c r="AR121" s="1">
        <f t="shared" si="246"/>
        <v>100.05800009731354</v>
      </c>
      <c r="AS121" s="1">
        <f t="shared" si="247"/>
        <v>100.05800009731354</v>
      </c>
      <c r="AT121" s="1">
        <f t="shared" si="248"/>
        <v>100.05800009731354</v>
      </c>
      <c r="AU121" s="1">
        <f t="shared" ref="AU121:AW121" si="293">AT121*O121</f>
        <v>100.05800009731354</v>
      </c>
      <c r="AV121" s="1">
        <f t="shared" si="293"/>
        <v>100.05800009731354</v>
      </c>
      <c r="AW121" s="1">
        <f t="shared" si="293"/>
        <v>100.05800009731354</v>
      </c>
      <c r="AX121" s="1" t="b">
        <f t="shared" si="173"/>
        <v>1</v>
      </c>
      <c r="AY121" s="1" t="s">
        <v>128</v>
      </c>
      <c r="AZ121" s="1" t="str">
        <f t="shared" si="197"/>
        <v>C22</v>
      </c>
      <c r="BA121" s="1" t="str">
        <f t="shared" si="198"/>
        <v>C2220</v>
      </c>
      <c r="BB121" s="1" t="s">
        <v>389</v>
      </c>
      <c r="BC121" s="1" t="s">
        <v>390</v>
      </c>
      <c r="BD121" s="1">
        <v>1.0225709959568917E-2</v>
      </c>
      <c r="BE121" s="1">
        <f t="shared" si="257"/>
        <v>1.0207905086839373</v>
      </c>
      <c r="BF121" s="1">
        <f t="shared" si="258"/>
        <v>1.0207905086839373</v>
      </c>
      <c r="BG121" s="1">
        <f t="shared" si="259"/>
        <v>1.0207903671904022</v>
      </c>
      <c r="BH121" s="1">
        <f t="shared" si="260"/>
        <v>1.0231647170892471</v>
      </c>
      <c r="BI121" s="1">
        <f t="shared" si="261"/>
        <v>1.0231647170892471</v>
      </c>
      <c r="BJ121" s="1">
        <f t="shared" si="262"/>
        <v>1.0231647170892471</v>
      </c>
      <c r="BK121" s="1">
        <f t="shared" si="263"/>
        <v>1.0231647170892471</v>
      </c>
      <c r="BL121" s="1">
        <f t="shared" si="264"/>
        <v>1.0231647170892471</v>
      </c>
      <c r="BM121" s="1">
        <f t="shared" si="265"/>
        <v>1.0231647170892471</v>
      </c>
      <c r="BN121" s="1">
        <f t="shared" si="266"/>
        <v>1.0231640881296467</v>
      </c>
      <c r="BO121" s="1">
        <f t="shared" si="267"/>
        <v>1.0231640881296467</v>
      </c>
      <c r="BP121" s="1">
        <f t="shared" si="268"/>
        <v>1.0231640881296467</v>
      </c>
      <c r="BQ121" s="1">
        <f t="shared" si="269"/>
        <v>1.0231640881296467</v>
      </c>
      <c r="BR121" s="1">
        <f t="shared" si="270"/>
        <v>1.0231640881296467</v>
      </c>
      <c r="BS121" s="1">
        <f t="shared" si="271"/>
        <v>1.0231640881296467</v>
      </c>
      <c r="BV121" s="1" t="s">
        <v>128</v>
      </c>
      <c r="BW121" s="1">
        <f>((AJ121-AI121)/BE$154)*$BD121</f>
        <v>0</v>
      </c>
      <c r="BX121" s="1">
        <f>((AK121-AJ121)/BF$154)*$BD121</f>
        <v>-1.4221433191727397E-9</v>
      </c>
      <c r="BY121" s="1">
        <f>((AL121-AK121)/BG$154)*$BD121</f>
        <v>2.3875324675039696E-5</v>
      </c>
      <c r="BZ121" s="1">
        <f>((AM121-AL121)/BH$154)*$BD121</f>
        <v>0</v>
      </c>
      <c r="CA121" s="1">
        <f>((AN121-AM121)/BI$154)*$BD121</f>
        <v>0</v>
      </c>
      <c r="CB121" s="1">
        <f>((AO121-AN121)/BJ$154)*$BD121</f>
        <v>0</v>
      </c>
      <c r="CC121" s="1">
        <f>((AP121-AO121)/BK$154)*$BD121</f>
        <v>0</v>
      </c>
      <c r="CD121" s="1">
        <f>((AQ121-AP121)/BL$154)*$BD121</f>
        <v>0</v>
      </c>
      <c r="CE121" s="1">
        <f>((AR121-AQ121)/BM$154)*$BD121</f>
        <v>-6.2641501595158417E-9</v>
      </c>
      <c r="CF121" s="1">
        <f>((AS121-AR121)/BN$154)*$BD121</f>
        <v>0</v>
      </c>
      <c r="CG121" s="1">
        <f>((AT121-AS121)/BO$154)*$BD121</f>
        <v>0</v>
      </c>
      <c r="CH121" s="1">
        <f>((AU121-AT121)/BP$154)*$BD121</f>
        <v>0</v>
      </c>
      <c r="CI121" s="1">
        <f>((AV121-AU121)/BQ$154)*$BD121</f>
        <v>0</v>
      </c>
      <c r="CJ121" s="1">
        <f>((AW121-AV121)/BR$154)*$BD121</f>
        <v>0</v>
      </c>
    </row>
    <row r="122" spans="1:88" x14ac:dyDescent="0.35">
      <c r="A122" s="1" t="s">
        <v>129</v>
      </c>
      <c r="B122" s="1">
        <v>1</v>
      </c>
      <c r="C122" s="1">
        <v>1</v>
      </c>
      <c r="D122" s="1">
        <v>1</v>
      </c>
      <c r="E122" s="1">
        <v>1</v>
      </c>
      <c r="F122" s="1">
        <v>0.99999979308682563</v>
      </c>
      <c r="G122" s="1">
        <v>0.99999975468668478</v>
      </c>
      <c r="H122" s="1">
        <v>0.9999999941775839</v>
      </c>
      <c r="I122" s="1">
        <v>1</v>
      </c>
      <c r="J122" s="1">
        <v>0.99999633336030458</v>
      </c>
      <c r="K122" s="1">
        <v>0.99999995924307961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0.99976660047005972</v>
      </c>
      <c r="S122" s="1">
        <f t="shared" si="199"/>
        <v>100</v>
      </c>
      <c r="T122" s="1">
        <f t="shared" si="201"/>
        <v>100</v>
      </c>
      <c r="U122" s="1">
        <f t="shared" si="202"/>
        <v>100</v>
      </c>
      <c r="V122" s="1">
        <f t="shared" si="203"/>
        <v>99.999979308682569</v>
      </c>
      <c r="W122" s="1">
        <f t="shared" si="204"/>
        <v>99.999954777356123</v>
      </c>
      <c r="X122" s="1">
        <f t="shared" si="205"/>
        <v>99.999954195114782</v>
      </c>
      <c r="Y122" s="1">
        <f t="shared" si="206"/>
        <v>99.999954195114782</v>
      </c>
      <c r="Z122" s="1">
        <f t="shared" si="207"/>
        <v>99.999587531313196</v>
      </c>
      <c r="AA122" s="1">
        <f t="shared" si="208"/>
        <v>99.999583455637961</v>
      </c>
      <c r="AB122" s="1">
        <f t="shared" si="209"/>
        <v>99.999583455637961</v>
      </c>
      <c r="AC122" s="1">
        <f t="shared" si="210"/>
        <v>99.999583455637961</v>
      </c>
      <c r="AD122" s="1">
        <f t="shared" si="211"/>
        <v>99.999583455637961</v>
      </c>
      <c r="AE122" s="1">
        <f t="shared" si="212"/>
        <v>99.999813652511122</v>
      </c>
      <c r="AF122" s="1">
        <f t="shared" si="213"/>
        <v>1.0000018634783614</v>
      </c>
      <c r="AH122" s="1" t="str">
        <f t="shared" si="214"/>
        <v>C2220.36990</v>
      </c>
      <c r="AI122" s="1">
        <f t="shared" si="237"/>
        <v>100.00018634783613</v>
      </c>
      <c r="AJ122" s="1">
        <f t="shared" si="238"/>
        <v>100.00018634783613</v>
      </c>
      <c r="AK122" s="1">
        <f t="shared" si="239"/>
        <v>100.00018634783613</v>
      </c>
      <c r="AL122" s="1">
        <f t="shared" si="240"/>
        <v>100.00016565648015</v>
      </c>
      <c r="AM122" s="1">
        <f t="shared" si="241"/>
        <v>100.00014112510799</v>
      </c>
      <c r="AN122" s="1">
        <f t="shared" si="242"/>
        <v>100.00014054286557</v>
      </c>
      <c r="AO122" s="1">
        <f t="shared" si="243"/>
        <v>100.00014054286557</v>
      </c>
      <c r="AP122" s="1">
        <f t="shared" si="244"/>
        <v>99.999773878380708</v>
      </c>
      <c r="AQ122" s="1">
        <f t="shared" si="245"/>
        <v>99.999769802697884</v>
      </c>
      <c r="AR122" s="1">
        <f t="shared" si="246"/>
        <v>99.999769802697884</v>
      </c>
      <c r="AS122" s="1">
        <f t="shared" si="247"/>
        <v>99.999769802697884</v>
      </c>
      <c r="AT122" s="1">
        <f t="shared" si="248"/>
        <v>99.999769802697884</v>
      </c>
      <c r="AU122" s="1">
        <f t="shared" ref="AU122:AW122" si="294">AT122*O122</f>
        <v>99.999769802697884</v>
      </c>
      <c r="AV122" s="1">
        <f t="shared" si="294"/>
        <v>99.999769802697884</v>
      </c>
      <c r="AW122" s="1">
        <f t="shared" si="294"/>
        <v>99.976429903431793</v>
      </c>
      <c r="AX122" s="1" t="b">
        <f t="shared" si="173"/>
        <v>1</v>
      </c>
      <c r="AY122" s="1" t="s">
        <v>129</v>
      </c>
      <c r="AZ122" s="1" t="str">
        <f t="shared" si="197"/>
        <v>C22</v>
      </c>
      <c r="BA122" s="1" t="str">
        <f t="shared" si="198"/>
        <v>C2220</v>
      </c>
      <c r="BB122" s="1" t="s">
        <v>391</v>
      </c>
      <c r="BC122" s="1" t="s">
        <v>392</v>
      </c>
      <c r="BD122" s="1">
        <v>1.0225709959568917E-2</v>
      </c>
      <c r="BE122" s="1">
        <f t="shared" si="257"/>
        <v>1.0225729014958156</v>
      </c>
      <c r="BF122" s="1">
        <f t="shared" si="258"/>
        <v>1.0225729014958156</v>
      </c>
      <c r="BG122" s="1">
        <f t="shared" si="259"/>
        <v>1.0225729014958156</v>
      </c>
      <c r="BH122" s="1">
        <f t="shared" si="260"/>
        <v>1.0225726899120107</v>
      </c>
      <c r="BI122" s="1">
        <f t="shared" si="261"/>
        <v>1.022572439061314</v>
      </c>
      <c r="BJ122" s="1">
        <f t="shared" si="262"/>
        <v>1.0225724331074719</v>
      </c>
      <c r="BK122" s="1">
        <f t="shared" si="263"/>
        <v>1.0225724331074719</v>
      </c>
      <c r="BL122" s="1">
        <f t="shared" si="264"/>
        <v>1.0225686837027972</v>
      </c>
      <c r="BM122" s="1">
        <f t="shared" si="265"/>
        <v>1.0225686420260467</v>
      </c>
      <c r="BN122" s="1">
        <f t="shared" si="266"/>
        <v>1.0225686420260467</v>
      </c>
      <c r="BO122" s="1">
        <f t="shared" si="267"/>
        <v>1.0225686420260467</v>
      </c>
      <c r="BP122" s="1">
        <f t="shared" si="268"/>
        <v>1.0225686420260467</v>
      </c>
      <c r="BQ122" s="1">
        <f t="shared" si="269"/>
        <v>1.0225686420260467</v>
      </c>
      <c r="BR122" s="1">
        <f t="shared" si="270"/>
        <v>1.0225686420260467</v>
      </c>
      <c r="BS122" s="1">
        <f t="shared" si="271"/>
        <v>1.0223299749856662</v>
      </c>
      <c r="BV122" s="1" t="s">
        <v>129</v>
      </c>
      <c r="BW122" s="1">
        <f>((AJ122-AI122)/BE$154)*$BD122</f>
        <v>0</v>
      </c>
      <c r="BX122" s="1">
        <f>((AK122-AJ122)/BF$154)*$BD122</f>
        <v>0</v>
      </c>
      <c r="BY122" s="1">
        <f>((AL122-AK122)/BG$154)*$BD122</f>
        <v>-2.1275853412222764E-9</v>
      </c>
      <c r="BZ122" s="1">
        <f>((AM122-AL122)/BH$154)*$BD122</f>
        <v>-2.5167589582746963E-9</v>
      </c>
      <c r="CA122" s="1">
        <f>((AN122-AM122)/BI$154)*$BD122</f>
        <v>-5.9670175426688081E-11</v>
      </c>
      <c r="CB122" s="1">
        <f>((AO122-AN122)/BJ$154)*$BD122</f>
        <v>0</v>
      </c>
      <c r="CC122" s="1">
        <f>((AP122-AO122)/BK$154)*$BD122</f>
        <v>-3.7546338823673214E-8</v>
      </c>
      <c r="CD122" s="1">
        <f>((AQ122-AP122)/BL$154)*$BD122</f>
        <v>-4.1674203726245444E-10</v>
      </c>
      <c r="CE122" s="1">
        <f>((AR122-AQ122)/BM$154)*$BD122</f>
        <v>0</v>
      </c>
      <c r="CF122" s="1">
        <f>((AS122-AR122)/BN$154)*$BD122</f>
        <v>0</v>
      </c>
      <c r="CG122" s="1">
        <f>((AT122-AS122)/BO$154)*$BD122</f>
        <v>0</v>
      </c>
      <c r="CH122" s="1">
        <f>((AU122-AT122)/BP$154)*$BD122</f>
        <v>0</v>
      </c>
      <c r="CI122" s="1">
        <f>((AV122-AU122)/BQ$154)*$BD122</f>
        <v>0</v>
      </c>
      <c r="CJ122" s="1">
        <f>((AW122-AV122)/BR$154)*$BD122</f>
        <v>-2.3565601400098386E-6</v>
      </c>
    </row>
    <row r="123" spans="1:88" x14ac:dyDescent="0.35">
      <c r="A123" s="1" t="s">
        <v>130</v>
      </c>
      <c r="B123" s="1">
        <v>0.99940605756026479</v>
      </c>
      <c r="C123" s="1">
        <v>1</v>
      </c>
      <c r="D123" s="1">
        <v>0.99904209050881865</v>
      </c>
      <c r="E123" s="1">
        <v>0.99929848457306136</v>
      </c>
      <c r="F123" s="1">
        <v>0.99733800655378169</v>
      </c>
      <c r="G123" s="1">
        <v>0.99769580529745694</v>
      </c>
      <c r="H123" s="1">
        <v>0.99951272671456748</v>
      </c>
      <c r="I123" s="1">
        <v>0.9990412078934664</v>
      </c>
      <c r="J123" s="1">
        <v>0.9979874600401637</v>
      </c>
      <c r="K123" s="1">
        <v>0.99839546459482176</v>
      </c>
      <c r="L123" s="1">
        <v>1</v>
      </c>
      <c r="M123" s="1">
        <v>0.99974258271722671</v>
      </c>
      <c r="N123" s="1">
        <v>0.99830030277201043</v>
      </c>
      <c r="O123" s="1">
        <v>1.0132061711340969</v>
      </c>
      <c r="P123" s="1">
        <v>1.0001800180382601</v>
      </c>
      <c r="Q123" s="1">
        <v>0.99803971961534454</v>
      </c>
      <c r="S123" s="1">
        <f t="shared" si="199"/>
        <v>100</v>
      </c>
      <c r="T123" s="1">
        <f t="shared" si="201"/>
        <v>99.90420905088186</v>
      </c>
      <c r="U123" s="1">
        <f t="shared" si="202"/>
        <v>99.834124707016571</v>
      </c>
      <c r="V123" s="1">
        <f t="shared" si="203"/>
        <v>99.568366921337557</v>
      </c>
      <c r="W123" s="1">
        <f t="shared" si="204"/>
        <v>99.338942017736542</v>
      </c>
      <c r="X123" s="1">
        <f t="shared" si="205"/>
        <v>99.290536805088166</v>
      </c>
      <c r="Y123" s="1">
        <f t="shared" si="206"/>
        <v>99.195337822145959</v>
      </c>
      <c r="Z123" s="1">
        <f t="shared" si="207"/>
        <v>98.995703240949425</v>
      </c>
      <c r="AA123" s="1">
        <f t="shared" si="208"/>
        <v>98.8368611301388</v>
      </c>
      <c r="AB123" s="1">
        <f t="shared" si="209"/>
        <v>98.8368611301388</v>
      </c>
      <c r="AC123" s="1">
        <f t="shared" si="210"/>
        <v>98.811418813908844</v>
      </c>
      <c r="AD123" s="1">
        <f t="shared" si="211"/>
        <v>98.643469319257122</v>
      </c>
      <c r="AE123" s="1">
        <f t="shared" si="212"/>
        <v>99.271319246549965</v>
      </c>
      <c r="AF123" s="1">
        <f t="shared" si="213"/>
        <v>1.0073402948503212</v>
      </c>
      <c r="AH123" s="1" t="str">
        <f t="shared" si="214"/>
        <v>C2310.37191</v>
      </c>
      <c r="AI123" s="1">
        <f t="shared" si="237"/>
        <v>100.73402948503212</v>
      </c>
      <c r="AJ123" s="1">
        <f t="shared" si="238"/>
        <v>100.63753540210345</v>
      </c>
      <c r="AK123" s="1">
        <f t="shared" si="239"/>
        <v>100.56693661848981</v>
      </c>
      <c r="AL123" s="1">
        <f t="shared" si="240"/>
        <v>100.29922809230514</v>
      </c>
      <c r="AM123" s="1">
        <f t="shared" si="241"/>
        <v>100.06811914226569</v>
      </c>
      <c r="AN123" s="1">
        <f t="shared" si="242"/>
        <v>100.01935862108418</v>
      </c>
      <c r="AO123" s="1">
        <f t="shared" si="243"/>
        <v>99.923460849537719</v>
      </c>
      <c r="AP123" s="1">
        <f t="shared" si="244"/>
        <v>99.722360891652883</v>
      </c>
      <c r="AQ123" s="1">
        <f t="shared" si="245"/>
        <v>99.562352832914272</v>
      </c>
      <c r="AR123" s="1">
        <f t="shared" si="246"/>
        <v>99.562352832914272</v>
      </c>
      <c r="AS123" s="1">
        <f t="shared" si="247"/>
        <v>99.536723762581502</v>
      </c>
      <c r="AT123" s="1">
        <f t="shared" si="248"/>
        <v>99.367541469119075</v>
      </c>
      <c r="AU123" s="1">
        <f t="shared" ref="AU123:AW123" si="295">AT123*O123</f>
        <v>100.67980622693473</v>
      </c>
      <c r="AV123" s="1">
        <f t="shared" si="295"/>
        <v>100.6979304081441</v>
      </c>
      <c r="AW123" s="1">
        <f t="shared" si="295"/>
        <v>100.50053423038962</v>
      </c>
      <c r="AX123" s="1" t="b">
        <f t="shared" si="173"/>
        <v>1</v>
      </c>
      <c r="AY123" s="1" t="s">
        <v>130</v>
      </c>
      <c r="AZ123" s="1" t="str">
        <f t="shared" si="197"/>
        <v>C23</v>
      </c>
      <c r="BA123" s="1" t="str">
        <f t="shared" si="198"/>
        <v>C2310</v>
      </c>
      <c r="BB123" s="1" t="s">
        <v>393</v>
      </c>
      <c r="BC123" s="1" t="s">
        <v>394</v>
      </c>
      <c r="BD123" s="1">
        <v>4.8781114478136595E-3</v>
      </c>
      <c r="BE123" s="1">
        <f t="shared" si="257"/>
        <v>0.49139182241533391</v>
      </c>
      <c r="BF123" s="1">
        <f t="shared" si="258"/>
        <v>0.49092111352475326</v>
      </c>
      <c r="BG123" s="1">
        <f t="shared" si="259"/>
        <v>0.49057672479020581</v>
      </c>
      <c r="BH123" s="1">
        <f t="shared" si="260"/>
        <v>0.48927081276394713</v>
      </c>
      <c r="BI123" s="1">
        <f t="shared" si="261"/>
        <v>0.48814343754906742</v>
      </c>
      <c r="BJ123" s="1">
        <f t="shared" si="262"/>
        <v>0.48790557829249059</v>
      </c>
      <c r="BK123" s="1">
        <f t="shared" si="263"/>
        <v>0.48743777827528995</v>
      </c>
      <c r="BL123" s="1">
        <f t="shared" si="264"/>
        <v>0.48645679026857708</v>
      </c>
      <c r="BM123" s="1">
        <f t="shared" si="265"/>
        <v>0.48567625312550183</v>
      </c>
      <c r="BN123" s="1">
        <f t="shared" si="266"/>
        <v>0.48567625312550183</v>
      </c>
      <c r="BO123" s="1">
        <f t="shared" si="267"/>
        <v>0.48555123166411474</v>
      </c>
      <c r="BP123" s="1">
        <f t="shared" si="268"/>
        <v>0.48472594158160831</v>
      </c>
      <c r="BQ123" s="1">
        <f t="shared" si="269"/>
        <v>0.49112731531927128</v>
      </c>
      <c r="BR123" s="1">
        <f t="shared" si="270"/>
        <v>0.49121572709511097</v>
      </c>
      <c r="BS123" s="1">
        <f t="shared" si="271"/>
        <v>0.49025280654065218</v>
      </c>
      <c r="BV123" s="1" t="s">
        <v>130</v>
      </c>
      <c r="BW123" s="1">
        <f>((AJ123-AI123)/BE$154)*$BD123</f>
        <v>-4.7284808501925445E-6</v>
      </c>
      <c r="BX123" s="1">
        <f>((AK123-AJ123)/BF$154)*$BD123</f>
        <v>-3.461431207876748E-6</v>
      </c>
      <c r="BY123" s="1">
        <f>((AL123-AK123)/BG$154)*$BD123</f>
        <v>-1.3131625477414208E-5</v>
      </c>
      <c r="BZ123" s="1">
        <f>((AM123-AL123)/BH$154)*$BD123</f>
        <v>-1.1310838316951688E-5</v>
      </c>
      <c r="CA123" s="1">
        <f>((AN123-AM123)/BI$154)*$BD123</f>
        <v>-2.3838562164431682E-6</v>
      </c>
      <c r="CB123" s="1">
        <f>((AO123-AN123)/BJ$154)*$BD123</f>
        <v>-4.6858701535590442E-6</v>
      </c>
      <c r="CC123" s="1">
        <f>((AP123-AO123)/BK$154)*$BD123</f>
        <v>-9.8235616793272155E-6</v>
      </c>
      <c r="CD123" s="1">
        <f>((AQ123-AP123)/BL$154)*$BD123</f>
        <v>-7.8048944718082316E-6</v>
      </c>
      <c r="CE123" s="1">
        <f>((AR123-AQ123)/BM$154)*$BD123</f>
        <v>0</v>
      </c>
      <c r="CF123" s="1">
        <f>((AS123-AR123)/BN$154)*$BD123</f>
        <v>-1.2441254563208892E-6</v>
      </c>
      <c r="CG123" s="1">
        <f>((AT123-AS123)/BO$154)*$BD123</f>
        <v>-8.1939060685015799E-6</v>
      </c>
      <c r="CH123" s="1">
        <f>((AU123-AT123)/BP$154)*$BD123</f>
        <v>6.3540010875055391E-5</v>
      </c>
      <c r="CI123" s="1">
        <f>((AV123-AU123)/BQ$154)*$BD123</f>
        <v>8.745320071998153E-7</v>
      </c>
      <c r="CJ123" s="1">
        <f>((AW123-AV123)/BR$154)*$BD123</f>
        <v>-9.5077233664738716E-6</v>
      </c>
    </row>
    <row r="124" spans="1:88" x14ac:dyDescent="0.35">
      <c r="A124" s="1" t="s">
        <v>131</v>
      </c>
      <c r="B124" s="1">
        <v>0.99564960379047995</v>
      </c>
      <c r="C124" s="1">
        <v>1</v>
      </c>
      <c r="D124" s="1">
        <v>1</v>
      </c>
      <c r="E124" s="1">
        <v>1</v>
      </c>
      <c r="F124" s="1">
        <v>1</v>
      </c>
      <c r="G124" s="1">
        <v>0.98842665705950472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1.0000217596198222</v>
      </c>
      <c r="N124" s="1">
        <v>1</v>
      </c>
      <c r="O124" s="1">
        <v>0.99993177545201306</v>
      </c>
      <c r="P124" s="1">
        <v>1.0007985648964628</v>
      </c>
      <c r="Q124" s="1">
        <v>0.99898135164048385</v>
      </c>
      <c r="S124" s="1">
        <f t="shared" si="199"/>
        <v>100</v>
      </c>
      <c r="T124" s="1">
        <f t="shared" si="201"/>
        <v>100</v>
      </c>
      <c r="U124" s="1">
        <f t="shared" si="202"/>
        <v>100</v>
      </c>
      <c r="V124" s="1">
        <f t="shared" si="203"/>
        <v>100</v>
      </c>
      <c r="W124" s="1">
        <f t="shared" si="204"/>
        <v>98.842665705950466</v>
      </c>
      <c r="X124" s="1">
        <f t="shared" si="205"/>
        <v>98.842665705950466</v>
      </c>
      <c r="Y124" s="1">
        <f t="shared" si="206"/>
        <v>98.842665705950466</v>
      </c>
      <c r="Z124" s="1">
        <f t="shared" si="207"/>
        <v>98.842665705950466</v>
      </c>
      <c r="AA124" s="1">
        <f t="shared" si="208"/>
        <v>98.842665705950466</v>
      </c>
      <c r="AB124" s="1">
        <f t="shared" si="209"/>
        <v>98.842665705950466</v>
      </c>
      <c r="AC124" s="1">
        <f t="shared" si="210"/>
        <v>98.844816484778434</v>
      </c>
      <c r="AD124" s="1">
        <f t="shared" si="211"/>
        <v>98.844816484778434</v>
      </c>
      <c r="AE124" s="1">
        <f t="shared" si="212"/>
        <v>99.228802267104982</v>
      </c>
      <c r="AF124" s="1">
        <f t="shared" si="213"/>
        <v>1.0077719141547139</v>
      </c>
      <c r="AH124" s="1" t="str">
        <f t="shared" si="214"/>
        <v>C2392.37210</v>
      </c>
      <c r="AI124" s="1">
        <f t="shared" ref="AI124:AI152" si="296">$AF124*S124</f>
        <v>100.77719141547139</v>
      </c>
      <c r="AJ124" s="1">
        <f t="shared" ref="AJ124:AJ152" si="297">$AF124*T124</f>
        <v>100.77719141547139</v>
      </c>
      <c r="AK124" s="1">
        <f t="shared" ref="AK124:AK152" si="298">$AF124*U124</f>
        <v>100.77719141547139</v>
      </c>
      <c r="AL124" s="1">
        <f t="shared" ref="AL124:AL152" si="299">$AF124*V124</f>
        <v>100.77719141547139</v>
      </c>
      <c r="AM124" s="1">
        <f t="shared" ref="AM124:AM152" si="300">$AF124*W124</f>
        <v>99.610862418640195</v>
      </c>
      <c r="AN124" s="1">
        <f t="shared" ref="AN124:AN152" si="301">$AF124*X124</f>
        <v>99.610862418640195</v>
      </c>
      <c r="AO124" s="1">
        <f t="shared" ref="AO124:AO152" si="302">$AF124*Y124</f>
        <v>99.610862418640195</v>
      </c>
      <c r="AP124" s="1">
        <f t="shared" ref="AP124:AP152" si="303">$AF124*Z124</f>
        <v>99.610862418640195</v>
      </c>
      <c r="AQ124" s="1">
        <f t="shared" ref="AQ124:AQ152" si="304">$AF124*AA124</f>
        <v>99.610862418640195</v>
      </c>
      <c r="AR124" s="1">
        <f t="shared" ref="AR124:AR152" si="305">$AF124*AB124</f>
        <v>99.610862418640195</v>
      </c>
      <c r="AS124" s="1">
        <f t="shared" ref="AS124:AS152" si="306">$AF124*AC124</f>
        <v>99.613029913136586</v>
      </c>
      <c r="AT124" s="1">
        <f t="shared" ref="AT124:AT152" si="307">$AF124*AD124</f>
        <v>99.613029913136586</v>
      </c>
      <c r="AU124" s="1">
        <f t="shared" ref="AU124:AW124" si="308">AT124*O124</f>
        <v>99.606233859197147</v>
      </c>
      <c r="AV124" s="1">
        <f t="shared" si="308"/>
        <v>99.685775901025963</v>
      </c>
      <c r="AW124" s="1">
        <f t="shared" si="308"/>
        <v>99.584231148937292</v>
      </c>
      <c r="AX124" s="1" t="b">
        <f t="shared" ref="AX124:AX152" si="309">AY124=AH124</f>
        <v>1</v>
      </c>
      <c r="AY124" s="1" t="s">
        <v>131</v>
      </c>
      <c r="AZ124" s="1" t="str">
        <f t="shared" si="197"/>
        <v>C23</v>
      </c>
      <c r="BA124" s="1" t="str">
        <f t="shared" si="198"/>
        <v>C2392</v>
      </c>
      <c r="BB124" s="1" t="s">
        <v>395</v>
      </c>
      <c r="BC124" s="1" t="s">
        <v>396</v>
      </c>
      <c r="BD124" s="1">
        <v>2.3892277674524187E-3</v>
      </c>
      <c r="BE124" s="1">
        <f t="shared" si="257"/>
        <v>0.24077966405571177</v>
      </c>
      <c r="BF124" s="1">
        <f t="shared" si="258"/>
        <v>0.24077966405571177</v>
      </c>
      <c r="BG124" s="1">
        <f t="shared" si="259"/>
        <v>0.24077966405571177</v>
      </c>
      <c r="BH124" s="1">
        <f t="shared" si="260"/>
        <v>0.24077966405571177</v>
      </c>
      <c r="BI124" s="1">
        <f t="shared" si="261"/>
        <v>0.23799303843049777</v>
      </c>
      <c r="BJ124" s="1">
        <f t="shared" si="262"/>
        <v>0.23799303843049777</v>
      </c>
      <c r="BK124" s="1">
        <f t="shared" si="263"/>
        <v>0.23799303843049777</v>
      </c>
      <c r="BL124" s="1">
        <f t="shared" si="264"/>
        <v>0.23799303843049777</v>
      </c>
      <c r="BM124" s="1">
        <f t="shared" si="265"/>
        <v>0.23799303843049777</v>
      </c>
      <c r="BN124" s="1">
        <f t="shared" si="266"/>
        <v>0.23799303843049777</v>
      </c>
      <c r="BO124" s="1">
        <f t="shared" si="267"/>
        <v>0.23799821706853433</v>
      </c>
      <c r="BP124" s="1">
        <f t="shared" si="268"/>
        <v>0.23799821706853433</v>
      </c>
      <c r="BQ124" s="1">
        <f t="shared" si="269"/>
        <v>0.23798197974775312</v>
      </c>
      <c r="BR124" s="1">
        <f t="shared" si="270"/>
        <v>0.23817202380277039</v>
      </c>
      <c r="BS124" s="1">
        <f t="shared" si="271"/>
        <v>0.23792941026144107</v>
      </c>
      <c r="BV124" s="1" t="s">
        <v>131</v>
      </c>
      <c r="BW124" s="1">
        <f>((AJ124-AI124)/BE$154)*$BD124</f>
        <v>0</v>
      </c>
      <c r="BX124" s="1">
        <f>((AK124-AJ124)/BF$154)*$BD124</f>
        <v>0</v>
      </c>
      <c r="BY124" s="1">
        <f>((AL124-AK124)/BG$154)*$BD124</f>
        <v>0</v>
      </c>
      <c r="BZ124" s="1">
        <f>((AM124-AL124)/BH$154)*$BD124</f>
        <v>-2.7957925170489505E-5</v>
      </c>
      <c r="CA124" s="1">
        <f>((AN124-AM124)/BI$154)*$BD124</f>
        <v>0</v>
      </c>
      <c r="CB124" s="1">
        <f>((AO124-AN124)/BJ$154)*$BD124</f>
        <v>0</v>
      </c>
      <c r="CC124" s="1">
        <f>((AP124-AO124)/BK$154)*$BD124</f>
        <v>0</v>
      </c>
      <c r="CD124" s="1">
        <f>((AQ124-AP124)/BL$154)*$BD124</f>
        <v>0</v>
      </c>
      <c r="CE124" s="1">
        <f>((AR124-AQ124)/BM$154)*$BD124</f>
        <v>0</v>
      </c>
      <c r="CF124" s="1">
        <f>((AS124-AR124)/BN$154)*$BD124</f>
        <v>5.1534155327359986E-8</v>
      </c>
      <c r="CG124" s="1">
        <f>((AT124-AS124)/BO$154)*$BD124</f>
        <v>0</v>
      </c>
      <c r="CH124" s="1">
        <f>((AU124-AT124)/BP$154)*$BD124</f>
        <v>-1.6117158305408758E-7</v>
      </c>
      <c r="CI124" s="1">
        <f>((AV124-AU124)/BQ$154)*$BD124</f>
        <v>1.8798356589058545E-6</v>
      </c>
      <c r="CJ124" s="1">
        <f>((AW124-AV124)/BR$154)*$BD124</f>
        <v>-2.395527258441616E-6</v>
      </c>
    </row>
    <row r="125" spans="1:88" x14ac:dyDescent="0.35">
      <c r="A125" s="1" t="s">
        <v>132</v>
      </c>
      <c r="B125" s="1">
        <v>1</v>
      </c>
      <c r="C125" s="1">
        <v>1</v>
      </c>
      <c r="D125" s="1">
        <v>1</v>
      </c>
      <c r="E125" s="1">
        <v>1.0182579991628851</v>
      </c>
      <c r="F125" s="1">
        <v>1</v>
      </c>
      <c r="G125" s="1">
        <v>1</v>
      </c>
      <c r="H125" s="1">
        <v>0.99998676315681356</v>
      </c>
      <c r="I125" s="1">
        <v>1</v>
      </c>
      <c r="J125" s="1">
        <v>1</v>
      </c>
      <c r="K125" s="1">
        <v>1</v>
      </c>
      <c r="L125" s="1">
        <v>1</v>
      </c>
      <c r="M125" s="1">
        <v>0.99997749484758525</v>
      </c>
      <c r="N125" s="1">
        <v>1</v>
      </c>
      <c r="O125" s="1">
        <v>1</v>
      </c>
      <c r="P125" s="1">
        <v>1</v>
      </c>
      <c r="Q125" s="1">
        <v>1</v>
      </c>
      <c r="S125" s="1">
        <f t="shared" si="199"/>
        <v>100</v>
      </c>
      <c r="T125" s="1">
        <f t="shared" si="201"/>
        <v>100</v>
      </c>
      <c r="U125" s="1">
        <f t="shared" si="202"/>
        <v>101.8257999162885</v>
      </c>
      <c r="V125" s="1">
        <f t="shared" si="203"/>
        <v>101.8257999162885</v>
      </c>
      <c r="W125" s="1">
        <f t="shared" si="204"/>
        <v>101.8257999162885</v>
      </c>
      <c r="X125" s="1">
        <f t="shared" si="205"/>
        <v>101.82445206414268</v>
      </c>
      <c r="Y125" s="1">
        <f t="shared" si="206"/>
        <v>101.82445206414268</v>
      </c>
      <c r="Z125" s="1">
        <f t="shared" si="207"/>
        <v>101.82445206414268</v>
      </c>
      <c r="AA125" s="1">
        <f t="shared" si="208"/>
        <v>101.82445206414268</v>
      </c>
      <c r="AB125" s="1">
        <f t="shared" si="209"/>
        <v>101.82445206414268</v>
      </c>
      <c r="AC125" s="1">
        <f t="shared" si="210"/>
        <v>101.82216048932942</v>
      </c>
      <c r="AD125" s="1">
        <f t="shared" si="211"/>
        <v>101.82216048932942</v>
      </c>
      <c r="AE125" s="1">
        <f t="shared" si="212"/>
        <v>101.52033175401978</v>
      </c>
      <c r="AF125" s="1">
        <f t="shared" si="213"/>
        <v>0.98502436184208408</v>
      </c>
      <c r="AH125" s="1" t="str">
        <f t="shared" si="214"/>
        <v>C2392.37350</v>
      </c>
      <c r="AI125" s="1">
        <f t="shared" si="296"/>
        <v>98.502436184208406</v>
      </c>
      <c r="AJ125" s="1">
        <f t="shared" si="297"/>
        <v>98.502436184208406</v>
      </c>
      <c r="AK125" s="1">
        <f t="shared" si="298"/>
        <v>100.30089358160183</v>
      </c>
      <c r="AL125" s="1">
        <f t="shared" si="299"/>
        <v>100.30089358160183</v>
      </c>
      <c r="AM125" s="1">
        <f t="shared" si="300"/>
        <v>100.30089358160183</v>
      </c>
      <c r="AN125" s="1">
        <f t="shared" si="301"/>
        <v>100.29956591440202</v>
      </c>
      <c r="AO125" s="1">
        <f t="shared" si="302"/>
        <v>100.29956591440202</v>
      </c>
      <c r="AP125" s="1">
        <f t="shared" si="303"/>
        <v>100.29956591440202</v>
      </c>
      <c r="AQ125" s="1">
        <f t="shared" si="304"/>
        <v>100.29956591440202</v>
      </c>
      <c r="AR125" s="1">
        <f t="shared" si="305"/>
        <v>100.29956591440202</v>
      </c>
      <c r="AS125" s="1">
        <f t="shared" si="306"/>
        <v>100.29730865738398</v>
      </c>
      <c r="AT125" s="1">
        <f t="shared" si="307"/>
        <v>100.29730865738398</v>
      </c>
      <c r="AU125" s="1">
        <f t="shared" ref="AU125:AW125" si="310">AT125*O125</f>
        <v>100.29730865738398</v>
      </c>
      <c r="AV125" s="1">
        <f t="shared" si="310"/>
        <v>100.29730865738398</v>
      </c>
      <c r="AW125" s="1">
        <f t="shared" si="310"/>
        <v>100.29730865738398</v>
      </c>
      <c r="AX125" s="1" t="b">
        <f t="shared" si="309"/>
        <v>1</v>
      </c>
      <c r="AY125" s="1" t="s">
        <v>132</v>
      </c>
      <c r="AZ125" s="1" t="str">
        <f t="shared" si="197"/>
        <v>C23</v>
      </c>
      <c r="BA125" s="1" t="str">
        <f t="shared" si="198"/>
        <v>C2392</v>
      </c>
      <c r="BB125" s="1" t="s">
        <v>397</v>
      </c>
      <c r="BC125" s="1" t="s">
        <v>398</v>
      </c>
      <c r="BD125" s="1">
        <v>4.1959682970845683E-3</v>
      </c>
      <c r="BE125" s="1">
        <f t="shared" si="257"/>
        <v>0.41331309941453431</v>
      </c>
      <c r="BF125" s="1">
        <f t="shared" si="258"/>
        <v>0.41331309941453431</v>
      </c>
      <c r="BG125" s="1">
        <f t="shared" si="259"/>
        <v>0.4208593696376543</v>
      </c>
      <c r="BH125" s="1">
        <f t="shared" si="260"/>
        <v>0.4208593696376543</v>
      </c>
      <c r="BI125" s="1">
        <f t="shared" si="261"/>
        <v>0.4208593696376543</v>
      </c>
      <c r="BJ125" s="1">
        <f t="shared" si="262"/>
        <v>0.42085379878817486</v>
      </c>
      <c r="BK125" s="1">
        <f t="shared" si="263"/>
        <v>0.42085379878817486</v>
      </c>
      <c r="BL125" s="1">
        <f t="shared" si="264"/>
        <v>0.42085379878817486</v>
      </c>
      <c r="BM125" s="1">
        <f t="shared" si="265"/>
        <v>0.42085379878817486</v>
      </c>
      <c r="BN125" s="1">
        <f t="shared" si="266"/>
        <v>0.42085379878817486</v>
      </c>
      <c r="BO125" s="1">
        <f t="shared" si="267"/>
        <v>0.42084432740928879</v>
      </c>
      <c r="BP125" s="1">
        <f t="shared" si="268"/>
        <v>0.42084432740928879</v>
      </c>
      <c r="BQ125" s="1">
        <f t="shared" si="269"/>
        <v>0.42084432740928879</v>
      </c>
      <c r="BR125" s="1">
        <f t="shared" si="270"/>
        <v>0.42084432740928879</v>
      </c>
      <c r="BS125" s="1">
        <f t="shared" si="271"/>
        <v>0.42084432740928879</v>
      </c>
      <c r="BV125" s="1" t="s">
        <v>132</v>
      </c>
      <c r="BW125" s="1">
        <f>((AJ125-AI125)/BE$154)*$BD125</f>
        <v>0</v>
      </c>
      <c r="BX125" s="1">
        <f>((AK125-AJ125)/BF$154)*$BD125</f>
        <v>7.5847124580608342E-5</v>
      </c>
      <c r="BY125" s="1">
        <f>((AL125-AK125)/BG$154)*$BD125</f>
        <v>0</v>
      </c>
      <c r="BZ125" s="1">
        <f>((AM125-AL125)/BH$154)*$BD125</f>
        <v>0</v>
      </c>
      <c r="CA125" s="1">
        <f>((AN125-AM125)/BI$154)*$BD125</f>
        <v>-5.5831773602505974E-8</v>
      </c>
      <c r="CB125" s="1">
        <f>((AO125-AN125)/BJ$154)*$BD125</f>
        <v>0</v>
      </c>
      <c r="CC125" s="1">
        <f>((AP125-AO125)/BK$154)*$BD125</f>
        <v>0</v>
      </c>
      <c r="CD125" s="1">
        <f>((AQ125-AP125)/BL$154)*$BD125</f>
        <v>0</v>
      </c>
      <c r="CE125" s="1">
        <f>((AR125-AQ125)/BM$154)*$BD125</f>
        <v>0</v>
      </c>
      <c r="CF125" s="1">
        <f>((AS125-AR125)/BN$154)*$BD125</f>
        <v>-9.4252486316361649E-8</v>
      </c>
      <c r="CG125" s="1">
        <f>((AT125-AS125)/BO$154)*$BD125</f>
        <v>0</v>
      </c>
      <c r="CH125" s="1">
        <f>((AU125-AT125)/BP$154)*$BD125</f>
        <v>0</v>
      </c>
      <c r="CI125" s="1">
        <f>((AV125-AU125)/BQ$154)*$BD125</f>
        <v>0</v>
      </c>
      <c r="CJ125" s="1">
        <f>((AW125-AV125)/BR$154)*$BD125</f>
        <v>0</v>
      </c>
    </row>
    <row r="126" spans="1:88" x14ac:dyDescent="0.35">
      <c r="A126" s="1" t="s">
        <v>133</v>
      </c>
      <c r="B126" s="1">
        <v>1</v>
      </c>
      <c r="C126" s="1">
        <v>1</v>
      </c>
      <c r="D126" s="1">
        <v>1</v>
      </c>
      <c r="E126" s="1">
        <v>1</v>
      </c>
      <c r="F126" s="1">
        <v>1</v>
      </c>
      <c r="G126" s="1">
        <v>1</v>
      </c>
      <c r="H126" s="1">
        <v>0.99999506169181496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S126" s="1">
        <f t="shared" si="199"/>
        <v>100</v>
      </c>
      <c r="T126" s="1">
        <f t="shared" si="201"/>
        <v>100</v>
      </c>
      <c r="U126" s="1">
        <f t="shared" si="202"/>
        <v>100</v>
      </c>
      <c r="V126" s="1">
        <f t="shared" si="203"/>
        <v>100</v>
      </c>
      <c r="W126" s="1">
        <f t="shared" si="204"/>
        <v>100</v>
      </c>
      <c r="X126" s="1">
        <f t="shared" si="205"/>
        <v>99.999506169181501</v>
      </c>
      <c r="Y126" s="1">
        <f t="shared" si="206"/>
        <v>99.999506169181501</v>
      </c>
      <c r="Z126" s="1">
        <f t="shared" si="207"/>
        <v>99.999506169181501</v>
      </c>
      <c r="AA126" s="1">
        <f t="shared" si="208"/>
        <v>99.999506169181501</v>
      </c>
      <c r="AB126" s="1">
        <f t="shared" si="209"/>
        <v>99.999506169181501</v>
      </c>
      <c r="AC126" s="1">
        <f t="shared" si="210"/>
        <v>99.999506169181501</v>
      </c>
      <c r="AD126" s="1">
        <f t="shared" si="211"/>
        <v>99.999506169181501</v>
      </c>
      <c r="AE126" s="1">
        <f t="shared" si="212"/>
        <v>99.999711932022535</v>
      </c>
      <c r="AF126" s="1">
        <f t="shared" si="213"/>
        <v>1.000002880688073</v>
      </c>
      <c r="AH126" s="1" t="str">
        <f t="shared" si="214"/>
        <v>C2392.37370</v>
      </c>
      <c r="AI126" s="1">
        <f t="shared" si="296"/>
        <v>100.00028806880729</v>
      </c>
      <c r="AJ126" s="1">
        <f t="shared" si="297"/>
        <v>100.00028806880729</v>
      </c>
      <c r="AK126" s="1">
        <f t="shared" si="298"/>
        <v>100.00028806880729</v>
      </c>
      <c r="AL126" s="1">
        <f t="shared" si="299"/>
        <v>100.00028806880729</v>
      </c>
      <c r="AM126" s="1">
        <f t="shared" si="300"/>
        <v>100.00028806880729</v>
      </c>
      <c r="AN126" s="1">
        <f t="shared" si="301"/>
        <v>99.999794236566231</v>
      </c>
      <c r="AO126" s="1">
        <f t="shared" si="302"/>
        <v>99.999794236566231</v>
      </c>
      <c r="AP126" s="1">
        <f t="shared" si="303"/>
        <v>99.999794236566231</v>
      </c>
      <c r="AQ126" s="1">
        <f t="shared" si="304"/>
        <v>99.999794236566231</v>
      </c>
      <c r="AR126" s="1">
        <f t="shared" si="305"/>
        <v>99.999794236566231</v>
      </c>
      <c r="AS126" s="1">
        <f t="shared" si="306"/>
        <v>99.999794236566231</v>
      </c>
      <c r="AT126" s="1">
        <f t="shared" si="307"/>
        <v>99.999794236566231</v>
      </c>
      <c r="AU126" s="1">
        <f t="shared" ref="AU126:AW126" si="311">AT126*O126</f>
        <v>99.999794236566231</v>
      </c>
      <c r="AV126" s="1">
        <f t="shared" si="311"/>
        <v>99.999794236566231</v>
      </c>
      <c r="AW126" s="1">
        <f t="shared" si="311"/>
        <v>99.999794236566231</v>
      </c>
      <c r="AX126" s="1" t="b">
        <f t="shared" si="309"/>
        <v>1</v>
      </c>
      <c r="AY126" s="1" t="s">
        <v>133</v>
      </c>
      <c r="AZ126" s="1" t="str">
        <f t="shared" si="197"/>
        <v>C23</v>
      </c>
      <c r="BA126" s="1" t="str">
        <f t="shared" si="198"/>
        <v>C2392</v>
      </c>
      <c r="BB126" s="1" t="s">
        <v>399</v>
      </c>
      <c r="BC126" s="1" t="s">
        <v>400</v>
      </c>
      <c r="BD126" s="1">
        <v>4.1959682970845683E-3</v>
      </c>
      <c r="BE126" s="1">
        <f t="shared" si="257"/>
        <v>0.4195980384360396</v>
      </c>
      <c r="BF126" s="1">
        <f t="shared" si="258"/>
        <v>0.4195980384360396</v>
      </c>
      <c r="BG126" s="1">
        <f t="shared" si="259"/>
        <v>0.4195980384360396</v>
      </c>
      <c r="BH126" s="1">
        <f t="shared" si="260"/>
        <v>0.4195980384360396</v>
      </c>
      <c r="BI126" s="1">
        <f t="shared" si="261"/>
        <v>0.4195980384360396</v>
      </c>
      <c r="BJ126" s="1">
        <f t="shared" si="262"/>
        <v>0.41959596633161206</v>
      </c>
      <c r="BK126" s="1">
        <f t="shared" si="263"/>
        <v>0.41959596633161206</v>
      </c>
      <c r="BL126" s="1">
        <f t="shared" si="264"/>
        <v>0.41959596633161206</v>
      </c>
      <c r="BM126" s="1">
        <f t="shared" si="265"/>
        <v>0.41959596633161206</v>
      </c>
      <c r="BN126" s="1">
        <f t="shared" si="266"/>
        <v>0.41959596633161206</v>
      </c>
      <c r="BO126" s="1">
        <f t="shared" si="267"/>
        <v>0.41959596633161206</v>
      </c>
      <c r="BP126" s="1">
        <f t="shared" si="268"/>
        <v>0.41959596633161206</v>
      </c>
      <c r="BQ126" s="1">
        <f t="shared" si="269"/>
        <v>0.41959596633161206</v>
      </c>
      <c r="BR126" s="1">
        <f t="shared" si="270"/>
        <v>0.41959596633161206</v>
      </c>
      <c r="BS126" s="1">
        <f t="shared" si="271"/>
        <v>0.41959596633161206</v>
      </c>
      <c r="BV126" s="1" t="s">
        <v>133</v>
      </c>
      <c r="BW126" s="1">
        <f>((AJ126-AI126)/BE$154)*$BD126</f>
        <v>0</v>
      </c>
      <c r="BX126" s="1">
        <f>((AK126-AJ126)/BF$154)*$BD126</f>
        <v>0</v>
      </c>
      <c r="BY126" s="1">
        <f>((AL126-AK126)/BG$154)*$BD126</f>
        <v>0</v>
      </c>
      <c r="BZ126" s="1">
        <f>((AM126-AL126)/BH$154)*$BD126</f>
        <v>0</v>
      </c>
      <c r="CA126" s="1">
        <f>((AN126-AM126)/BI$154)*$BD126</f>
        <v>-2.0766898425077407E-8</v>
      </c>
      <c r="CB126" s="1">
        <f>((AO126-AN126)/BJ$154)*$BD126</f>
        <v>0</v>
      </c>
      <c r="CC126" s="1">
        <f>((AP126-AO126)/BK$154)*$BD126</f>
        <v>0</v>
      </c>
      <c r="CD126" s="1">
        <f>((AQ126-AP126)/BL$154)*$BD126</f>
        <v>0</v>
      </c>
      <c r="CE126" s="1">
        <f>((AR126-AQ126)/BM$154)*$BD126</f>
        <v>0</v>
      </c>
      <c r="CF126" s="1">
        <f>((AS126-AR126)/BN$154)*$BD126</f>
        <v>0</v>
      </c>
      <c r="CG126" s="1">
        <f>((AT126-AS126)/BO$154)*$BD126</f>
        <v>0</v>
      </c>
      <c r="CH126" s="1">
        <f>((AU126-AT126)/BP$154)*$BD126</f>
        <v>0</v>
      </c>
      <c r="CI126" s="1">
        <f>((AV126-AU126)/BQ$154)*$BD126</f>
        <v>0</v>
      </c>
      <c r="CJ126" s="1">
        <f>((AW126-AV126)/BR$154)*$BD126</f>
        <v>0</v>
      </c>
    </row>
    <row r="127" spans="1:88" x14ac:dyDescent="0.35">
      <c r="A127" s="1" t="s">
        <v>134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  <c r="K127" s="1">
        <v>1.0000114867930641</v>
      </c>
      <c r="L127" s="1">
        <v>1</v>
      </c>
      <c r="M127" s="1">
        <v>1</v>
      </c>
      <c r="N127" s="1">
        <v>1</v>
      </c>
      <c r="O127" s="1">
        <v>1</v>
      </c>
      <c r="P127" s="1">
        <v>1.0000015951080321</v>
      </c>
      <c r="Q127" s="1">
        <v>1</v>
      </c>
      <c r="S127" s="1">
        <f t="shared" si="199"/>
        <v>100</v>
      </c>
      <c r="T127" s="1">
        <f t="shared" si="201"/>
        <v>100</v>
      </c>
      <c r="U127" s="1">
        <f t="shared" si="202"/>
        <v>100</v>
      </c>
      <c r="V127" s="1">
        <f t="shared" si="203"/>
        <v>100</v>
      </c>
      <c r="W127" s="1">
        <f t="shared" si="204"/>
        <v>100</v>
      </c>
      <c r="X127" s="1">
        <f t="shared" si="205"/>
        <v>100</v>
      </c>
      <c r="Y127" s="1">
        <f t="shared" si="206"/>
        <v>100</v>
      </c>
      <c r="Z127" s="1">
        <f t="shared" si="207"/>
        <v>100</v>
      </c>
      <c r="AA127" s="1">
        <f t="shared" si="208"/>
        <v>100.00114867930641</v>
      </c>
      <c r="AB127" s="1">
        <f t="shared" si="209"/>
        <v>100.00114867930641</v>
      </c>
      <c r="AC127" s="1">
        <f t="shared" si="210"/>
        <v>100.00114867930641</v>
      </c>
      <c r="AD127" s="1">
        <f t="shared" si="211"/>
        <v>100.00114867930641</v>
      </c>
      <c r="AE127" s="1">
        <f t="shared" si="212"/>
        <v>100.00038289310214</v>
      </c>
      <c r="AF127" s="1">
        <f t="shared" si="213"/>
        <v>0.99999617108363925</v>
      </c>
      <c r="AH127" s="1" t="str">
        <f t="shared" si="214"/>
        <v>C2394.37440</v>
      </c>
      <c r="AI127" s="1">
        <f t="shared" si="296"/>
        <v>99.999617108363921</v>
      </c>
      <c r="AJ127" s="1">
        <f t="shared" si="297"/>
        <v>99.999617108363921</v>
      </c>
      <c r="AK127" s="1">
        <f t="shared" si="298"/>
        <v>99.999617108363921</v>
      </c>
      <c r="AL127" s="1">
        <f t="shared" si="299"/>
        <v>99.999617108363921</v>
      </c>
      <c r="AM127" s="1">
        <f t="shared" si="300"/>
        <v>99.999617108363921</v>
      </c>
      <c r="AN127" s="1">
        <f t="shared" si="301"/>
        <v>99.999617108363921</v>
      </c>
      <c r="AO127" s="1">
        <f t="shared" si="302"/>
        <v>99.999617108363921</v>
      </c>
      <c r="AP127" s="1">
        <f t="shared" si="303"/>
        <v>99.999617108363921</v>
      </c>
      <c r="AQ127" s="1">
        <f t="shared" si="304"/>
        <v>100.00076578327214</v>
      </c>
      <c r="AR127" s="1">
        <f t="shared" si="305"/>
        <v>100.00076578327214</v>
      </c>
      <c r="AS127" s="1">
        <f t="shared" si="306"/>
        <v>100.00076578327214</v>
      </c>
      <c r="AT127" s="1">
        <f t="shared" si="307"/>
        <v>100.00076578327214</v>
      </c>
      <c r="AU127" s="1">
        <f t="shared" ref="AU127:AW127" si="312">AT127*O127</f>
        <v>100.00076578327214</v>
      </c>
      <c r="AV127" s="1">
        <f t="shared" si="312"/>
        <v>100.00092529529687</v>
      </c>
      <c r="AW127" s="1">
        <f t="shared" si="312"/>
        <v>100.00092529529687</v>
      </c>
      <c r="AX127" s="1" t="b">
        <f t="shared" si="309"/>
        <v>1</v>
      </c>
      <c r="AY127" s="1" t="s">
        <v>134</v>
      </c>
      <c r="AZ127" s="1" t="str">
        <f t="shared" si="197"/>
        <v>C23</v>
      </c>
      <c r="BA127" s="1" t="str">
        <f t="shared" si="198"/>
        <v>C2394</v>
      </c>
      <c r="BB127" s="1" t="s">
        <v>401</v>
      </c>
      <c r="BC127" s="1" t="s">
        <v>402</v>
      </c>
      <c r="BD127" s="1">
        <v>4.3949921110845391E-2</v>
      </c>
      <c r="BE127" s="1">
        <f t="shared" si="257"/>
        <v>4.3949752830273399</v>
      </c>
      <c r="BF127" s="1">
        <f t="shared" si="258"/>
        <v>4.3949752830273399</v>
      </c>
      <c r="BG127" s="1">
        <f t="shared" si="259"/>
        <v>4.3949752830273399</v>
      </c>
      <c r="BH127" s="1">
        <f t="shared" si="260"/>
        <v>4.3949752830273399</v>
      </c>
      <c r="BI127" s="1">
        <f t="shared" si="261"/>
        <v>4.3949752830273399</v>
      </c>
      <c r="BJ127" s="1">
        <f t="shared" si="262"/>
        <v>4.3949752830273399</v>
      </c>
      <c r="BK127" s="1">
        <f t="shared" si="263"/>
        <v>4.3949752830273399</v>
      </c>
      <c r="BL127" s="1">
        <f t="shared" si="264"/>
        <v>4.3949752830273399</v>
      </c>
      <c r="BM127" s="1">
        <f t="shared" si="265"/>
        <v>4.3950257671989377</v>
      </c>
      <c r="BN127" s="1">
        <f t="shared" si="266"/>
        <v>4.3950257671989377</v>
      </c>
      <c r="BO127" s="1">
        <f t="shared" si="267"/>
        <v>4.3950257671989377</v>
      </c>
      <c r="BP127" s="1">
        <f t="shared" si="268"/>
        <v>4.3950257671989377</v>
      </c>
      <c r="BQ127" s="1">
        <f t="shared" si="269"/>
        <v>4.3950257671989377</v>
      </c>
      <c r="BR127" s="1">
        <f t="shared" si="270"/>
        <v>4.395032777739841</v>
      </c>
      <c r="BS127" s="1">
        <f t="shared" si="271"/>
        <v>4.395032777739841</v>
      </c>
      <c r="BV127" s="1" t="s">
        <v>134</v>
      </c>
      <c r="BW127" s="1">
        <f>((AJ127-AI127)/BE$154)*$BD127</f>
        <v>0</v>
      </c>
      <c r="BX127" s="1">
        <f>((AK127-AJ127)/BF$154)*$BD127</f>
        <v>0</v>
      </c>
      <c r="BY127" s="1">
        <f>((AL127-AK127)/BG$154)*$BD127</f>
        <v>0</v>
      </c>
      <c r="BZ127" s="1">
        <f>((AM127-AL127)/BH$154)*$BD127</f>
        <v>0</v>
      </c>
      <c r="CA127" s="1">
        <f>((AN127-AM127)/BI$154)*$BD127</f>
        <v>0</v>
      </c>
      <c r="CB127" s="1">
        <f>((AO127-AN127)/BJ$154)*$BD127</f>
        <v>0</v>
      </c>
      <c r="CC127" s="1">
        <f>((AP127-AO127)/BK$154)*$BD127</f>
        <v>0</v>
      </c>
      <c r="CD127" s="1">
        <f>((AQ127-AP127)/BL$154)*$BD127</f>
        <v>5.0481086687250561E-7</v>
      </c>
      <c r="CE127" s="1">
        <f>((AR127-AQ127)/BM$154)*$BD127</f>
        <v>0</v>
      </c>
      <c r="CF127" s="1">
        <f>((AS127-AR127)/BN$154)*$BD127</f>
        <v>0</v>
      </c>
      <c r="CG127" s="1">
        <f>((AT127-AS127)/BO$154)*$BD127</f>
        <v>0</v>
      </c>
      <c r="CH127" s="1">
        <f>((AU127-AT127)/BP$154)*$BD127</f>
        <v>0</v>
      </c>
      <c r="CI127" s="1">
        <f>((AV127-AU127)/BQ$154)*$BD127</f>
        <v>6.9345314569952195E-8</v>
      </c>
      <c r="CJ127" s="1">
        <f>((AW127-AV127)/BR$154)*$BD127</f>
        <v>0</v>
      </c>
    </row>
    <row r="128" spans="1:88" x14ac:dyDescent="0.35">
      <c r="A128" s="1" t="s">
        <v>135</v>
      </c>
      <c r="B128" s="1">
        <v>1</v>
      </c>
      <c r="C128" s="1">
        <v>1</v>
      </c>
      <c r="D128" s="1">
        <v>1</v>
      </c>
      <c r="E128" s="1">
        <v>1</v>
      </c>
      <c r="F128" s="1">
        <v>1</v>
      </c>
      <c r="G128" s="1">
        <v>0.99999999478598312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 s="1">
        <v>0.99999548210035971</v>
      </c>
      <c r="S128" s="1">
        <f t="shared" si="199"/>
        <v>100</v>
      </c>
      <c r="T128" s="1">
        <f t="shared" si="201"/>
        <v>100</v>
      </c>
      <c r="U128" s="1">
        <f t="shared" si="202"/>
        <v>100</v>
      </c>
      <c r="V128" s="1">
        <f t="shared" si="203"/>
        <v>100</v>
      </c>
      <c r="W128" s="1">
        <f t="shared" si="204"/>
        <v>99.999999478598312</v>
      </c>
      <c r="X128" s="1">
        <f t="shared" si="205"/>
        <v>99.999999478598312</v>
      </c>
      <c r="Y128" s="1">
        <f t="shared" si="206"/>
        <v>99.999999478598312</v>
      </c>
      <c r="Z128" s="1">
        <f t="shared" si="207"/>
        <v>99.999999478598312</v>
      </c>
      <c r="AA128" s="1">
        <f t="shared" si="208"/>
        <v>99.999999478598312</v>
      </c>
      <c r="AB128" s="1">
        <f t="shared" si="209"/>
        <v>99.999999478598312</v>
      </c>
      <c r="AC128" s="1">
        <f t="shared" si="210"/>
        <v>99.999999478598312</v>
      </c>
      <c r="AD128" s="1">
        <f t="shared" si="211"/>
        <v>99.999999478598312</v>
      </c>
      <c r="AE128" s="1">
        <f t="shared" si="212"/>
        <v>99.999999652398856</v>
      </c>
      <c r="AF128" s="1">
        <f t="shared" si="213"/>
        <v>1.0000000034760115</v>
      </c>
      <c r="AH128" s="1" t="str">
        <f t="shared" si="214"/>
        <v>C2395.37510</v>
      </c>
      <c r="AI128" s="1">
        <f t="shared" si="296"/>
        <v>100.00000034760114</v>
      </c>
      <c r="AJ128" s="1">
        <f t="shared" si="297"/>
        <v>100.00000034760114</v>
      </c>
      <c r="AK128" s="1">
        <f t="shared" si="298"/>
        <v>100.00000034760114</v>
      </c>
      <c r="AL128" s="1">
        <f t="shared" si="299"/>
        <v>100.00000034760114</v>
      </c>
      <c r="AM128" s="1">
        <f t="shared" si="300"/>
        <v>99.999999826199456</v>
      </c>
      <c r="AN128" s="1">
        <f t="shared" si="301"/>
        <v>99.999999826199456</v>
      </c>
      <c r="AO128" s="1">
        <f t="shared" si="302"/>
        <v>99.999999826199456</v>
      </c>
      <c r="AP128" s="1">
        <f t="shared" si="303"/>
        <v>99.999999826199456</v>
      </c>
      <c r="AQ128" s="1">
        <f t="shared" si="304"/>
        <v>99.999999826199456</v>
      </c>
      <c r="AR128" s="1">
        <f t="shared" si="305"/>
        <v>99.999999826199456</v>
      </c>
      <c r="AS128" s="1">
        <f t="shared" si="306"/>
        <v>99.999999826199456</v>
      </c>
      <c r="AT128" s="1">
        <f t="shared" si="307"/>
        <v>99.999999826199456</v>
      </c>
      <c r="AU128" s="1">
        <f t="shared" ref="AU128:AW128" si="313">AT128*O128</f>
        <v>99.999999826199456</v>
      </c>
      <c r="AV128" s="1">
        <f t="shared" si="313"/>
        <v>99.999999826199456</v>
      </c>
      <c r="AW128" s="1">
        <f t="shared" si="313"/>
        <v>99.999548036236206</v>
      </c>
      <c r="AX128" s="1" t="b">
        <f t="shared" si="309"/>
        <v>1</v>
      </c>
      <c r="AY128" s="1" t="s">
        <v>135</v>
      </c>
      <c r="AZ128" s="1" t="str">
        <f t="shared" si="197"/>
        <v>C23</v>
      </c>
      <c r="BA128" s="1" t="str">
        <f t="shared" si="198"/>
        <v>C2395</v>
      </c>
      <c r="BB128" s="1" t="s">
        <v>403</v>
      </c>
      <c r="BC128" s="1" t="s">
        <v>404</v>
      </c>
      <c r="BD128" s="1">
        <v>5.1360703781434015E-3</v>
      </c>
      <c r="BE128" s="1">
        <f t="shared" si="257"/>
        <v>0.51360703959964404</v>
      </c>
      <c r="BF128" s="1">
        <f t="shared" si="258"/>
        <v>0.51360703959964404</v>
      </c>
      <c r="BG128" s="1">
        <f t="shared" si="259"/>
        <v>0.51360703959964404</v>
      </c>
      <c r="BH128" s="1">
        <f t="shared" si="260"/>
        <v>0.51360703959964404</v>
      </c>
      <c r="BI128" s="1">
        <f t="shared" si="261"/>
        <v>0.5136070369216883</v>
      </c>
      <c r="BJ128" s="1">
        <f t="shared" si="262"/>
        <v>0.5136070369216883</v>
      </c>
      <c r="BK128" s="1">
        <f t="shared" si="263"/>
        <v>0.5136070369216883</v>
      </c>
      <c r="BL128" s="1">
        <f t="shared" si="264"/>
        <v>0.5136070369216883</v>
      </c>
      <c r="BM128" s="1">
        <f t="shared" si="265"/>
        <v>0.5136070369216883</v>
      </c>
      <c r="BN128" s="1">
        <f t="shared" si="266"/>
        <v>0.5136070369216883</v>
      </c>
      <c r="BO128" s="1">
        <f t="shared" si="267"/>
        <v>0.5136070369216883</v>
      </c>
      <c r="BP128" s="1">
        <f t="shared" si="268"/>
        <v>0.5136070369216883</v>
      </c>
      <c r="BQ128" s="1">
        <f t="shared" si="269"/>
        <v>0.5136070369216883</v>
      </c>
      <c r="BR128" s="1">
        <f t="shared" si="270"/>
        <v>0.5136070369216883</v>
      </c>
      <c r="BS128" s="1">
        <f t="shared" si="271"/>
        <v>0.51360471649664097</v>
      </c>
      <c r="BV128" s="1" t="s">
        <v>135</v>
      </c>
      <c r="BW128" s="1">
        <f>((AJ128-AI128)/BE$154)*$BD128</f>
        <v>0</v>
      </c>
      <c r="BX128" s="1">
        <f>((AK128-AJ128)/BF$154)*$BD128</f>
        <v>0</v>
      </c>
      <c r="BY128" s="1">
        <f>((AL128-AK128)/BG$154)*$BD128</f>
        <v>0</v>
      </c>
      <c r="BZ128" s="1">
        <f>((AM128-AL128)/BH$154)*$BD128</f>
        <v>-2.6867651762376645E-11</v>
      </c>
      <c r="CA128" s="1">
        <f>((AN128-AM128)/BI$154)*$BD128</f>
        <v>0</v>
      </c>
      <c r="CB128" s="1">
        <f>((AO128-AN128)/BJ$154)*$BD128</f>
        <v>0</v>
      </c>
      <c r="CC128" s="1">
        <f>((AP128-AO128)/BK$154)*$BD128</f>
        <v>0</v>
      </c>
      <c r="CD128" s="1">
        <f>((AQ128-AP128)/BL$154)*$BD128</f>
        <v>0</v>
      </c>
      <c r="CE128" s="1">
        <f>((AR128-AQ128)/BM$154)*$BD128</f>
        <v>0</v>
      </c>
      <c r="CF128" s="1">
        <f>((AS128-AR128)/BN$154)*$BD128</f>
        <v>0</v>
      </c>
      <c r="CG128" s="1">
        <f>((AT128-AS128)/BO$154)*$BD128</f>
        <v>0</v>
      </c>
      <c r="CH128" s="1">
        <f>((AU128-AT128)/BP$154)*$BD128</f>
        <v>0</v>
      </c>
      <c r="CI128" s="1">
        <f>((AV128-AU128)/BQ$154)*$BD128</f>
        <v>0</v>
      </c>
      <c r="CJ128" s="1">
        <f>((AW128-AV128)/BR$154)*$BD128</f>
        <v>-2.2911505358451348E-8</v>
      </c>
    </row>
    <row r="129" spans="1:88" x14ac:dyDescent="0.35">
      <c r="A129" s="1" t="s">
        <v>136</v>
      </c>
      <c r="B129" s="1">
        <v>1</v>
      </c>
      <c r="C129" s="1">
        <v>1</v>
      </c>
      <c r="D129" s="1">
        <v>1.0015029254846823</v>
      </c>
      <c r="E129" s="1">
        <v>0.99825207017940321</v>
      </c>
      <c r="F129" s="1">
        <v>1</v>
      </c>
      <c r="G129" s="1">
        <v>1.0003988696016231</v>
      </c>
      <c r="H129" s="1">
        <v>1.0000327282202222</v>
      </c>
      <c r="I129" s="1">
        <v>1.0000638162912112</v>
      </c>
      <c r="J129" s="1">
        <v>1</v>
      </c>
      <c r="K129" s="1">
        <v>1</v>
      </c>
      <c r="L129" s="1">
        <v>1.0146679481839236</v>
      </c>
      <c r="M129" s="1">
        <v>1</v>
      </c>
      <c r="N129" s="1">
        <v>1</v>
      </c>
      <c r="O129" s="1">
        <v>1.0024373122350523</v>
      </c>
      <c r="P129" s="1">
        <v>1.0220219630990448</v>
      </c>
      <c r="Q129" s="1">
        <v>1</v>
      </c>
      <c r="S129" s="1">
        <f t="shared" si="199"/>
        <v>100</v>
      </c>
      <c r="T129" s="1">
        <f t="shared" si="201"/>
        <v>100.15029254846823</v>
      </c>
      <c r="U129" s="1">
        <f t="shared" si="202"/>
        <v>99.975236865581266</v>
      </c>
      <c r="V129" s="1">
        <f t="shared" si="203"/>
        <v>99.975236865581266</v>
      </c>
      <c r="W129" s="1">
        <f t="shared" si="204"/>
        <v>100.01511394848201</v>
      </c>
      <c r="X129" s="1">
        <f t="shared" si="205"/>
        <v>100.01838726515686</v>
      </c>
      <c r="Y129" s="1">
        <f t="shared" si="206"/>
        <v>100.02477006768505</v>
      </c>
      <c r="Z129" s="1">
        <f t="shared" si="207"/>
        <v>100.02477006768505</v>
      </c>
      <c r="AA129" s="1">
        <f t="shared" si="208"/>
        <v>100.02477006768505</v>
      </c>
      <c r="AB129" s="1">
        <f t="shared" si="209"/>
        <v>101.49192821214673</v>
      </c>
      <c r="AC129" s="1">
        <f t="shared" si="210"/>
        <v>101.49192821214673</v>
      </c>
      <c r="AD129" s="1">
        <f t="shared" si="211"/>
        <v>101.49192821214673</v>
      </c>
      <c r="AE129" s="1">
        <f t="shared" si="212"/>
        <v>100.39036352773041</v>
      </c>
      <c r="AF129" s="1">
        <f t="shared" si="213"/>
        <v>0.99611154383734668</v>
      </c>
      <c r="AH129" s="1" t="str">
        <f t="shared" si="214"/>
        <v>C2395.37540</v>
      </c>
      <c r="AI129" s="1">
        <f t="shared" si="296"/>
        <v>99.611154383734672</v>
      </c>
      <c r="AJ129" s="1">
        <f t="shared" si="297"/>
        <v>99.760862526216599</v>
      </c>
      <c r="AK129" s="1">
        <f t="shared" si="298"/>
        <v>99.586487539678572</v>
      </c>
      <c r="AL129" s="1">
        <f t="shared" si="299"/>
        <v>99.586487539678572</v>
      </c>
      <c r="AM129" s="1">
        <f t="shared" si="300"/>
        <v>99.626209562290555</v>
      </c>
      <c r="AN129" s="1">
        <f t="shared" si="301"/>
        <v>99.629470150817014</v>
      </c>
      <c r="AO129" s="1">
        <f t="shared" si="302"/>
        <v>99.63582813409738</v>
      </c>
      <c r="AP129" s="1">
        <f t="shared" si="303"/>
        <v>99.63582813409738</v>
      </c>
      <c r="AQ129" s="1">
        <f t="shared" si="304"/>
        <v>99.63582813409738</v>
      </c>
      <c r="AR129" s="1">
        <f t="shared" si="305"/>
        <v>101.09728129843064</v>
      </c>
      <c r="AS129" s="1">
        <f t="shared" si="306"/>
        <v>101.09728129843064</v>
      </c>
      <c r="AT129" s="1">
        <f t="shared" si="307"/>
        <v>101.09728129843064</v>
      </c>
      <c r="AU129" s="1">
        <f t="shared" ref="AU129:AW129" si="314">AT129*O129</f>
        <v>101.34368693906983</v>
      </c>
      <c r="AV129" s="1">
        <f t="shared" si="314"/>
        <v>103.57547387316318</v>
      </c>
      <c r="AW129" s="1">
        <f t="shared" si="314"/>
        <v>103.57547387316318</v>
      </c>
      <c r="AX129" s="1" t="b">
        <f t="shared" si="309"/>
        <v>1</v>
      </c>
      <c r="AY129" s="1" t="s">
        <v>136</v>
      </c>
      <c r="AZ129" s="1" t="str">
        <f t="shared" si="197"/>
        <v>C23</v>
      </c>
      <c r="BA129" s="1" t="str">
        <f t="shared" si="198"/>
        <v>C2395</v>
      </c>
      <c r="BB129" s="1" t="s">
        <v>405</v>
      </c>
      <c r="BC129" s="1" t="s">
        <v>406</v>
      </c>
      <c r="BD129" s="1">
        <v>4.2022394002991462E-3</v>
      </c>
      <c r="BE129" s="1">
        <f t="shared" si="257"/>
        <v>0.41858991766061088</v>
      </c>
      <c r="BF129" s="1">
        <f t="shared" si="258"/>
        <v>0.41921902711549403</v>
      </c>
      <c r="BG129" s="1">
        <f t="shared" si="259"/>
        <v>0.41848626167663727</v>
      </c>
      <c r="BH129" s="1">
        <f t="shared" si="260"/>
        <v>0.41848626167663727</v>
      </c>
      <c r="BI129" s="1">
        <f t="shared" si="261"/>
        <v>0.41865318312511696</v>
      </c>
      <c r="BJ129" s="1">
        <f t="shared" si="262"/>
        <v>0.41866688489869097</v>
      </c>
      <c r="BK129" s="1">
        <f t="shared" si="263"/>
        <v>0.41869360266653816</v>
      </c>
      <c r="BL129" s="1">
        <f t="shared" si="264"/>
        <v>0.41869360266653816</v>
      </c>
      <c r="BM129" s="1">
        <f t="shared" si="265"/>
        <v>0.41869360266653816</v>
      </c>
      <c r="BN129" s="1">
        <f t="shared" si="266"/>
        <v>0.42483497873539128</v>
      </c>
      <c r="BO129" s="1">
        <f t="shared" si="267"/>
        <v>0.42483497873539128</v>
      </c>
      <c r="BP129" s="1">
        <f t="shared" si="268"/>
        <v>0.42483497873539128</v>
      </c>
      <c r="BQ129" s="1">
        <f t="shared" si="269"/>
        <v>0.42587043422694121</v>
      </c>
      <c r="BR129" s="1">
        <f t="shared" si="270"/>
        <v>0.43524893721446112</v>
      </c>
      <c r="BS129" s="1">
        <f t="shared" si="271"/>
        <v>0.43524893721446112</v>
      </c>
      <c r="BV129" s="1" t="s">
        <v>136</v>
      </c>
      <c r="BW129" s="1">
        <f>((AJ129-AI129)/BE$154)*$BD129</f>
        <v>6.3196852016553805E-6</v>
      </c>
      <c r="BX129" s="1">
        <f>((AK129-AJ129)/BF$154)*$BD129</f>
        <v>-7.3649829499945459E-6</v>
      </c>
      <c r="BY129" s="1">
        <f>((AL129-AK129)/BG$154)*$BD129</f>
        <v>0</v>
      </c>
      <c r="BZ129" s="1">
        <f>((AM129-AL129)/BH$154)*$BD129</f>
        <v>1.6747055376644953E-6</v>
      </c>
      <c r="CA129" s="1">
        <f>((AN129-AM129)/BI$154)*$BD129</f>
        <v>1.3732094592768531E-7</v>
      </c>
      <c r="CB129" s="1">
        <f>((AO129-AN129)/BJ$154)*$BD129</f>
        <v>2.6762716186739371E-7</v>
      </c>
      <c r="CC129" s="1">
        <f>((AP129-AO129)/BK$154)*$BD129</f>
        <v>0</v>
      </c>
      <c r="CD129" s="1">
        <f>((AQ129-AP129)/BL$154)*$BD129</f>
        <v>0</v>
      </c>
      <c r="CE129" s="1">
        <f>((AR129-AQ129)/BM$154)*$BD129</f>
        <v>6.1165298787100707E-5</v>
      </c>
      <c r="CF129" s="1">
        <f>((AS129-AR129)/BN$154)*$BD129</f>
        <v>0</v>
      </c>
      <c r="CG129" s="1">
        <f>((AT129-AS129)/BO$154)*$BD129</f>
        <v>0</v>
      </c>
      <c r="CH129" s="1">
        <f>((AU129-AT129)/BP$154)*$BD129</f>
        <v>1.0277927190318651E-5</v>
      </c>
      <c r="CI129" s="1">
        <f>((AV129-AU129)/BQ$154)*$BD129</f>
        <v>9.2768197045116772E-5</v>
      </c>
      <c r="CJ129" s="1">
        <f>((AW129-AV129)/BR$154)*$BD129</f>
        <v>0</v>
      </c>
    </row>
    <row r="130" spans="1:88" x14ac:dyDescent="0.35">
      <c r="A130" s="1" t="s">
        <v>137</v>
      </c>
      <c r="B130" s="2">
        <v>1</v>
      </c>
      <c r="C130" s="1">
        <v>1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1">
        <v>1</v>
      </c>
      <c r="O130" s="1">
        <v>1</v>
      </c>
      <c r="P130" s="1">
        <v>1</v>
      </c>
      <c r="Q130" s="1">
        <v>1.005037766193005</v>
      </c>
      <c r="S130" s="1">
        <f t="shared" si="199"/>
        <v>100</v>
      </c>
      <c r="T130" s="1">
        <f t="shared" si="201"/>
        <v>100</v>
      </c>
      <c r="U130" s="1">
        <f t="shared" si="202"/>
        <v>100</v>
      </c>
      <c r="V130" s="1">
        <f t="shared" si="203"/>
        <v>100</v>
      </c>
      <c r="W130" s="1">
        <f t="shared" si="204"/>
        <v>100</v>
      </c>
      <c r="X130" s="1">
        <f t="shared" si="205"/>
        <v>100</v>
      </c>
      <c r="Y130" s="1">
        <f t="shared" si="206"/>
        <v>100</v>
      </c>
      <c r="Z130" s="1">
        <f t="shared" si="207"/>
        <v>100</v>
      </c>
      <c r="AA130" s="1">
        <f t="shared" si="208"/>
        <v>100</v>
      </c>
      <c r="AB130" s="1">
        <f t="shared" si="209"/>
        <v>100</v>
      </c>
      <c r="AC130" s="1">
        <f t="shared" si="210"/>
        <v>100</v>
      </c>
      <c r="AD130" s="1">
        <f t="shared" si="211"/>
        <v>100</v>
      </c>
      <c r="AE130" s="1">
        <f t="shared" si="212"/>
        <v>100</v>
      </c>
      <c r="AF130" s="1">
        <f t="shared" si="213"/>
        <v>1</v>
      </c>
      <c r="AH130" s="1" t="str">
        <f t="shared" si="214"/>
        <v>C2410.41211</v>
      </c>
      <c r="AI130" s="1">
        <f t="shared" si="296"/>
        <v>100</v>
      </c>
      <c r="AJ130" s="1">
        <f t="shared" si="297"/>
        <v>100</v>
      </c>
      <c r="AK130" s="1">
        <f t="shared" si="298"/>
        <v>100</v>
      </c>
      <c r="AL130" s="1">
        <f t="shared" si="299"/>
        <v>100</v>
      </c>
      <c r="AM130" s="1">
        <f t="shared" si="300"/>
        <v>100</v>
      </c>
      <c r="AN130" s="1">
        <f t="shared" si="301"/>
        <v>100</v>
      </c>
      <c r="AO130" s="1">
        <f t="shared" si="302"/>
        <v>100</v>
      </c>
      <c r="AP130" s="1">
        <f t="shared" si="303"/>
        <v>100</v>
      </c>
      <c r="AQ130" s="1">
        <f t="shared" si="304"/>
        <v>100</v>
      </c>
      <c r="AR130" s="1">
        <f t="shared" si="305"/>
        <v>100</v>
      </c>
      <c r="AS130" s="1">
        <f t="shared" si="306"/>
        <v>100</v>
      </c>
      <c r="AT130" s="1">
        <f t="shared" si="307"/>
        <v>100</v>
      </c>
      <c r="AU130" s="1">
        <f t="shared" ref="AU130:AW130" si="315">AT130*O130</f>
        <v>100</v>
      </c>
      <c r="AV130" s="1">
        <f t="shared" si="315"/>
        <v>100</v>
      </c>
      <c r="AW130" s="1">
        <f t="shared" si="315"/>
        <v>100.5037766193005</v>
      </c>
      <c r="AX130" s="1" t="b">
        <f t="shared" si="309"/>
        <v>1</v>
      </c>
      <c r="AY130" s="1" t="s">
        <v>137</v>
      </c>
      <c r="AZ130" s="1" t="str">
        <f t="shared" si="197"/>
        <v>C24</v>
      </c>
      <c r="BA130" s="1" t="str">
        <f t="shared" si="198"/>
        <v>C2410</v>
      </c>
      <c r="BB130" s="1" t="s">
        <v>407</v>
      </c>
      <c r="BC130" s="1" t="s">
        <v>408</v>
      </c>
      <c r="BD130" s="1">
        <v>8.2009257520379419E-3</v>
      </c>
      <c r="BE130" s="1">
        <f t="shared" si="257"/>
        <v>0.82009257520379419</v>
      </c>
      <c r="BF130" s="1">
        <f t="shared" si="258"/>
        <v>0.82009257520379419</v>
      </c>
      <c r="BG130" s="1">
        <f t="shared" si="259"/>
        <v>0.82009257520379419</v>
      </c>
      <c r="BH130" s="1">
        <f t="shared" si="260"/>
        <v>0.82009257520379419</v>
      </c>
      <c r="BI130" s="1">
        <f t="shared" si="261"/>
        <v>0.82009257520379419</v>
      </c>
      <c r="BJ130" s="1">
        <f t="shared" si="262"/>
        <v>0.82009257520379419</v>
      </c>
      <c r="BK130" s="1">
        <f t="shared" si="263"/>
        <v>0.82009257520379419</v>
      </c>
      <c r="BL130" s="1">
        <f t="shared" si="264"/>
        <v>0.82009257520379419</v>
      </c>
      <c r="BM130" s="1">
        <f t="shared" si="265"/>
        <v>0.82009257520379419</v>
      </c>
      <c r="BN130" s="1">
        <f t="shared" si="266"/>
        <v>0.82009257520379419</v>
      </c>
      <c r="BO130" s="1">
        <f t="shared" si="267"/>
        <v>0.82009257520379419</v>
      </c>
      <c r="BP130" s="1">
        <f t="shared" si="268"/>
        <v>0.82009257520379419</v>
      </c>
      <c r="BQ130" s="1">
        <f t="shared" si="269"/>
        <v>0.82009257520379419</v>
      </c>
      <c r="BR130" s="1">
        <f t="shared" si="270"/>
        <v>0.82009257520379419</v>
      </c>
      <c r="BS130" s="1">
        <f t="shared" si="271"/>
        <v>0.82422400985429023</v>
      </c>
      <c r="BV130" s="1" t="s">
        <v>137</v>
      </c>
      <c r="BW130" s="1">
        <f>((AJ130-AI130)/BE$154)*$BD130</f>
        <v>0</v>
      </c>
      <c r="BX130" s="1">
        <f>((AK130-AJ130)/BF$154)*$BD130</f>
        <v>0</v>
      </c>
      <c r="BY130" s="1">
        <f>((AL130-AK130)/BG$154)*$BD130</f>
        <v>0</v>
      </c>
      <c r="BZ130" s="1">
        <f>((AM130-AL130)/BH$154)*$BD130</f>
        <v>0</v>
      </c>
      <c r="CA130" s="1">
        <f>((AN130-AM130)/BI$154)*$BD130</f>
        <v>0</v>
      </c>
      <c r="CB130" s="1">
        <f>((AO130-AN130)/BJ$154)*$BD130</f>
        <v>0</v>
      </c>
      <c r="CC130" s="1">
        <f>((AP130-AO130)/BK$154)*$BD130</f>
        <v>0</v>
      </c>
      <c r="CD130" s="1">
        <f>((AQ130-AP130)/BL$154)*$BD130</f>
        <v>0</v>
      </c>
      <c r="CE130" s="1">
        <f>((AR130-AQ130)/BM$154)*$BD130</f>
        <v>0</v>
      </c>
      <c r="CF130" s="1">
        <f>((AS130-AR130)/BN$154)*$BD130</f>
        <v>0</v>
      </c>
      <c r="CG130" s="1">
        <f>((AT130-AS130)/BO$154)*$BD130</f>
        <v>0</v>
      </c>
      <c r="CH130" s="1">
        <f>((AU130-AT130)/BP$154)*$BD130</f>
        <v>0</v>
      </c>
      <c r="CI130" s="1">
        <f>((AV130-AU130)/BQ$154)*$BD130</f>
        <v>0</v>
      </c>
      <c r="CJ130" s="1">
        <f>((AW130-AV130)/BR$154)*$BD130</f>
        <v>4.0793124190456103E-5</v>
      </c>
    </row>
    <row r="131" spans="1:88" x14ac:dyDescent="0.35">
      <c r="A131" s="1" t="s">
        <v>138</v>
      </c>
      <c r="B131" s="1">
        <v>1.0000092134843834</v>
      </c>
      <c r="C131" s="1">
        <v>1</v>
      </c>
      <c r="D131" s="1">
        <v>0.99465659147833374</v>
      </c>
      <c r="E131" s="1">
        <v>0.98576160938030011</v>
      </c>
      <c r="F131" s="1">
        <v>0.99985988010608995</v>
      </c>
      <c r="G131" s="1">
        <v>1.0094614802372663</v>
      </c>
      <c r="H131" s="1">
        <v>0.98800275251991532</v>
      </c>
      <c r="I131" s="1">
        <v>0.99736525345903082</v>
      </c>
      <c r="J131" s="1">
        <v>1</v>
      </c>
      <c r="K131" s="1">
        <v>0.99999981884544853</v>
      </c>
      <c r="L131" s="1">
        <v>1.0006281660018721</v>
      </c>
      <c r="M131" s="1">
        <v>0.99757676438839993</v>
      </c>
      <c r="N131" s="1">
        <v>0.99085993151824159</v>
      </c>
      <c r="O131" s="1">
        <v>1.0015481747804413</v>
      </c>
      <c r="P131" s="1">
        <v>1.0010171880839258</v>
      </c>
      <c r="Q131" s="1">
        <v>1</v>
      </c>
      <c r="S131" s="1">
        <f t="shared" si="199"/>
        <v>100</v>
      </c>
      <c r="T131" s="1">
        <f t="shared" si="201"/>
        <v>99.465659147833378</v>
      </c>
      <c r="U131" s="1">
        <f t="shared" si="202"/>
        <v>98.049428239640605</v>
      </c>
      <c r="V131" s="1">
        <f t="shared" si="203"/>
        <v>98.035689564157721</v>
      </c>
      <c r="W131" s="1">
        <f t="shared" si="204"/>
        <v>98.963252303515773</v>
      </c>
      <c r="X131" s="1">
        <f t="shared" si="205"/>
        <v>97.775965674196428</v>
      </c>
      <c r="Y131" s="1">
        <f t="shared" si="206"/>
        <v>97.518350786846412</v>
      </c>
      <c r="Z131" s="1">
        <f t="shared" si="207"/>
        <v>97.518350786846412</v>
      </c>
      <c r="AA131" s="1">
        <f t="shared" si="208"/>
        <v>97.518333120953315</v>
      </c>
      <c r="AB131" s="1">
        <f t="shared" si="209"/>
        <v>97.579590822379132</v>
      </c>
      <c r="AC131" s="1">
        <f t="shared" si="210"/>
        <v>97.343132482932972</v>
      </c>
      <c r="AD131" s="1">
        <f t="shared" si="211"/>
        <v>96.453409585810078</v>
      </c>
      <c r="AE131" s="1">
        <f t="shared" si="212"/>
        <v>98.018430209592694</v>
      </c>
      <c r="AF131" s="1">
        <f t="shared" si="213"/>
        <v>1.0202162979571303</v>
      </c>
      <c r="AH131" s="1" t="str">
        <f t="shared" si="214"/>
        <v>C2410.41231</v>
      </c>
      <c r="AI131" s="1">
        <f t="shared" si="296"/>
        <v>102.02162979571303</v>
      </c>
      <c r="AJ131" s="1">
        <f t="shared" si="297"/>
        <v>101.47648654966834</v>
      </c>
      <c r="AK131" s="1">
        <f t="shared" si="298"/>
        <v>100.03162469545944</v>
      </c>
      <c r="AL131" s="1">
        <f t="shared" si="299"/>
        <v>100.01760827481947</v>
      </c>
      <c r="AM131" s="1">
        <f t="shared" si="300"/>
        <v>100.96392289889032</v>
      </c>
      <c r="AN131" s="1">
        <f t="shared" si="301"/>
        <v>99.752633729312123</v>
      </c>
      <c r="AO131" s="1">
        <f t="shared" si="302"/>
        <v>99.489810822641246</v>
      </c>
      <c r="AP131" s="1">
        <f t="shared" si="303"/>
        <v>99.489810822641246</v>
      </c>
      <c r="AQ131" s="1">
        <f t="shared" si="304"/>
        <v>99.489792799609191</v>
      </c>
      <c r="AR131" s="1">
        <f t="shared" si="305"/>
        <v>99.552288904979207</v>
      </c>
      <c r="AS131" s="1">
        <f t="shared" si="306"/>
        <v>99.311050253288357</v>
      </c>
      <c r="AT131" s="1">
        <f t="shared" si="307"/>
        <v>98.403340452977943</v>
      </c>
      <c r="AU131" s="1">
        <f t="shared" ref="AU131:AW131" si="316">AT131*O131</f>
        <v>98.555686022978421</v>
      </c>
      <c r="AV131" s="1">
        <f t="shared" si="316"/>
        <v>98.655935692404128</v>
      </c>
      <c r="AW131" s="1">
        <f t="shared" si="316"/>
        <v>98.655935692404128</v>
      </c>
      <c r="AX131" s="1" t="b">
        <f t="shared" si="309"/>
        <v>1</v>
      </c>
      <c r="AY131" s="1" t="s">
        <v>138</v>
      </c>
      <c r="AZ131" s="1" t="str">
        <f t="shared" si="197"/>
        <v>C24</v>
      </c>
      <c r="BA131" s="1" t="str">
        <f t="shared" si="198"/>
        <v>C2410</v>
      </c>
      <c r="BB131" s="1" t="s">
        <v>409</v>
      </c>
      <c r="BC131" s="1" t="s">
        <v>410</v>
      </c>
      <c r="BD131" s="1">
        <v>8.2009257520379419E-3</v>
      </c>
      <c r="BE131" s="1">
        <f t="shared" ref="BE131:BE152" si="317">$BD131*AI131</f>
        <v>0.83667181105654431</v>
      </c>
      <c r="BF131" s="1">
        <f t="shared" ref="BF131:BF152" si="318">$BD131*AJ131</f>
        <v>0.8322011317715069</v>
      </c>
      <c r="BG131" s="1">
        <f t="shared" ref="BG131:BG152" si="319">$BD131*AK131</f>
        <v>0.82035192698318793</v>
      </c>
      <c r="BH131" s="1">
        <f t="shared" ref="BH131:BH152" si="320">$BD131*AL131</f>
        <v>0.82023697935821016</v>
      </c>
      <c r="BI131" s="1">
        <f t="shared" ref="BI131:BI152" si="321">$BD131*AM131</f>
        <v>0.82799763532828285</v>
      </c>
      <c r="BJ131" s="1">
        <f t="shared" ref="BJ131:BJ152" si="322">$BD131*AN131</f>
        <v>0.81806394278432437</v>
      </c>
      <c r="BK131" s="1">
        <f t="shared" ref="BK131:BK152" si="323">$BD131*AO131</f>
        <v>0.81590855164078169</v>
      </c>
      <c r="BL131" s="1">
        <f t="shared" ref="BL131:BL152" si="324">$BD131*AP131</f>
        <v>0.81590855164078169</v>
      </c>
      <c r="BM131" s="1">
        <f t="shared" ref="BM131:BM152" si="325">$BD131*AQ131</f>
        <v>0.815908403835234</v>
      </c>
      <c r="BN131" s="1">
        <f t="shared" ref="BN131:BN152" si="326">$BD131*AR131</f>
        <v>0.81642092975516511</v>
      </c>
      <c r="BO131" s="1">
        <f t="shared" ref="BO131:BO152" si="327">$BD131*AS131</f>
        <v>0.81444254948412664</v>
      </c>
      <c r="BP131" s="1">
        <f t="shared" ref="BP131:BP152" si="328">$BD131*AT131</f>
        <v>0.80699848880738378</v>
      </c>
      <c r="BQ131" s="1">
        <f t="shared" ref="BQ131:BQ152" si="329">$BD131*AU131</f>
        <v>0.80824786351560962</v>
      </c>
      <c r="BR131" s="1">
        <f t="shared" ref="BR131:BR152" si="330">$BD131*AV131</f>
        <v>0.80907000361123615</v>
      </c>
      <c r="BS131" s="1">
        <f t="shared" ref="BS131:BS152" si="331">$BD131*AW131</f>
        <v>0.80907000361123615</v>
      </c>
      <c r="BV131" s="1" t="s">
        <v>138</v>
      </c>
      <c r="BW131" s="1">
        <f>((AJ131-AI131)/BE$154)*$BD131</f>
        <v>-4.4909968368296066E-5</v>
      </c>
      <c r="BX131" s="1">
        <f>((AK131-AJ131)/BF$154)*$BD131</f>
        <v>-1.1909567046874094E-4</v>
      </c>
      <c r="BY131" s="1">
        <f>((AL131-AK131)/BG$154)*$BD131</f>
        <v>-1.1558582281003943E-6</v>
      </c>
      <c r="BZ131" s="1">
        <f>((AM131-AL131)/BH$154)*$BD131</f>
        <v>7.7861854467279761E-5</v>
      </c>
      <c r="CA131" s="1">
        <f>((AN131-AM131)/BI$154)*$BD131</f>
        <v>-9.9556750760708206E-5</v>
      </c>
      <c r="CB131" s="1">
        <f>((AO131-AN131)/BJ$154)*$BD131</f>
        <v>-2.1590172418571758E-5</v>
      </c>
      <c r="CC131" s="1">
        <f>((AP131-AO131)/BK$154)*$BD131</f>
        <v>0</v>
      </c>
      <c r="CD131" s="1">
        <f>((AQ131-AP131)/BL$154)*$BD131</f>
        <v>-1.4779651583151768E-9</v>
      </c>
      <c r="CE131" s="1">
        <f>((AR131-AQ131)/BM$154)*$BD131</f>
        <v>5.1045239173197552E-6</v>
      </c>
      <c r="CF131" s="1">
        <f>((AS131-AR131)/BN$154)*$BD131</f>
        <v>-1.9687445900674765E-5</v>
      </c>
      <c r="CG131" s="1">
        <f>((AT131-AS131)/BO$154)*$BD131</f>
        <v>-7.3908478056843675E-5</v>
      </c>
      <c r="CH131" s="1">
        <f>((AU131-AT131)/BP$154)*$BD131</f>
        <v>1.2401288504781108E-5</v>
      </c>
      <c r="CI131" s="1">
        <f>((AV131-AU131)/BQ$154)*$BD131</f>
        <v>8.1322631651627889E-6</v>
      </c>
      <c r="CJ131" s="1">
        <f>((AW131-AV131)/BR$154)*$BD131</f>
        <v>0</v>
      </c>
    </row>
    <row r="132" spans="1:88" x14ac:dyDescent="0.35">
      <c r="A132" s="1" t="s">
        <v>139</v>
      </c>
      <c r="B132" s="1">
        <v>1.0074675941860567</v>
      </c>
      <c r="C132" s="1">
        <v>1</v>
      </c>
      <c r="D132" s="1">
        <v>1</v>
      </c>
      <c r="E132" s="1">
        <v>0.9938218990495975</v>
      </c>
      <c r="F132" s="1">
        <v>1</v>
      </c>
      <c r="G132" s="1">
        <v>0.99376481823909735</v>
      </c>
      <c r="H132" s="1">
        <v>0.99997091957158224</v>
      </c>
      <c r="I132" s="1">
        <v>1</v>
      </c>
      <c r="J132" s="1">
        <v>1</v>
      </c>
      <c r="K132" s="1">
        <v>1.0159126067715913</v>
      </c>
      <c r="L132" s="1">
        <v>0.99536291687191425</v>
      </c>
      <c r="M132" s="1">
        <v>1</v>
      </c>
      <c r="N132" s="1">
        <v>0.98995339077264144</v>
      </c>
      <c r="O132" s="1">
        <v>1</v>
      </c>
      <c r="P132" s="1">
        <v>1</v>
      </c>
      <c r="Q132" s="1">
        <v>1.002516573705057</v>
      </c>
      <c r="S132" s="1">
        <f t="shared" si="199"/>
        <v>100</v>
      </c>
      <c r="T132" s="1">
        <f t="shared" si="201"/>
        <v>100</v>
      </c>
      <c r="U132" s="1">
        <f t="shared" si="202"/>
        <v>99.382189904959745</v>
      </c>
      <c r="V132" s="1">
        <f t="shared" si="203"/>
        <v>99.382189904959745</v>
      </c>
      <c r="W132" s="1">
        <f t="shared" si="204"/>
        <v>98.762523887105772</v>
      </c>
      <c r="X132" s="1">
        <f t="shared" si="205"/>
        <v>98.759651830599509</v>
      </c>
      <c r="Y132" s="1">
        <f t="shared" si="206"/>
        <v>98.759651830599509</v>
      </c>
      <c r="Z132" s="1">
        <f t="shared" si="207"/>
        <v>98.759651830599509</v>
      </c>
      <c r="AA132" s="1">
        <f t="shared" si="208"/>
        <v>100.33117533507911</v>
      </c>
      <c r="AB132" s="1">
        <f t="shared" si="209"/>
        <v>99.865931334711803</v>
      </c>
      <c r="AC132" s="1">
        <f t="shared" si="210"/>
        <v>99.865931334711803</v>
      </c>
      <c r="AD132" s="1">
        <f t="shared" si="211"/>
        <v>98.862617347465729</v>
      </c>
      <c r="AE132" s="1">
        <f t="shared" si="212"/>
        <v>99.394292878399355</v>
      </c>
      <c r="AF132" s="1">
        <f t="shared" si="213"/>
        <v>1.0060939829044477</v>
      </c>
      <c r="AH132" s="1" t="str">
        <f t="shared" si="214"/>
        <v>C2410.41241</v>
      </c>
      <c r="AI132" s="1">
        <f t="shared" si="296"/>
        <v>100.60939829044477</v>
      </c>
      <c r="AJ132" s="1">
        <f t="shared" si="297"/>
        <v>100.60939829044477</v>
      </c>
      <c r="AK132" s="1">
        <f t="shared" si="298"/>
        <v>99.987823271247152</v>
      </c>
      <c r="AL132" s="1">
        <f t="shared" si="299"/>
        <v>99.987823271247152</v>
      </c>
      <c r="AM132" s="1">
        <f t="shared" si="300"/>
        <v>99.364381019273907</v>
      </c>
      <c r="AN132" s="1">
        <f t="shared" si="301"/>
        <v>99.361491460504396</v>
      </c>
      <c r="AO132" s="1">
        <f t="shared" si="302"/>
        <v>99.361491460504396</v>
      </c>
      <c r="AP132" s="1">
        <f t="shared" si="303"/>
        <v>99.361491460504396</v>
      </c>
      <c r="AQ132" s="1">
        <f t="shared" si="304"/>
        <v>100.94259180235423</v>
      </c>
      <c r="AR132" s="1">
        <f t="shared" si="305"/>
        <v>100.47451261300229</v>
      </c>
      <c r="AS132" s="1">
        <f t="shared" si="306"/>
        <v>100.47451261300229</v>
      </c>
      <c r="AT132" s="1">
        <f t="shared" si="307"/>
        <v>99.465084447470147</v>
      </c>
      <c r="AU132" s="1">
        <f t="shared" ref="AU132:AW132" si="332">AT132*O132</f>
        <v>99.465084447470147</v>
      </c>
      <c r="AV132" s="1">
        <f t="shared" si="332"/>
        <v>99.465084447470147</v>
      </c>
      <c r="AW132" s="1">
        <f t="shared" si="332"/>
        <v>99.715395663561921</v>
      </c>
      <c r="AX132" s="1" t="b">
        <f t="shared" si="309"/>
        <v>1</v>
      </c>
      <c r="AY132" s="1" t="s">
        <v>139</v>
      </c>
      <c r="AZ132" s="1" t="str">
        <f t="shared" ref="AZ132:AZ152" si="333">LEFT(AY132,3)</f>
        <v>C24</v>
      </c>
      <c r="BA132" s="1" t="str">
        <f t="shared" ref="BA132:BA152" si="334">LEFT(AY132,5)</f>
        <v>C2410</v>
      </c>
      <c r="BB132" s="1" t="s">
        <v>411</v>
      </c>
      <c r="BC132" s="1" t="s">
        <v>412</v>
      </c>
      <c r="BD132" s="1">
        <v>1.1183080570960829E-2</v>
      </c>
      <c r="BE132" s="1">
        <f t="shared" si="317"/>
        <v>1.1251230072779326</v>
      </c>
      <c r="BF132" s="1">
        <f t="shared" si="318"/>
        <v>1.1251230072779326</v>
      </c>
      <c r="BG132" s="1">
        <f t="shared" si="319"/>
        <v>1.1181718837573491</v>
      </c>
      <c r="BH132" s="1">
        <f t="shared" si="320"/>
        <v>1.1181718837573491</v>
      </c>
      <c r="BI132" s="1">
        <f t="shared" si="321"/>
        <v>1.1111998788221911</v>
      </c>
      <c r="BJ132" s="1">
        <f t="shared" si="322"/>
        <v>1.111167564653657</v>
      </c>
      <c r="BK132" s="1">
        <f t="shared" si="323"/>
        <v>1.111167564653657</v>
      </c>
      <c r="BL132" s="1">
        <f t="shared" si="324"/>
        <v>1.111167564653657</v>
      </c>
      <c r="BM132" s="1">
        <f t="shared" si="325"/>
        <v>1.1288491371673375</v>
      </c>
      <c r="BN132" s="1">
        <f t="shared" si="326"/>
        <v>1.1236145698792246</v>
      </c>
      <c r="BO132" s="1">
        <f t="shared" si="327"/>
        <v>1.1236145698792246</v>
      </c>
      <c r="BP132" s="1">
        <f t="shared" si="328"/>
        <v>1.1123260533734816</v>
      </c>
      <c r="BQ132" s="1">
        <f t="shared" si="329"/>
        <v>1.1123260533734816</v>
      </c>
      <c r="BR132" s="1">
        <f t="shared" si="330"/>
        <v>1.1123260533734816</v>
      </c>
      <c r="BS132" s="1">
        <f t="shared" si="331"/>
        <v>1.1151253038708511</v>
      </c>
      <c r="BV132" s="1" t="s">
        <v>139</v>
      </c>
      <c r="BW132" s="1">
        <f>((AJ132-AI132)/BE$154)*$BD132</f>
        <v>0</v>
      </c>
      <c r="BX132" s="1">
        <f>((AK132-AJ132)/BF$154)*$BD132</f>
        <v>-6.9865339572071995E-5</v>
      </c>
      <c r="BY132" s="1">
        <f>((AL132-AK132)/BG$154)*$BD132</f>
        <v>0</v>
      </c>
      <c r="BZ132" s="1">
        <f>((AM132-AL132)/BH$154)*$BD132</f>
        <v>-6.9949400630542891E-5</v>
      </c>
      <c r="CA132" s="1">
        <f>((AN132-AM132)/BI$154)*$BD132</f>
        <v>-3.2385677415913625E-7</v>
      </c>
      <c r="CB132" s="1">
        <f>((AO132-AN132)/BJ$154)*$BD132</f>
        <v>0</v>
      </c>
      <c r="CC132" s="1">
        <f>((AP132-AO132)/BK$154)*$BD132</f>
        <v>0</v>
      </c>
      <c r="CD132" s="1">
        <f>((AQ132-AP132)/BL$154)*$BD132</f>
        <v>1.7680492054635482E-4</v>
      </c>
      <c r="CE132" s="1">
        <f>((AR132-AQ132)/BM$154)*$BD132</f>
        <v>-5.2133897779426061E-5</v>
      </c>
      <c r="CF132" s="1">
        <f>((AS132-AR132)/BN$154)*$BD132</f>
        <v>0</v>
      </c>
      <c r="CG132" s="1">
        <f>((AT132-AS132)/BO$154)*$BD132</f>
        <v>-1.12078220569272E-4</v>
      </c>
      <c r="CH132" s="1">
        <f>((AU132-AT132)/BP$154)*$BD132</f>
        <v>0</v>
      </c>
      <c r="CI132" s="1">
        <f>((AV132-AU132)/BQ$154)*$BD132</f>
        <v>0</v>
      </c>
      <c r="CJ132" s="1">
        <f>((AW132-AV132)/BR$154)*$BD132</f>
        <v>2.7639351179300216E-5</v>
      </c>
    </row>
    <row r="133" spans="1:88" x14ac:dyDescent="0.35">
      <c r="A133" s="1" t="s">
        <v>140</v>
      </c>
      <c r="B133" s="1">
        <v>1</v>
      </c>
      <c r="C133" s="1">
        <v>1</v>
      </c>
      <c r="D133" s="1">
        <v>1</v>
      </c>
      <c r="E133" s="1">
        <v>0.97537249352848099</v>
      </c>
      <c r="F133" s="1">
        <v>0.98820349651546535</v>
      </c>
      <c r="G133" s="1">
        <v>1.0131104336545271</v>
      </c>
      <c r="H133" s="1">
        <v>0.97044142872412598</v>
      </c>
      <c r="I133" s="1">
        <v>1.018245374654039</v>
      </c>
      <c r="J133" s="1">
        <v>1</v>
      </c>
      <c r="K133" s="1">
        <v>1.0414440635019075</v>
      </c>
      <c r="L133" s="1">
        <v>1.0110112632182116</v>
      </c>
      <c r="M133" s="1">
        <v>0.99942920541199498</v>
      </c>
      <c r="N133" s="1">
        <v>0.97480087846670183</v>
      </c>
      <c r="O133" s="1">
        <v>1</v>
      </c>
      <c r="P133" s="1">
        <v>1</v>
      </c>
      <c r="Q133" s="1">
        <v>1.010480045509534</v>
      </c>
      <c r="S133" s="1">
        <f t="shared" ref="S133:S151" si="335">C133*100</f>
        <v>100</v>
      </c>
      <c r="T133" s="1">
        <f t="shared" si="201"/>
        <v>100</v>
      </c>
      <c r="U133" s="1">
        <f t="shared" si="202"/>
        <v>97.537249352848093</v>
      </c>
      <c r="V133" s="1">
        <f t="shared" si="203"/>
        <v>96.386650850985291</v>
      </c>
      <c r="W133" s="1">
        <f t="shared" si="204"/>
        <v>97.650321642149208</v>
      </c>
      <c r="X133" s="1">
        <f t="shared" si="205"/>
        <v>94.763917649777724</v>
      </c>
      <c r="Y133" s="1">
        <f t="shared" si="206"/>
        <v>96.492920830982413</v>
      </c>
      <c r="Z133" s="1">
        <f t="shared" si="207"/>
        <v>96.492920830982413</v>
      </c>
      <c r="AA133" s="1">
        <f t="shared" si="208"/>
        <v>100.49197956938619</v>
      </c>
      <c r="AB133" s="1">
        <f t="shared" si="209"/>
        <v>101.59852320774384</v>
      </c>
      <c r="AC133" s="1">
        <f t="shared" si="210"/>
        <v>101.54053132054756</v>
      </c>
      <c r="AD133" s="1">
        <f t="shared" si="211"/>
        <v>98.98179913124541</v>
      </c>
      <c r="AE133" s="1">
        <f t="shared" si="212"/>
        <v>98.494734532220676</v>
      </c>
      <c r="AF133" s="1">
        <f t="shared" si="213"/>
        <v>1.0152826998816562</v>
      </c>
      <c r="AH133" s="1" t="str">
        <f t="shared" si="214"/>
        <v>C2410.41242</v>
      </c>
      <c r="AI133" s="1">
        <f t="shared" si="296"/>
        <v>101.52826998816562</v>
      </c>
      <c r="AJ133" s="1">
        <f t="shared" si="297"/>
        <v>101.52826998816562</v>
      </c>
      <c r="AK133" s="1">
        <f t="shared" si="298"/>
        <v>99.02788186198994</v>
      </c>
      <c r="AL133" s="1">
        <f t="shared" si="299"/>
        <v>97.859699108538877</v>
      </c>
      <c r="AM133" s="1">
        <f t="shared" si="300"/>
        <v>99.142682201153377</v>
      </c>
      <c r="AN133" s="1">
        <f t="shared" si="301"/>
        <v>96.212166162829263</v>
      </c>
      <c r="AO133" s="1">
        <f t="shared" si="302"/>
        <v>97.967593180746732</v>
      </c>
      <c r="AP133" s="1">
        <f t="shared" si="303"/>
        <v>97.967593180746732</v>
      </c>
      <c r="AQ133" s="1">
        <f t="shared" si="304"/>
        <v>102.02776833365864</v>
      </c>
      <c r="AR133" s="1">
        <f t="shared" si="305"/>
        <v>103.15122294634727</v>
      </c>
      <c r="AS133" s="1">
        <f t="shared" si="306"/>
        <v>103.09234478654339</v>
      </c>
      <c r="AT133" s="1">
        <f t="shared" si="307"/>
        <v>100.49450826111462</v>
      </c>
      <c r="AU133" s="1">
        <f t="shared" ref="AU133:AW133" si="336">AT133*O133</f>
        <v>100.49450826111462</v>
      </c>
      <c r="AV133" s="1">
        <f t="shared" si="336"/>
        <v>100.49450826111462</v>
      </c>
      <c r="AW133" s="1">
        <f t="shared" si="336"/>
        <v>101.54769528114933</v>
      </c>
      <c r="AX133" s="1" t="b">
        <f t="shared" si="309"/>
        <v>1</v>
      </c>
      <c r="AY133" s="1" t="s">
        <v>140</v>
      </c>
      <c r="AZ133" s="1" t="str">
        <f t="shared" si="333"/>
        <v>C24</v>
      </c>
      <c r="BA133" s="1" t="str">
        <f t="shared" si="334"/>
        <v>C2410</v>
      </c>
      <c r="BB133" s="1" t="s">
        <v>413</v>
      </c>
      <c r="BC133" s="1" t="s">
        <v>414</v>
      </c>
      <c r="BD133" s="1">
        <v>3.7276935236536094E-3</v>
      </c>
      <c r="BE133" s="1">
        <f t="shared" si="317"/>
        <v>0.37846627450264009</v>
      </c>
      <c r="BF133" s="1">
        <f t="shared" si="318"/>
        <v>0.37846627450264009</v>
      </c>
      <c r="BG133" s="1">
        <f t="shared" si="319"/>
        <v>0.36914559387807466</v>
      </c>
      <c r="BH133" s="1">
        <f t="shared" si="320"/>
        <v>0.36479096659359128</v>
      </c>
      <c r="BI133" s="1">
        <f t="shared" si="321"/>
        <v>0.3695735343588874</v>
      </c>
      <c r="BJ133" s="1">
        <f t="shared" si="322"/>
        <v>0.35864946870186359</v>
      </c>
      <c r="BK133" s="1">
        <f t="shared" si="323"/>
        <v>0.3651931626278011</v>
      </c>
      <c r="BL133" s="1">
        <f t="shared" si="324"/>
        <v>0.3651931626278011</v>
      </c>
      <c r="BM133" s="1">
        <f t="shared" si="325"/>
        <v>0.38032825125021014</v>
      </c>
      <c r="BN133" s="1">
        <f t="shared" si="326"/>
        <v>0.3845161457340483</v>
      </c>
      <c r="BO133" s="1">
        <f t="shared" si="327"/>
        <v>0.38429666599906276</v>
      </c>
      <c r="BP133" s="1">
        <f t="shared" si="328"/>
        <v>0.37461272760771114</v>
      </c>
      <c r="BQ133" s="1">
        <f t="shared" si="329"/>
        <v>0.37461272760771114</v>
      </c>
      <c r="BR133" s="1">
        <f t="shared" si="330"/>
        <v>0.37461272760771114</v>
      </c>
      <c r="BS133" s="1">
        <f t="shared" si="331"/>
        <v>0.37853868604149055</v>
      </c>
      <c r="BV133" s="1" t="s">
        <v>140</v>
      </c>
      <c r="BW133" s="1">
        <f>((AJ133-AI133)/BE$154)*$BD133</f>
        <v>0</v>
      </c>
      <c r="BX133" s="1">
        <f>((AK133-AJ133)/BF$154)*$BD133</f>
        <v>-9.3681620668917804E-5</v>
      </c>
      <c r="BY133" s="1">
        <f>((AL133-AK133)/BG$154)*$BD133</f>
        <v>-4.3788045016621773E-5</v>
      </c>
      <c r="BZ133" s="1">
        <f>((AM133-AL133)/BH$154)*$BD133</f>
        <v>4.7983005142528152E-5</v>
      </c>
      <c r="CA133" s="1">
        <f>((AN133-AM133)/BI$154)*$BD133</f>
        <v>-1.0948239812106685E-4</v>
      </c>
      <c r="CB133" s="1">
        <f>((AO133-AN133)/BJ$154)*$BD133</f>
        <v>6.5547026366240423E-5</v>
      </c>
      <c r="CC133" s="1">
        <f>((AP133-AO133)/BK$154)*$BD133</f>
        <v>0</v>
      </c>
      <c r="CD133" s="1">
        <f>((AQ133-AP133)/BL$154)*$BD133</f>
        <v>1.5134163770086931E-4</v>
      </c>
      <c r="CE133" s="1">
        <f>((AR133-AQ133)/BM$154)*$BD133</f>
        <v>4.1709515020898287E-5</v>
      </c>
      <c r="CF133" s="1">
        <f>((AS133-AR133)/BN$154)*$BD133</f>
        <v>-2.1841076117054761E-6</v>
      </c>
      <c r="CG133" s="1">
        <f>((AT133-AS133)/BO$154)*$BD133</f>
        <v>-9.6147140543486313E-5</v>
      </c>
      <c r="CH133" s="1">
        <f>((AU133-AT133)/BP$154)*$BD133</f>
        <v>0</v>
      </c>
      <c r="CI133" s="1">
        <f>((AV133-AU133)/BQ$154)*$BD133</f>
        <v>0</v>
      </c>
      <c r="CJ133" s="1">
        <f>((AW133-AV133)/BR$154)*$BD133</f>
        <v>3.8764284928603284E-5</v>
      </c>
    </row>
    <row r="134" spans="1:88" x14ac:dyDescent="0.35">
      <c r="A134" s="1" t="s">
        <v>141</v>
      </c>
      <c r="B134" s="1">
        <v>0.99547680554203644</v>
      </c>
      <c r="C134" s="1">
        <v>1</v>
      </c>
      <c r="D134" s="1">
        <v>0.98512966227109122</v>
      </c>
      <c r="E134" s="1">
        <v>0.96780278479174386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0.99975314371021595</v>
      </c>
      <c r="M134" s="1">
        <v>1</v>
      </c>
      <c r="N134" s="1">
        <v>1</v>
      </c>
      <c r="O134" s="1">
        <v>1</v>
      </c>
      <c r="P134" s="1">
        <v>1</v>
      </c>
      <c r="Q134" s="1">
        <v>1</v>
      </c>
      <c r="S134" s="1">
        <f t="shared" si="335"/>
        <v>100</v>
      </c>
      <c r="T134" s="1">
        <f t="shared" ref="T134:T152" si="337">S134*D134</f>
        <v>98.512966227109118</v>
      </c>
      <c r="U134" s="1">
        <f t="shared" ref="U134:U152" si="338">T134*E134</f>
        <v>95.341123052691216</v>
      </c>
      <c r="V134" s="1">
        <f t="shared" ref="V134:V152" si="339">U134*F134</f>
        <v>95.341123052691216</v>
      </c>
      <c r="W134" s="1">
        <f t="shared" ref="W134:W152" si="340">V134*G134</f>
        <v>95.341123052691216</v>
      </c>
      <c r="X134" s="1">
        <f t="shared" ref="X134:X152" si="341">W134*H134</f>
        <v>95.341123052691216</v>
      </c>
      <c r="Y134" s="1">
        <f t="shared" ref="Y134:Y152" si="342">X134*I134</f>
        <v>95.341123052691216</v>
      </c>
      <c r="Z134" s="1">
        <f t="shared" ref="Z134:Z152" si="343">Y134*J134</f>
        <v>95.341123052691216</v>
      </c>
      <c r="AA134" s="1">
        <f t="shared" ref="AA134:AA152" si="344">Z134*K134</f>
        <v>95.341123052691216</v>
      </c>
      <c r="AB134" s="1">
        <f t="shared" ref="AB134:AB152" si="345">AA134*L134</f>
        <v>95.31758749679058</v>
      </c>
      <c r="AC134" s="1">
        <f t="shared" ref="AC134:AC152" si="346">AB134*M134</f>
        <v>95.31758749679058</v>
      </c>
      <c r="AD134" s="1">
        <f t="shared" ref="AD134:AD152" si="347">AC134*N134</f>
        <v>95.31758749679058</v>
      </c>
      <c r="AE134" s="1">
        <f t="shared" ref="AE134:AE152" si="348">AVERAGE(S134:AD134)</f>
        <v>95.987799173859955</v>
      </c>
      <c r="AF134" s="1">
        <f t="shared" ref="AF134:AF152" si="349">100/AE134</f>
        <v>1.0417990709305966</v>
      </c>
      <c r="AH134" s="1" t="str">
        <f t="shared" ref="AH134:AH152" si="350">A134</f>
        <v>C2410.41251</v>
      </c>
      <c r="AI134" s="1">
        <f t="shared" si="296"/>
        <v>104.17990709305967</v>
      </c>
      <c r="AJ134" s="1">
        <f t="shared" si="297"/>
        <v>102.63071669001953</v>
      </c>
      <c r="AK134" s="1">
        <f t="shared" si="298"/>
        <v>99.3262934177734</v>
      </c>
      <c r="AL134" s="1">
        <f t="shared" si="299"/>
        <v>99.3262934177734</v>
      </c>
      <c r="AM134" s="1">
        <f t="shared" si="300"/>
        <v>99.3262934177734</v>
      </c>
      <c r="AN134" s="1">
        <f t="shared" si="301"/>
        <v>99.3262934177734</v>
      </c>
      <c r="AO134" s="1">
        <f t="shared" si="302"/>
        <v>99.3262934177734</v>
      </c>
      <c r="AP134" s="1">
        <f t="shared" si="303"/>
        <v>99.3262934177734</v>
      </c>
      <c r="AQ134" s="1">
        <f t="shared" si="304"/>
        <v>99.3262934177734</v>
      </c>
      <c r="AR134" s="1">
        <f t="shared" si="305"/>
        <v>99.301774097502275</v>
      </c>
      <c r="AS134" s="1">
        <f t="shared" si="306"/>
        <v>99.301774097502275</v>
      </c>
      <c r="AT134" s="1">
        <f t="shared" si="307"/>
        <v>99.301774097502275</v>
      </c>
      <c r="AU134" s="1">
        <f t="shared" ref="AU134:AW134" si="351">AT134*O134</f>
        <v>99.301774097502275</v>
      </c>
      <c r="AV134" s="1">
        <f t="shared" si="351"/>
        <v>99.301774097502275</v>
      </c>
      <c r="AW134" s="1">
        <f t="shared" si="351"/>
        <v>99.301774097502275</v>
      </c>
      <c r="AX134" s="1" t="b">
        <f t="shared" si="309"/>
        <v>1</v>
      </c>
      <c r="AY134" s="1" t="s">
        <v>141</v>
      </c>
      <c r="AZ134" s="1" t="str">
        <f t="shared" si="333"/>
        <v>C24</v>
      </c>
      <c r="BA134" s="1" t="str">
        <f t="shared" si="334"/>
        <v>C2410</v>
      </c>
      <c r="BB134" s="1" t="s">
        <v>415</v>
      </c>
      <c r="BC134" s="1" t="s">
        <v>416</v>
      </c>
      <c r="BD134" s="1">
        <v>8.5736951044033012E-3</v>
      </c>
      <c r="BE134" s="1">
        <f t="shared" si="317"/>
        <v>0.8932067594209564</v>
      </c>
      <c r="BF134" s="1">
        <f t="shared" si="318"/>
        <v>0.8799244732466226</v>
      </c>
      <c r="BG134" s="1">
        <f t="shared" si="319"/>
        <v>0.85159335561448968</v>
      </c>
      <c r="BH134" s="1">
        <f t="shared" si="320"/>
        <v>0.85159335561448968</v>
      </c>
      <c r="BI134" s="1">
        <f t="shared" si="321"/>
        <v>0.85159335561448968</v>
      </c>
      <c r="BJ134" s="1">
        <f t="shared" si="322"/>
        <v>0.85159335561448968</v>
      </c>
      <c r="BK134" s="1">
        <f t="shared" si="323"/>
        <v>0.85159335561448968</v>
      </c>
      <c r="BL134" s="1">
        <f t="shared" si="324"/>
        <v>0.85159335561448968</v>
      </c>
      <c r="BM134" s="1">
        <f t="shared" si="325"/>
        <v>0.85159335561448968</v>
      </c>
      <c r="BN134" s="1">
        <f t="shared" si="326"/>
        <v>0.85138313443831781</v>
      </c>
      <c r="BO134" s="1">
        <f t="shared" si="327"/>
        <v>0.85138313443831781</v>
      </c>
      <c r="BP134" s="1">
        <f t="shared" si="328"/>
        <v>0.85138313443831781</v>
      </c>
      <c r="BQ134" s="1">
        <f t="shared" si="329"/>
        <v>0.85138313443831781</v>
      </c>
      <c r="BR134" s="1">
        <f t="shared" si="330"/>
        <v>0.85138313443831781</v>
      </c>
      <c r="BS134" s="1">
        <f t="shared" si="331"/>
        <v>0.85138313443831781</v>
      </c>
      <c r="BV134" s="1" t="s">
        <v>141</v>
      </c>
      <c r="BW134" s="1">
        <f>((AJ134-AI134)/BE$154)*$BD134</f>
        <v>-1.3342649157240856E-4</v>
      </c>
      <c r="BX134" s="1">
        <f>((AK134-AJ134)/BF$154)*$BD134</f>
        <v>-2.8475442106071561E-4</v>
      </c>
      <c r="BY134" s="1">
        <f>((AL134-AK134)/BG$154)*$BD134</f>
        <v>0</v>
      </c>
      <c r="BZ134" s="1">
        <f>((AM134-AL134)/BH$154)*$BD134</f>
        <v>0</v>
      </c>
      <c r="CA134" s="1">
        <f>((AN134-AM134)/BI$154)*$BD134</f>
        <v>0</v>
      </c>
      <c r="CB134" s="1">
        <f>((AO134-AN134)/BJ$154)*$BD134</f>
        <v>0</v>
      </c>
      <c r="CC134" s="1">
        <f>((AP134-AO134)/BK$154)*$BD134</f>
        <v>0</v>
      </c>
      <c r="CD134" s="1">
        <f>((AQ134-AP134)/BL$154)*$BD134</f>
        <v>0</v>
      </c>
      <c r="CE134" s="1">
        <f>((AR134-AQ134)/BM$154)*$BD134</f>
        <v>-2.0937068350428517E-6</v>
      </c>
      <c r="CF134" s="1">
        <f>((AS134-AR134)/BN$154)*$BD134</f>
        <v>0</v>
      </c>
      <c r="CG134" s="1">
        <f>((AT134-AS134)/BO$154)*$BD134</f>
        <v>0</v>
      </c>
      <c r="CH134" s="1">
        <f>((AU134-AT134)/BP$154)*$BD134</f>
        <v>0</v>
      </c>
      <c r="CI134" s="1">
        <f>((AV134-AU134)/BQ$154)*$BD134</f>
        <v>0</v>
      </c>
      <c r="CJ134" s="1">
        <f>((AW134-AV134)/BR$154)*$BD134</f>
        <v>0</v>
      </c>
    </row>
    <row r="135" spans="1:88" x14ac:dyDescent="0.35">
      <c r="A135" s="1" t="s">
        <v>142</v>
      </c>
      <c r="B135" s="1">
        <v>1.0081277167481724</v>
      </c>
      <c r="C135" s="1">
        <v>1</v>
      </c>
      <c r="D135" s="1">
        <v>0.99999829349351732</v>
      </c>
      <c r="E135" s="1">
        <v>0.97818753644740175</v>
      </c>
      <c r="F135" s="1">
        <v>1.002836303419534</v>
      </c>
      <c r="G135" s="1">
        <v>0.99969931367337261</v>
      </c>
      <c r="H135" s="1">
        <v>1.00283167941261</v>
      </c>
      <c r="I135" s="1">
        <v>1</v>
      </c>
      <c r="J135" s="1">
        <v>0.98091550857910115</v>
      </c>
      <c r="K135" s="1">
        <v>0.99876259893689823</v>
      </c>
      <c r="L135" s="1">
        <v>1.0129173966856269</v>
      </c>
      <c r="M135" s="1">
        <v>1.0042725978387539</v>
      </c>
      <c r="N135" s="1">
        <v>0.99509488026318837</v>
      </c>
      <c r="O135" s="1">
        <v>1</v>
      </c>
      <c r="P135" s="1">
        <v>0.9715948885553497</v>
      </c>
      <c r="Q135" s="1">
        <v>1</v>
      </c>
      <c r="S135" s="1">
        <f t="shared" si="335"/>
        <v>100</v>
      </c>
      <c r="T135" s="1">
        <f t="shared" si="337"/>
        <v>99.999829349351728</v>
      </c>
      <c r="U135" s="1">
        <f t="shared" si="338"/>
        <v>97.818586716402947</v>
      </c>
      <c r="V135" s="1">
        <f t="shared" si="339"/>
        <v>98.096029908400666</v>
      </c>
      <c r="W135" s="1">
        <f t="shared" si="340"/>
        <v>98.066533773510784</v>
      </c>
      <c r="X135" s="1">
        <f t="shared" si="341"/>
        <v>98.344226758263261</v>
      </c>
      <c r="Y135" s="1">
        <f t="shared" si="342"/>
        <v>98.344226758263261</v>
      </c>
      <c r="Z135" s="1">
        <f t="shared" si="343"/>
        <v>96.467377206400258</v>
      </c>
      <c r="AA135" s="1">
        <f t="shared" si="344"/>
        <v>96.348008371290419</v>
      </c>
      <c r="AB135" s="1">
        <f t="shared" si="345"/>
        <v>97.592573815292468</v>
      </c>
      <c r="AC135" s="1">
        <f t="shared" si="346"/>
        <v>98.009547635254123</v>
      </c>
      <c r="AD135" s="1">
        <f t="shared" si="347"/>
        <v>97.528799068752463</v>
      </c>
      <c r="AE135" s="1">
        <f t="shared" si="348"/>
        <v>98.051311613431878</v>
      </c>
      <c r="AF135" s="1">
        <f t="shared" si="349"/>
        <v>1.0198741694986277</v>
      </c>
      <c r="AH135" s="1" t="str">
        <f t="shared" si="350"/>
        <v>C2410.41262</v>
      </c>
      <c r="AI135" s="1">
        <f t="shared" si="296"/>
        <v>101.98741694986278</v>
      </c>
      <c r="AJ135" s="1">
        <f t="shared" si="297"/>
        <v>101.9872429076746</v>
      </c>
      <c r="AK135" s="1">
        <f t="shared" si="298"/>
        <v>99.762649888920961</v>
      </c>
      <c r="AL135" s="1">
        <f t="shared" si="299"/>
        <v>100.04560703394267</v>
      </c>
      <c r="AM135" s="1">
        <f t="shared" si="300"/>
        <v>100.01552468786844</v>
      </c>
      <c r="AN135" s="1">
        <f t="shared" si="301"/>
        <v>100.29873659006847</v>
      </c>
      <c r="AO135" s="1">
        <f t="shared" si="302"/>
        <v>100.29873659006847</v>
      </c>
      <c r="AP135" s="1">
        <f t="shared" si="303"/>
        <v>98.384586212088308</v>
      </c>
      <c r="AQ135" s="1">
        <f t="shared" si="304"/>
        <v>98.26284502051665</v>
      </c>
      <c r="AR135" s="1">
        <f t="shared" si="305"/>
        <v>99.532145169104936</v>
      </c>
      <c r="AS135" s="1">
        <f t="shared" si="306"/>
        <v>99.957405997440986</v>
      </c>
      <c r="AT135" s="1">
        <f t="shared" si="307"/>
        <v>99.46710295244246</v>
      </c>
      <c r="AU135" s="1">
        <f t="shared" ref="AU135:AW135" si="352">AT135*O135</f>
        <v>99.46710295244246</v>
      </c>
      <c r="AV135" s="1">
        <f t="shared" si="352"/>
        <v>96.64172880800183</v>
      </c>
      <c r="AW135" s="1">
        <f t="shared" si="352"/>
        <v>96.64172880800183</v>
      </c>
      <c r="AX135" s="1" t="b">
        <f t="shared" si="309"/>
        <v>1</v>
      </c>
      <c r="AY135" s="1" t="s">
        <v>142</v>
      </c>
      <c r="AZ135" s="1" t="str">
        <f t="shared" si="333"/>
        <v>C24</v>
      </c>
      <c r="BA135" s="1" t="str">
        <f t="shared" si="334"/>
        <v>C2410</v>
      </c>
      <c r="BB135" s="1" t="s">
        <v>417</v>
      </c>
      <c r="BC135" s="1" t="s">
        <v>418</v>
      </c>
      <c r="BD135" s="1">
        <v>8.5736951044033012E-3</v>
      </c>
      <c r="BE135" s="1">
        <f t="shared" si="317"/>
        <v>0.87440901741377675</v>
      </c>
      <c r="BF135" s="1">
        <f t="shared" si="318"/>
        <v>0.87440752522912002</v>
      </c>
      <c r="BG135" s="1">
        <f t="shared" si="319"/>
        <v>0.85533454295494216</v>
      </c>
      <c r="BH135" s="1">
        <f t="shared" si="320"/>
        <v>0.85776053124397078</v>
      </c>
      <c r="BI135" s="1">
        <f t="shared" si="321"/>
        <v>0.85750261438070507</v>
      </c>
      <c r="BJ135" s="1">
        <f t="shared" si="322"/>
        <v>0.85993078688010627</v>
      </c>
      <c r="BK135" s="1">
        <f t="shared" si="323"/>
        <v>0.85993078688010627</v>
      </c>
      <c r="BL135" s="1">
        <f t="shared" si="324"/>
        <v>0.84351944515532606</v>
      </c>
      <c r="BM135" s="1">
        <f t="shared" si="325"/>
        <v>0.8424756732971439</v>
      </c>
      <c r="BN135" s="1">
        <f t="shared" si="326"/>
        <v>0.85335826576711371</v>
      </c>
      <c r="BO135" s="1">
        <f t="shared" si="327"/>
        <v>0.85700432244911295</v>
      </c>
      <c r="BP135" s="1">
        <f t="shared" si="328"/>
        <v>0.85280061363253501</v>
      </c>
      <c r="BQ135" s="1">
        <f t="shared" si="329"/>
        <v>0.85280061363253501</v>
      </c>
      <c r="BR135" s="1">
        <f t="shared" si="330"/>
        <v>0.8285767171622368</v>
      </c>
      <c r="BS135" s="1">
        <f t="shared" si="331"/>
        <v>0.8285767171622368</v>
      </c>
      <c r="BV135" s="1" t="s">
        <v>142</v>
      </c>
      <c r="BW135" s="1">
        <f>((AJ135-AI135)/BE$154)*$BD135</f>
        <v>-1.4989660734128999E-8</v>
      </c>
      <c r="BX135" s="1">
        <f>((AK135-AJ135)/BF$154)*$BD135</f>
        <v>-1.9170143924095902E-4</v>
      </c>
      <c r="BY135" s="1">
        <f>((AL135-AK135)/BG$154)*$BD135</f>
        <v>2.4394575579017401E-5</v>
      </c>
      <c r="BZ135" s="1">
        <f>((AM135-AL135)/BH$154)*$BD135</f>
        <v>-2.587653073359957E-6</v>
      </c>
      <c r="CA135" s="1">
        <f>((AN135-AM135)/BI$154)*$BD135</f>
        <v>2.4335458668278905E-5</v>
      </c>
      <c r="CB135" s="1">
        <f>((AO135-AN135)/BJ$154)*$BD135</f>
        <v>0</v>
      </c>
      <c r="CC135" s="1">
        <f>((AP135-AO135)/BK$154)*$BD135</f>
        <v>-1.643423024243804E-4</v>
      </c>
      <c r="CD135" s="1">
        <f>((AQ135-AP135)/BL$154)*$BD135</f>
        <v>-1.0437080769350852E-5</v>
      </c>
      <c r="CE135" s="1">
        <f>((AR135-AQ135)/BM$154)*$BD135</f>
        <v>1.0838564721346893E-4</v>
      </c>
      <c r="CF135" s="1">
        <f>((AS135-AR135)/BN$154)*$BD135</f>
        <v>3.6282986000450953E-5</v>
      </c>
      <c r="CG135" s="1">
        <f>((AT135-AS135)/BO$154)*$BD135</f>
        <v>-4.1736591669393609E-5</v>
      </c>
      <c r="CH135" s="1">
        <f>((AU135-AT135)/BP$154)*$BD135</f>
        <v>0</v>
      </c>
      <c r="CI135" s="1">
        <f>((AV135-AU135)/BQ$154)*$BD135</f>
        <v>-2.3961256971901889E-4</v>
      </c>
      <c r="CJ135" s="1">
        <f>((AW135-AV135)/BR$154)*$BD135</f>
        <v>0</v>
      </c>
    </row>
    <row r="136" spans="1:88" x14ac:dyDescent="0.35">
      <c r="A136" s="1" t="s">
        <v>143</v>
      </c>
      <c r="B136" s="1">
        <v>1.012151558179802</v>
      </c>
      <c r="C136" s="1">
        <v>1</v>
      </c>
      <c r="D136" s="1">
        <v>0.97047077037763985</v>
      </c>
      <c r="E136" s="1">
        <v>0.99266036862931406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0.97522206658643562</v>
      </c>
      <c r="P136" s="1">
        <v>0.94024601737848901</v>
      </c>
      <c r="Q136" s="1">
        <v>1</v>
      </c>
      <c r="S136" s="1">
        <f t="shared" si="335"/>
        <v>100</v>
      </c>
      <c r="T136" s="1">
        <f t="shared" si="337"/>
        <v>97.047077037763984</v>
      </c>
      <c r="U136" s="1">
        <f t="shared" si="338"/>
        <v>96.33478726670424</v>
      </c>
      <c r="V136" s="1">
        <f t="shared" si="339"/>
        <v>96.33478726670424</v>
      </c>
      <c r="W136" s="1">
        <f t="shared" si="340"/>
        <v>96.33478726670424</v>
      </c>
      <c r="X136" s="1">
        <f t="shared" si="341"/>
        <v>96.33478726670424</v>
      </c>
      <c r="Y136" s="1">
        <f t="shared" si="342"/>
        <v>96.33478726670424</v>
      </c>
      <c r="Z136" s="1">
        <f t="shared" si="343"/>
        <v>96.33478726670424</v>
      </c>
      <c r="AA136" s="1">
        <f t="shared" si="344"/>
        <v>96.33478726670424</v>
      </c>
      <c r="AB136" s="1">
        <f t="shared" si="345"/>
        <v>96.33478726670424</v>
      </c>
      <c r="AC136" s="1">
        <f t="shared" si="346"/>
        <v>96.33478726670424</v>
      </c>
      <c r="AD136" s="1">
        <f t="shared" si="347"/>
        <v>96.33478726670424</v>
      </c>
      <c r="AE136" s="1">
        <f t="shared" si="348"/>
        <v>96.699579142067194</v>
      </c>
      <c r="AF136" s="1">
        <f t="shared" si="349"/>
        <v>1.0341306641374721</v>
      </c>
      <c r="AH136" s="1" t="str">
        <f t="shared" si="350"/>
        <v>C2410.41283</v>
      </c>
      <c r="AI136" s="1">
        <f t="shared" si="296"/>
        <v>103.41306641374722</v>
      </c>
      <c r="AJ136" s="1">
        <f t="shared" si="297"/>
        <v>100.35935822966329</v>
      </c>
      <c r="AK136" s="1">
        <f t="shared" si="298"/>
        <v>99.622757535658948</v>
      </c>
      <c r="AL136" s="1">
        <f t="shared" si="299"/>
        <v>99.622757535658948</v>
      </c>
      <c r="AM136" s="1">
        <f t="shared" si="300"/>
        <v>99.622757535658948</v>
      </c>
      <c r="AN136" s="1">
        <f t="shared" si="301"/>
        <v>99.622757535658948</v>
      </c>
      <c r="AO136" s="1">
        <f t="shared" si="302"/>
        <v>99.622757535658948</v>
      </c>
      <c r="AP136" s="1">
        <f t="shared" si="303"/>
        <v>99.622757535658948</v>
      </c>
      <c r="AQ136" s="1">
        <f t="shared" si="304"/>
        <v>99.622757535658948</v>
      </c>
      <c r="AR136" s="1">
        <f t="shared" si="305"/>
        <v>99.622757535658948</v>
      </c>
      <c r="AS136" s="1">
        <f t="shared" si="306"/>
        <v>99.622757535658948</v>
      </c>
      <c r="AT136" s="1">
        <f t="shared" si="307"/>
        <v>99.622757535658948</v>
      </c>
      <c r="AU136" s="1">
        <f t="shared" ref="AU136:AW136" si="353">AT136*O136</f>
        <v>97.154311482964715</v>
      </c>
      <c r="AV136" s="1">
        <f t="shared" si="353"/>
        <v>91.348954443006775</v>
      </c>
      <c r="AW136" s="1">
        <f t="shared" si="353"/>
        <v>91.348954443006775</v>
      </c>
      <c r="AX136" s="1" t="b">
        <f t="shared" si="309"/>
        <v>1</v>
      </c>
      <c r="AY136" s="1" t="s">
        <v>143</v>
      </c>
      <c r="AZ136" s="1" t="str">
        <f t="shared" si="333"/>
        <v>C24</v>
      </c>
      <c r="BA136" s="1" t="str">
        <f t="shared" si="334"/>
        <v>C2410</v>
      </c>
      <c r="BB136" s="1" t="s">
        <v>419</v>
      </c>
      <c r="BC136" s="1" t="s">
        <v>420</v>
      </c>
      <c r="BD136" s="1">
        <v>3.7276935236536094E-3</v>
      </c>
      <c r="BE136" s="1">
        <f t="shared" si="317"/>
        <v>0.38549221793168609</v>
      </c>
      <c r="BF136" s="1">
        <f t="shared" si="318"/>
        <v>0.37410892971074838</v>
      </c>
      <c r="BG136" s="1">
        <f t="shared" si="319"/>
        <v>0.37136310807418965</v>
      </c>
      <c r="BH136" s="1">
        <f t="shared" si="320"/>
        <v>0.37136310807418965</v>
      </c>
      <c r="BI136" s="1">
        <f t="shared" si="321"/>
        <v>0.37136310807418965</v>
      </c>
      <c r="BJ136" s="1">
        <f t="shared" si="322"/>
        <v>0.37136310807418965</v>
      </c>
      <c r="BK136" s="1">
        <f t="shared" si="323"/>
        <v>0.37136310807418965</v>
      </c>
      <c r="BL136" s="1">
        <f t="shared" si="324"/>
        <v>0.37136310807418965</v>
      </c>
      <c r="BM136" s="1">
        <f t="shared" si="325"/>
        <v>0.37136310807418965</v>
      </c>
      <c r="BN136" s="1">
        <f t="shared" si="326"/>
        <v>0.37136310807418965</v>
      </c>
      <c r="BO136" s="1">
        <f t="shared" si="327"/>
        <v>0.37136310807418965</v>
      </c>
      <c r="BP136" s="1">
        <f t="shared" si="328"/>
        <v>0.37136310807418965</v>
      </c>
      <c r="BQ136" s="1">
        <f t="shared" si="329"/>
        <v>0.36216149771007305</v>
      </c>
      <c r="BR136" s="1">
        <f t="shared" si="330"/>
        <v>0.34052090586972494</v>
      </c>
      <c r="BS136" s="1">
        <f t="shared" si="331"/>
        <v>0.34052090586972494</v>
      </c>
      <c r="BV136" s="1" t="s">
        <v>143</v>
      </c>
      <c r="BW136" s="1">
        <f>((AJ136-AI136)/BE$154)*$BD136</f>
        <v>-1.1435020974116416E-4</v>
      </c>
      <c r="BX136" s="1">
        <f>((AK136-AJ136)/BF$154)*$BD136</f>
        <v>-2.7598094102982299E-5</v>
      </c>
      <c r="BY136" s="1">
        <f>((AL136-AK136)/BG$154)*$BD136</f>
        <v>0</v>
      </c>
      <c r="BZ136" s="1">
        <f>((AM136-AL136)/BH$154)*$BD136</f>
        <v>0</v>
      </c>
      <c r="CA136" s="1">
        <f>((AN136-AM136)/BI$154)*$BD136</f>
        <v>0</v>
      </c>
      <c r="CB136" s="1">
        <f>((AO136-AN136)/BJ$154)*$BD136</f>
        <v>0</v>
      </c>
      <c r="CC136" s="1">
        <f>((AP136-AO136)/BK$154)*$BD136</f>
        <v>0</v>
      </c>
      <c r="CD136" s="1">
        <f>((AQ136-AP136)/BL$154)*$BD136</f>
        <v>0</v>
      </c>
      <c r="CE136" s="1">
        <f>((AR136-AQ136)/BM$154)*$BD136</f>
        <v>0</v>
      </c>
      <c r="CF136" s="1">
        <f>((AS136-AR136)/BN$154)*$BD136</f>
        <v>0</v>
      </c>
      <c r="CG136" s="1">
        <f>((AT136-AS136)/BO$154)*$BD136</f>
        <v>0</v>
      </c>
      <c r="CH136" s="1">
        <f>((AU136-AT136)/BP$154)*$BD136</f>
        <v>-9.1335148760966618E-5</v>
      </c>
      <c r="CI136" s="1">
        <f>((AV136-AU136)/BQ$154)*$BD136</f>
        <v>-2.1405960958692898E-4</v>
      </c>
      <c r="CJ136" s="1">
        <f>((AW136-AV136)/BR$154)*$BD136</f>
        <v>0</v>
      </c>
    </row>
    <row r="137" spans="1:88" x14ac:dyDescent="0.35">
      <c r="A137" s="1" t="s">
        <v>144</v>
      </c>
      <c r="B137" s="1">
        <v>0.98805364226847514</v>
      </c>
      <c r="C137" s="1">
        <v>1</v>
      </c>
      <c r="D137" s="1">
        <v>1</v>
      </c>
      <c r="E137" s="1">
        <v>1</v>
      </c>
      <c r="F137" s="1">
        <v>1.0074745266115053</v>
      </c>
      <c r="G137" s="1">
        <v>1.0184708280209305</v>
      </c>
      <c r="H137" s="1">
        <v>0.98185354004171355</v>
      </c>
      <c r="I137" s="1">
        <v>1</v>
      </c>
      <c r="J137" s="1">
        <v>1</v>
      </c>
      <c r="K137" s="1">
        <v>1.0245001976568271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1.0076131603628722</v>
      </c>
      <c r="S137" s="1">
        <f t="shared" si="335"/>
        <v>100</v>
      </c>
      <c r="T137" s="1">
        <f t="shared" si="337"/>
        <v>100</v>
      </c>
      <c r="U137" s="1">
        <f t="shared" si="338"/>
        <v>100</v>
      </c>
      <c r="V137" s="1">
        <f t="shared" si="339"/>
        <v>100.74745266115053</v>
      </c>
      <c r="W137" s="1">
        <f t="shared" si="340"/>
        <v>102.60834153280148</v>
      </c>
      <c r="X137" s="1">
        <f t="shared" si="341"/>
        <v>100.74636337179031</v>
      </c>
      <c r="Y137" s="1">
        <f t="shared" si="342"/>
        <v>100.74636337179031</v>
      </c>
      <c r="Z137" s="1">
        <f t="shared" si="343"/>
        <v>100.74636337179031</v>
      </c>
      <c r="AA137" s="1">
        <f t="shared" si="344"/>
        <v>103.21466918760569</v>
      </c>
      <c r="AB137" s="1">
        <f t="shared" si="345"/>
        <v>103.21466918760569</v>
      </c>
      <c r="AC137" s="1">
        <f t="shared" si="346"/>
        <v>103.21466918760569</v>
      </c>
      <c r="AD137" s="1">
        <f t="shared" si="347"/>
        <v>103.21466918760569</v>
      </c>
      <c r="AE137" s="1">
        <f t="shared" si="348"/>
        <v>101.53779675497883</v>
      </c>
      <c r="AF137" s="1">
        <f t="shared" si="349"/>
        <v>0.98485493280212011</v>
      </c>
      <c r="AH137" s="1" t="str">
        <f t="shared" si="350"/>
        <v>C2511.42190</v>
      </c>
      <c r="AI137" s="1">
        <f t="shared" si="296"/>
        <v>98.485493280212012</v>
      </c>
      <c r="AJ137" s="1">
        <f t="shared" si="297"/>
        <v>98.485493280212012</v>
      </c>
      <c r="AK137" s="1">
        <f t="shared" si="298"/>
        <v>98.485493280212012</v>
      </c>
      <c r="AL137" s="1">
        <f t="shared" si="299"/>
        <v>99.221625720582182</v>
      </c>
      <c r="AM137" s="1">
        <f t="shared" si="300"/>
        <v>101.05433130522418</v>
      </c>
      <c r="AN137" s="1">
        <f t="shared" si="301"/>
        <v>99.220552928582521</v>
      </c>
      <c r="AO137" s="1">
        <f t="shared" si="302"/>
        <v>99.220552928582521</v>
      </c>
      <c r="AP137" s="1">
        <f t="shared" si="303"/>
        <v>99.220552928582521</v>
      </c>
      <c r="AQ137" s="1">
        <f t="shared" si="304"/>
        <v>101.65147608695246</v>
      </c>
      <c r="AR137" s="1">
        <f t="shared" si="305"/>
        <v>101.65147608695246</v>
      </c>
      <c r="AS137" s="1">
        <f t="shared" si="306"/>
        <v>101.65147608695246</v>
      </c>
      <c r="AT137" s="1">
        <f t="shared" si="307"/>
        <v>101.65147608695246</v>
      </c>
      <c r="AU137" s="1">
        <f t="shared" ref="AU137:AW137" si="354">AT137*O137</f>
        <v>101.65147608695246</v>
      </c>
      <c r="AV137" s="1">
        <f t="shared" si="354"/>
        <v>101.65147608695246</v>
      </c>
      <c r="AW137" s="1">
        <f t="shared" si="354"/>
        <v>102.42536507552509</v>
      </c>
      <c r="AX137" s="1" t="b">
        <f t="shared" si="309"/>
        <v>1</v>
      </c>
      <c r="AY137" s="1" t="s">
        <v>144</v>
      </c>
      <c r="AZ137" s="1" t="str">
        <f t="shared" si="333"/>
        <v>C25</v>
      </c>
      <c r="BA137" s="1" t="str">
        <f t="shared" si="334"/>
        <v>C2511</v>
      </c>
      <c r="BB137" s="1" t="s">
        <v>421</v>
      </c>
      <c r="BC137" s="1" t="s">
        <v>422</v>
      </c>
      <c r="BD137" s="1">
        <v>2.3957995941733617E-3</v>
      </c>
      <c r="BE137" s="1">
        <f t="shared" si="317"/>
        <v>0.23595150483269528</v>
      </c>
      <c r="BF137" s="1">
        <f t="shared" si="318"/>
        <v>0.23595150483269528</v>
      </c>
      <c r="BG137" s="1">
        <f t="shared" si="319"/>
        <v>0.23595150483269528</v>
      </c>
      <c r="BH137" s="1">
        <f t="shared" si="320"/>
        <v>0.23771513063459199</v>
      </c>
      <c r="BI137" s="1">
        <f t="shared" si="321"/>
        <v>0.24210592593051652</v>
      </c>
      <c r="BJ137" s="1">
        <f t="shared" si="322"/>
        <v>0.23771256043995456</v>
      </c>
      <c r="BK137" s="1">
        <f t="shared" si="323"/>
        <v>0.23771256043995456</v>
      </c>
      <c r="BL137" s="1">
        <f t="shared" si="324"/>
        <v>0.23771256043995456</v>
      </c>
      <c r="BM137" s="1">
        <f t="shared" si="325"/>
        <v>0.24353656515624386</v>
      </c>
      <c r="BN137" s="1">
        <f t="shared" si="326"/>
        <v>0.24353656515624386</v>
      </c>
      <c r="BO137" s="1">
        <f t="shared" si="327"/>
        <v>0.24353656515624386</v>
      </c>
      <c r="BP137" s="1">
        <f t="shared" si="328"/>
        <v>0.24353656515624386</v>
      </c>
      <c r="BQ137" s="1">
        <f t="shared" si="329"/>
        <v>0.24353656515624386</v>
      </c>
      <c r="BR137" s="1">
        <f t="shared" si="330"/>
        <v>0.24353656515624386</v>
      </c>
      <c r="BS137" s="1">
        <f t="shared" si="331"/>
        <v>0.24539064808100142</v>
      </c>
      <c r="BV137" s="1" t="s">
        <v>144</v>
      </c>
      <c r="BW137" s="1">
        <f>((AJ137-AI137)/BE$154)*$BD137</f>
        <v>0</v>
      </c>
      <c r="BX137" s="1">
        <f>((AK137-AJ137)/BF$154)*$BD137</f>
        <v>0</v>
      </c>
      <c r="BY137" s="1">
        <f>((AL137-AK137)/BG$154)*$BD137</f>
        <v>1.773417584579581E-5</v>
      </c>
      <c r="BZ137" s="1">
        <f>((AM137-AL137)/BH$154)*$BD137</f>
        <v>4.4052392690161941E-5</v>
      </c>
      <c r="CA137" s="1">
        <f>((AN137-AM137)/BI$154)*$BD137</f>
        <v>-4.4030876857628265E-5</v>
      </c>
      <c r="CB137" s="1">
        <f>((AO137-AN137)/BJ$154)*$BD137</f>
        <v>0</v>
      </c>
      <c r="CC137" s="1">
        <f>((AP137-AO137)/BK$154)*$BD137</f>
        <v>0</v>
      </c>
      <c r="CD137" s="1">
        <f>((AQ137-AP137)/BL$154)*$BD137</f>
        <v>5.8236488317338892E-5</v>
      </c>
      <c r="CE137" s="1">
        <f>((AR137-AQ137)/BM$154)*$BD137</f>
        <v>0</v>
      </c>
      <c r="CF137" s="1">
        <f>((AS137-AR137)/BN$154)*$BD137</f>
        <v>0</v>
      </c>
      <c r="CG137" s="1">
        <f>((AT137-AS137)/BO$154)*$BD137</f>
        <v>0</v>
      </c>
      <c r="CH137" s="1">
        <f>((AU137-AT137)/BP$154)*$BD137</f>
        <v>0</v>
      </c>
      <c r="CI137" s="1">
        <f>((AV137-AU137)/BQ$154)*$BD137</f>
        <v>0</v>
      </c>
      <c r="CJ137" s="1">
        <f>((AW137-AV137)/BR$154)*$BD137</f>
        <v>1.8306917912875118E-5</v>
      </c>
    </row>
    <row r="138" spans="1:88" x14ac:dyDescent="0.35">
      <c r="A138" s="1" t="s">
        <v>145</v>
      </c>
      <c r="B138" s="1">
        <v>1</v>
      </c>
      <c r="C138" s="1">
        <v>1</v>
      </c>
      <c r="D138" s="1">
        <v>1</v>
      </c>
      <c r="E138" s="1">
        <v>1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S138" s="1">
        <f t="shared" si="335"/>
        <v>100</v>
      </c>
      <c r="T138" s="1">
        <f t="shared" si="337"/>
        <v>100</v>
      </c>
      <c r="U138" s="1">
        <f t="shared" si="338"/>
        <v>100</v>
      </c>
      <c r="V138" s="1">
        <f t="shared" si="339"/>
        <v>100</v>
      </c>
      <c r="W138" s="1">
        <f t="shared" si="340"/>
        <v>100</v>
      </c>
      <c r="X138" s="1">
        <f t="shared" si="341"/>
        <v>100</v>
      </c>
      <c r="Y138" s="1">
        <f t="shared" si="342"/>
        <v>100</v>
      </c>
      <c r="Z138" s="1">
        <f t="shared" si="343"/>
        <v>100</v>
      </c>
      <c r="AA138" s="1">
        <f t="shared" si="344"/>
        <v>100</v>
      </c>
      <c r="AB138" s="1">
        <f t="shared" si="345"/>
        <v>100</v>
      </c>
      <c r="AC138" s="1">
        <f t="shared" si="346"/>
        <v>100</v>
      </c>
      <c r="AD138" s="1">
        <f t="shared" si="347"/>
        <v>100</v>
      </c>
      <c r="AE138" s="1">
        <f t="shared" si="348"/>
        <v>100</v>
      </c>
      <c r="AF138" s="1">
        <f t="shared" si="349"/>
        <v>1</v>
      </c>
      <c r="AH138" s="1" t="str">
        <f t="shared" si="350"/>
        <v>C2512.42210</v>
      </c>
      <c r="AI138" s="1">
        <f t="shared" si="296"/>
        <v>100</v>
      </c>
      <c r="AJ138" s="1">
        <f t="shared" si="297"/>
        <v>100</v>
      </c>
      <c r="AK138" s="1">
        <f t="shared" si="298"/>
        <v>100</v>
      </c>
      <c r="AL138" s="1">
        <f t="shared" si="299"/>
        <v>100</v>
      </c>
      <c r="AM138" s="1">
        <f t="shared" si="300"/>
        <v>100</v>
      </c>
      <c r="AN138" s="1">
        <f t="shared" si="301"/>
        <v>100</v>
      </c>
      <c r="AO138" s="1">
        <f t="shared" si="302"/>
        <v>100</v>
      </c>
      <c r="AP138" s="1">
        <f t="shared" si="303"/>
        <v>100</v>
      </c>
      <c r="AQ138" s="1">
        <f t="shared" si="304"/>
        <v>100</v>
      </c>
      <c r="AR138" s="1">
        <f t="shared" si="305"/>
        <v>100</v>
      </c>
      <c r="AS138" s="1">
        <f t="shared" si="306"/>
        <v>100</v>
      </c>
      <c r="AT138" s="1">
        <f t="shared" si="307"/>
        <v>100</v>
      </c>
      <c r="AU138" s="1">
        <f t="shared" ref="AU138:AW138" si="355">AT138*O138</f>
        <v>100</v>
      </c>
      <c r="AV138" s="1">
        <f t="shared" si="355"/>
        <v>100</v>
      </c>
      <c r="AW138" s="1">
        <f t="shared" si="355"/>
        <v>100</v>
      </c>
      <c r="AX138" s="1" t="b">
        <f t="shared" si="309"/>
        <v>1</v>
      </c>
      <c r="AY138" s="1" t="s">
        <v>145</v>
      </c>
      <c r="AZ138" s="1" t="str">
        <f t="shared" si="333"/>
        <v>C25</v>
      </c>
      <c r="BA138" s="1" t="str">
        <f t="shared" si="334"/>
        <v>C2512</v>
      </c>
      <c r="BB138" s="1" t="s">
        <v>423</v>
      </c>
      <c r="BC138" s="1" t="s">
        <v>424</v>
      </c>
      <c r="BD138" s="1">
        <v>2.3957995941733617E-3</v>
      </c>
      <c r="BE138" s="1">
        <f t="shared" si="317"/>
        <v>0.23957995941733617</v>
      </c>
      <c r="BF138" s="1">
        <f t="shared" si="318"/>
        <v>0.23957995941733617</v>
      </c>
      <c r="BG138" s="1">
        <f t="shared" si="319"/>
        <v>0.23957995941733617</v>
      </c>
      <c r="BH138" s="1">
        <f t="shared" si="320"/>
        <v>0.23957995941733617</v>
      </c>
      <c r="BI138" s="1">
        <f t="shared" si="321"/>
        <v>0.23957995941733617</v>
      </c>
      <c r="BJ138" s="1">
        <f t="shared" si="322"/>
        <v>0.23957995941733617</v>
      </c>
      <c r="BK138" s="1">
        <f t="shared" si="323"/>
        <v>0.23957995941733617</v>
      </c>
      <c r="BL138" s="1">
        <f t="shared" si="324"/>
        <v>0.23957995941733617</v>
      </c>
      <c r="BM138" s="1">
        <f t="shared" si="325"/>
        <v>0.23957995941733617</v>
      </c>
      <c r="BN138" s="1">
        <f t="shared" si="326"/>
        <v>0.23957995941733617</v>
      </c>
      <c r="BO138" s="1">
        <f t="shared" si="327"/>
        <v>0.23957995941733617</v>
      </c>
      <c r="BP138" s="1">
        <f t="shared" si="328"/>
        <v>0.23957995941733617</v>
      </c>
      <c r="BQ138" s="1">
        <f t="shared" si="329"/>
        <v>0.23957995941733617</v>
      </c>
      <c r="BR138" s="1">
        <f t="shared" si="330"/>
        <v>0.23957995941733617</v>
      </c>
      <c r="BS138" s="1">
        <f t="shared" si="331"/>
        <v>0.23957995941733617</v>
      </c>
      <c r="BV138" s="1" t="s">
        <v>145</v>
      </c>
      <c r="BW138" s="1">
        <f>((AJ138-AI138)/BE$154)*$BD138</f>
        <v>0</v>
      </c>
      <c r="BX138" s="1">
        <f>((AK138-AJ138)/BF$154)*$BD138</f>
        <v>0</v>
      </c>
      <c r="BY138" s="1">
        <f>((AL138-AK138)/BG$154)*$BD138</f>
        <v>0</v>
      </c>
      <c r="BZ138" s="1">
        <f>((AM138-AL138)/BH$154)*$BD138</f>
        <v>0</v>
      </c>
      <c r="CA138" s="1">
        <f>((AN138-AM138)/BI$154)*$BD138</f>
        <v>0</v>
      </c>
      <c r="CB138" s="1">
        <f>((AO138-AN138)/BJ$154)*$BD138</f>
        <v>0</v>
      </c>
      <c r="CC138" s="1">
        <f>((AP138-AO138)/BK$154)*$BD138</f>
        <v>0</v>
      </c>
      <c r="CD138" s="1">
        <f>((AQ138-AP138)/BL$154)*$BD138</f>
        <v>0</v>
      </c>
      <c r="CE138" s="1">
        <f>((AR138-AQ138)/BM$154)*$BD138</f>
        <v>0</v>
      </c>
      <c r="CF138" s="1">
        <f>((AS138-AR138)/BN$154)*$BD138</f>
        <v>0</v>
      </c>
      <c r="CG138" s="1">
        <f>((AT138-AS138)/BO$154)*$BD138</f>
        <v>0</v>
      </c>
      <c r="CH138" s="1">
        <f>((AU138-AT138)/BP$154)*$BD138</f>
        <v>0</v>
      </c>
      <c r="CI138" s="1">
        <f>((AV138-AU138)/BQ$154)*$BD138</f>
        <v>0</v>
      </c>
      <c r="CJ138" s="1">
        <f>((AW138-AV138)/BR$154)*$BD138</f>
        <v>0</v>
      </c>
    </row>
    <row r="139" spans="1:88" x14ac:dyDescent="0.35">
      <c r="A139" s="1" t="s">
        <v>146</v>
      </c>
      <c r="B139" s="1">
        <v>1</v>
      </c>
      <c r="C139" s="1">
        <v>1</v>
      </c>
      <c r="D139" s="1">
        <v>1</v>
      </c>
      <c r="E139" s="1">
        <v>1</v>
      </c>
      <c r="F139" s="1">
        <v>1.0237843513322626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1.0244234968724115</v>
      </c>
      <c r="P139" s="1">
        <v>1</v>
      </c>
      <c r="Q139" s="1">
        <v>1</v>
      </c>
      <c r="S139" s="1">
        <f t="shared" si="335"/>
        <v>100</v>
      </c>
      <c r="T139" s="1">
        <f t="shared" si="337"/>
        <v>100</v>
      </c>
      <c r="U139" s="1">
        <f t="shared" si="338"/>
        <v>100</v>
      </c>
      <c r="V139" s="1">
        <f t="shared" si="339"/>
        <v>102.37843513322626</v>
      </c>
      <c r="W139" s="1">
        <f t="shared" si="340"/>
        <v>102.37843513322626</v>
      </c>
      <c r="X139" s="1">
        <f t="shared" si="341"/>
        <v>102.37843513322626</v>
      </c>
      <c r="Y139" s="1">
        <f t="shared" si="342"/>
        <v>102.37843513322626</v>
      </c>
      <c r="Z139" s="1">
        <f t="shared" si="343"/>
        <v>102.37843513322626</v>
      </c>
      <c r="AA139" s="1">
        <f t="shared" si="344"/>
        <v>102.37843513322626</v>
      </c>
      <c r="AB139" s="1">
        <f t="shared" si="345"/>
        <v>102.37843513322626</v>
      </c>
      <c r="AC139" s="1">
        <f t="shared" si="346"/>
        <v>102.37843513322626</v>
      </c>
      <c r="AD139" s="1">
        <f t="shared" si="347"/>
        <v>102.37843513322626</v>
      </c>
      <c r="AE139" s="1">
        <f t="shared" si="348"/>
        <v>101.78382634991971</v>
      </c>
      <c r="AF139" s="1">
        <f t="shared" si="349"/>
        <v>0.98247436342403616</v>
      </c>
      <c r="AH139" s="1" t="str">
        <f t="shared" si="350"/>
        <v>C2599.42912</v>
      </c>
      <c r="AI139" s="1">
        <f t="shared" si="296"/>
        <v>98.247436342403617</v>
      </c>
      <c r="AJ139" s="1">
        <f t="shared" si="297"/>
        <v>98.247436342403617</v>
      </c>
      <c r="AK139" s="1">
        <f t="shared" si="298"/>
        <v>98.247436342403617</v>
      </c>
      <c r="AL139" s="1">
        <f t="shared" si="299"/>
        <v>100.58418788586545</v>
      </c>
      <c r="AM139" s="1">
        <f t="shared" si="300"/>
        <v>100.58418788586545</v>
      </c>
      <c r="AN139" s="1">
        <f t="shared" si="301"/>
        <v>100.58418788586545</v>
      </c>
      <c r="AO139" s="1">
        <f t="shared" si="302"/>
        <v>100.58418788586545</v>
      </c>
      <c r="AP139" s="1">
        <f t="shared" si="303"/>
        <v>100.58418788586545</v>
      </c>
      <c r="AQ139" s="1">
        <f t="shared" si="304"/>
        <v>100.58418788586545</v>
      </c>
      <c r="AR139" s="1">
        <f t="shared" si="305"/>
        <v>100.58418788586545</v>
      </c>
      <c r="AS139" s="1">
        <f t="shared" si="306"/>
        <v>100.58418788586545</v>
      </c>
      <c r="AT139" s="1">
        <f t="shared" si="307"/>
        <v>100.58418788586545</v>
      </c>
      <c r="AU139" s="1">
        <f t="shared" ref="AU139:AW139" si="356">AT139*O139</f>
        <v>103.04080548410994</v>
      </c>
      <c r="AV139" s="1">
        <f t="shared" si="356"/>
        <v>103.04080548410994</v>
      </c>
      <c r="AW139" s="1">
        <f t="shared" si="356"/>
        <v>103.04080548410994</v>
      </c>
      <c r="AX139" s="1" t="b">
        <f t="shared" si="309"/>
        <v>1</v>
      </c>
      <c r="AY139" s="1" t="s">
        <v>146</v>
      </c>
      <c r="AZ139" s="1" t="str">
        <f t="shared" si="333"/>
        <v>C25</v>
      </c>
      <c r="BA139" s="1" t="str">
        <f t="shared" si="334"/>
        <v>C2599</v>
      </c>
      <c r="BB139" s="1" t="s">
        <v>425</v>
      </c>
      <c r="BC139" s="1" t="s">
        <v>426</v>
      </c>
      <c r="BD139" s="1">
        <v>2.3957995941733617E-3</v>
      </c>
      <c r="BE139" s="1">
        <f t="shared" si="317"/>
        <v>0.23538116811770377</v>
      </c>
      <c r="BF139" s="1">
        <f t="shared" si="318"/>
        <v>0.23538116811770377</v>
      </c>
      <c r="BG139" s="1">
        <f t="shared" si="319"/>
        <v>0.23538116811770377</v>
      </c>
      <c r="BH139" s="1">
        <f t="shared" si="320"/>
        <v>0.24097955651721359</v>
      </c>
      <c r="BI139" s="1">
        <f t="shared" si="321"/>
        <v>0.24097955651721359</v>
      </c>
      <c r="BJ139" s="1">
        <f t="shared" si="322"/>
        <v>0.24097955651721359</v>
      </c>
      <c r="BK139" s="1">
        <f t="shared" si="323"/>
        <v>0.24097955651721359</v>
      </c>
      <c r="BL139" s="1">
        <f t="shared" si="324"/>
        <v>0.24097955651721359</v>
      </c>
      <c r="BM139" s="1">
        <f t="shared" si="325"/>
        <v>0.24097955651721359</v>
      </c>
      <c r="BN139" s="1">
        <f t="shared" si="326"/>
        <v>0.24097955651721359</v>
      </c>
      <c r="BO139" s="1">
        <f t="shared" si="327"/>
        <v>0.24097955651721359</v>
      </c>
      <c r="BP139" s="1">
        <f t="shared" si="328"/>
        <v>0.24097955651721359</v>
      </c>
      <c r="BQ139" s="1">
        <f t="shared" si="329"/>
        <v>0.2468651199621269</v>
      </c>
      <c r="BR139" s="1">
        <f t="shared" si="330"/>
        <v>0.2468651199621269</v>
      </c>
      <c r="BS139" s="1">
        <f t="shared" si="331"/>
        <v>0.2468651199621269</v>
      </c>
      <c r="BV139" s="1" t="s">
        <v>146</v>
      </c>
      <c r="BW139" s="1">
        <f>((AJ139-AI139)/BE$154)*$BD139</f>
        <v>0</v>
      </c>
      <c r="BX139" s="1">
        <f>((AK139-AJ139)/BF$154)*$BD139</f>
        <v>0</v>
      </c>
      <c r="BY139" s="1">
        <f>((AL139-AK139)/BG$154)*$BD139</f>
        <v>5.6294710716523014E-5</v>
      </c>
      <c r="BZ139" s="1">
        <f>((AM139-AL139)/BH$154)*$BD139</f>
        <v>0</v>
      </c>
      <c r="CA139" s="1">
        <f>((AN139-AM139)/BI$154)*$BD139</f>
        <v>0</v>
      </c>
      <c r="CB139" s="1">
        <f>((AO139-AN139)/BJ$154)*$BD139</f>
        <v>0</v>
      </c>
      <c r="CC139" s="1">
        <f>((AP139-AO139)/BK$154)*$BD139</f>
        <v>0</v>
      </c>
      <c r="CD139" s="1">
        <f>((AQ139-AP139)/BL$154)*$BD139</f>
        <v>0</v>
      </c>
      <c r="CE139" s="1">
        <f>((AR139-AQ139)/BM$154)*$BD139</f>
        <v>0</v>
      </c>
      <c r="CF139" s="1">
        <f>((AS139-AR139)/BN$154)*$BD139</f>
        <v>0</v>
      </c>
      <c r="CG139" s="1">
        <f>((AT139-AS139)/BO$154)*$BD139</f>
        <v>0</v>
      </c>
      <c r="CH139" s="1">
        <f>((AU139-AT139)/BP$154)*$BD139</f>
        <v>5.8420079911183071E-5</v>
      </c>
      <c r="CI139" s="1">
        <f>((AV139-AU139)/BQ$154)*$BD139</f>
        <v>0</v>
      </c>
      <c r="CJ139" s="1">
        <f>((AW139-AV139)/BR$154)*$BD139</f>
        <v>0</v>
      </c>
    </row>
    <row r="140" spans="1:88" x14ac:dyDescent="0.35">
      <c r="A140" s="1" t="s">
        <v>147</v>
      </c>
      <c r="B140" s="1">
        <v>1</v>
      </c>
      <c r="C140" s="1">
        <v>1</v>
      </c>
      <c r="D140" s="1">
        <v>0.99980522803935834</v>
      </c>
      <c r="E140" s="1">
        <v>0.99994133452969269</v>
      </c>
      <c r="F140" s="1">
        <v>0.99939336227928088</v>
      </c>
      <c r="G140" s="1">
        <v>0.99969958949057169</v>
      </c>
      <c r="H140" s="1">
        <v>0.99992854622663663</v>
      </c>
      <c r="I140" s="1">
        <v>0.9997089863615698</v>
      </c>
      <c r="J140" s="1">
        <v>0.99954891086691589</v>
      </c>
      <c r="K140" s="1">
        <v>0.99978476960221818</v>
      </c>
      <c r="L140" s="1">
        <v>0.99994937873663026</v>
      </c>
      <c r="M140" s="1">
        <v>0.99966248752338893</v>
      </c>
      <c r="N140" s="1">
        <v>1.0000067162269297</v>
      </c>
      <c r="O140" s="1">
        <v>1.0003347705222221</v>
      </c>
      <c r="P140" s="1">
        <v>0.99995786543937126</v>
      </c>
      <c r="Q140" s="1">
        <v>0.99963541508354237</v>
      </c>
      <c r="S140" s="1">
        <f t="shared" si="335"/>
        <v>100</v>
      </c>
      <c r="T140" s="1">
        <f t="shared" si="337"/>
        <v>99.980522803935827</v>
      </c>
      <c r="U140" s="1">
        <f t="shared" si="338"/>
        <v>99.974657399543958</v>
      </c>
      <c r="V140" s="1">
        <f t="shared" si="339"/>
        <v>99.914009001249426</v>
      </c>
      <c r="W140" s="1">
        <f t="shared" si="340"/>
        <v>99.88399378290633</v>
      </c>
      <c r="X140" s="1">
        <f t="shared" si="341"/>
        <v>99.876856694651934</v>
      </c>
      <c r="Y140" s="1">
        <f t="shared" si="342"/>
        <v>99.847791167190252</v>
      </c>
      <c r="Z140" s="1">
        <f t="shared" si="343"/>
        <v>99.802750913632281</v>
      </c>
      <c r="AA140" s="1">
        <f t="shared" si="344"/>
        <v>99.78127032785342</v>
      </c>
      <c r="AB140" s="1">
        <f t="shared" si="345"/>
        <v>99.776219273888785</v>
      </c>
      <c r="AC140" s="1">
        <f t="shared" si="346"/>
        <v>99.742543555014763</v>
      </c>
      <c r="AD140" s="1">
        <f t="shared" si="347"/>
        <v>99.743213448571822</v>
      </c>
      <c r="AE140" s="1">
        <f t="shared" si="348"/>
        <v>99.860319030703238</v>
      </c>
      <c r="AF140" s="1">
        <f t="shared" si="349"/>
        <v>1.0013987634993817</v>
      </c>
      <c r="AH140" s="1" t="str">
        <f t="shared" si="350"/>
        <v>C2599.42931</v>
      </c>
      <c r="AI140" s="1">
        <f t="shared" si="296"/>
        <v>100.13987634993818</v>
      </c>
      <c r="AJ140" s="1">
        <f t="shared" si="297"/>
        <v>100.12037190988308</v>
      </c>
      <c r="AK140" s="1">
        <f t="shared" si="298"/>
        <v>100.11449830117763</v>
      </c>
      <c r="AL140" s="1">
        <f t="shared" si="299"/>
        <v>100.05376507011727</v>
      </c>
      <c r="AM140" s="1">
        <f t="shared" si="300"/>
        <v>100.02370786758233</v>
      </c>
      <c r="AN140" s="1">
        <f t="shared" si="301"/>
        <v>100.0165607962294</v>
      </c>
      <c r="AO140" s="1">
        <f t="shared" si="302"/>
        <v>99.987454612968804</v>
      </c>
      <c r="AP140" s="1">
        <f t="shared" si="303"/>
        <v>99.942351358748155</v>
      </c>
      <c r="AQ140" s="1">
        <f t="shared" si="304"/>
        <v>99.920840726709969</v>
      </c>
      <c r="AR140" s="1">
        <f t="shared" si="305"/>
        <v>99.915782607515411</v>
      </c>
      <c r="AS140" s="1">
        <f t="shared" si="306"/>
        <v>99.882059784275015</v>
      </c>
      <c r="AT140" s="1">
        <f t="shared" si="307"/>
        <v>99.882730614854722</v>
      </c>
      <c r="AU140" s="1">
        <f t="shared" ref="AU140:AW140" si="357">AT140*O140</f>
        <v>99.91616840874363</v>
      </c>
      <c r="AV140" s="1">
        <f t="shared" si="357"/>
        <v>99.911958484888018</v>
      </c>
      <c r="AW140" s="1">
        <f t="shared" si="357"/>
        <v>99.875532091850687</v>
      </c>
      <c r="AX140" s="1" t="b">
        <f t="shared" si="309"/>
        <v>1</v>
      </c>
      <c r="AY140" s="1" t="s">
        <v>147</v>
      </c>
      <c r="AZ140" s="1" t="str">
        <f t="shared" si="333"/>
        <v>C25</v>
      </c>
      <c r="BA140" s="1" t="str">
        <f t="shared" si="334"/>
        <v>C2599</v>
      </c>
      <c r="BB140" s="1" t="s">
        <v>427</v>
      </c>
      <c r="BC140" s="1" t="s">
        <v>428</v>
      </c>
      <c r="BD140" s="1">
        <v>2.3957995941733617E-3</v>
      </c>
      <c r="BE140" s="1">
        <f t="shared" si="317"/>
        <v>0.23991507511975249</v>
      </c>
      <c r="BF140" s="1">
        <f t="shared" si="318"/>
        <v>0.23986834639018392</v>
      </c>
      <c r="BG140" s="1">
        <f t="shared" si="319"/>
        <v>0.23985427440083107</v>
      </c>
      <c r="BH140" s="1">
        <f t="shared" si="320"/>
        <v>0.23970876975050381</v>
      </c>
      <c r="BI140" s="1">
        <f t="shared" si="321"/>
        <v>0.23963675871686863</v>
      </c>
      <c r="BJ140" s="1">
        <f t="shared" si="322"/>
        <v>0.23961963576622175</v>
      </c>
      <c r="BK140" s="1">
        <f t="shared" si="323"/>
        <v>0.23954990318417807</v>
      </c>
      <c r="BL140" s="1">
        <f t="shared" si="324"/>
        <v>0.23944184482602035</v>
      </c>
      <c r="BM140" s="1">
        <f t="shared" si="325"/>
        <v>0.23939030966251285</v>
      </c>
      <c r="BN140" s="1">
        <f t="shared" si="326"/>
        <v>0.23937819142259925</v>
      </c>
      <c r="BO140" s="1">
        <f t="shared" si="327"/>
        <v>0.23929739829636554</v>
      </c>
      <c r="BP140" s="1">
        <f t="shared" si="328"/>
        <v>0.23929900547199615</v>
      </c>
      <c r="BQ140" s="1">
        <f t="shared" si="329"/>
        <v>0.23937911572502524</v>
      </c>
      <c r="BR140" s="1">
        <f t="shared" si="330"/>
        <v>0.23936902959116046</v>
      </c>
      <c r="BS140" s="1">
        <f t="shared" si="331"/>
        <v>0.23928175925350442</v>
      </c>
      <c r="BV140" s="1" t="s">
        <v>147</v>
      </c>
      <c r="BW140" s="1">
        <f>((AJ140-AI140)/BE$154)*$BD140</f>
        <v>-4.6941094026575213E-7</v>
      </c>
      <c r="BX140" s="1">
        <f>((AK140-AJ140)/BF$154)*$BD140</f>
        <v>-1.4143674927930434E-7</v>
      </c>
      <c r="BY140" s="1">
        <f>((AL140-AK140)/BG$154)*$BD140</f>
        <v>-1.463125030553348E-6</v>
      </c>
      <c r="BZ140" s="1">
        <f>((AM140-AL140)/BH$154)*$BD140</f>
        <v>-7.2247921342766498E-7</v>
      </c>
      <c r="CA140" s="1">
        <f>((AN140-AM140)/BI$154)*$BD140</f>
        <v>-1.7160842479229229E-7</v>
      </c>
      <c r="CB140" s="1">
        <f>((AO140-AN140)/BJ$154)*$BD140</f>
        <v>-6.9849895877388603E-7</v>
      </c>
      <c r="CC140" s="1">
        <f>((AP140-AO140)/BK$154)*$BD140</f>
        <v>-1.0820906464353876E-6</v>
      </c>
      <c r="CD140" s="1">
        <f>((AQ140-AP140)/BL$154)*$BD140</f>
        <v>-5.1532014373931151E-7</v>
      </c>
      <c r="CE140" s="1">
        <f>((AR140-AQ140)/BM$154)*$BD140</f>
        <v>-1.206921310109127E-7</v>
      </c>
      <c r="CF140" s="1">
        <f>((AS140-AR140)/BN$154)*$BD140</f>
        <v>-8.0399624134842803E-7</v>
      </c>
      <c r="CG140" s="1">
        <f>((AT140-AS140)/BO$154)*$BD140</f>
        <v>1.5956869508126912E-8</v>
      </c>
      <c r="CH140" s="1">
        <f>((AU140-AT140)/BP$154)*$BD140</f>
        <v>7.9517406064321496E-7</v>
      </c>
      <c r="CI140" s="1">
        <f>((AV140-AU140)/BQ$154)*$BD140</f>
        <v>-9.9767783305721247E-8</v>
      </c>
      <c r="CJ140" s="1">
        <f>((AW140-AV140)/BR$154)*$BD140</f>
        <v>-8.6169333979864145E-7</v>
      </c>
    </row>
    <row r="141" spans="1:88" x14ac:dyDescent="0.35">
      <c r="A141" s="1" t="s">
        <v>148</v>
      </c>
      <c r="B141" s="1">
        <v>1.001648171640682</v>
      </c>
      <c r="C141" s="1">
        <v>1</v>
      </c>
      <c r="D141" s="1">
        <v>1.0122734853158459</v>
      </c>
      <c r="E141" s="1">
        <v>1</v>
      </c>
      <c r="F141" s="1">
        <v>1.000851707943925</v>
      </c>
      <c r="G141" s="1">
        <v>1</v>
      </c>
      <c r="H141" s="1">
        <v>1</v>
      </c>
      <c r="I141" s="1">
        <v>1.0145594297680278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1.0007062170268588</v>
      </c>
      <c r="S141" s="1">
        <f t="shared" si="335"/>
        <v>100</v>
      </c>
      <c r="T141" s="1">
        <f t="shared" si="337"/>
        <v>101.2273485315846</v>
      </c>
      <c r="U141" s="1">
        <f t="shared" si="338"/>
        <v>101.2273485315846</v>
      </c>
      <c r="V141" s="1">
        <f t="shared" si="339"/>
        <v>101.31356466847141</v>
      </c>
      <c r="W141" s="1">
        <f t="shared" si="340"/>
        <v>101.31356466847141</v>
      </c>
      <c r="X141" s="1">
        <f t="shared" si="341"/>
        <v>101.31356466847141</v>
      </c>
      <c r="Y141" s="1">
        <f t="shared" si="342"/>
        <v>102.78863239781057</v>
      </c>
      <c r="Z141" s="1">
        <f t="shared" si="343"/>
        <v>102.78863239781057</v>
      </c>
      <c r="AA141" s="1">
        <f t="shared" si="344"/>
        <v>102.78863239781057</v>
      </c>
      <c r="AB141" s="1">
        <f t="shared" si="345"/>
        <v>102.78863239781057</v>
      </c>
      <c r="AC141" s="1">
        <f t="shared" si="346"/>
        <v>102.78863239781057</v>
      </c>
      <c r="AD141" s="1">
        <f t="shared" si="347"/>
        <v>102.78863239781057</v>
      </c>
      <c r="AE141" s="1">
        <f t="shared" si="348"/>
        <v>101.92726545462057</v>
      </c>
      <c r="AF141" s="1">
        <f t="shared" si="349"/>
        <v>0.98109175747995891</v>
      </c>
      <c r="AH141" s="1" t="str">
        <f t="shared" si="350"/>
        <v>C2599.42945</v>
      </c>
      <c r="AI141" s="1">
        <f t="shared" si="296"/>
        <v>98.109175747995891</v>
      </c>
      <c r="AJ141" s="1">
        <f t="shared" si="297"/>
        <v>99.313317275888664</v>
      </c>
      <c r="AK141" s="1">
        <f t="shared" si="298"/>
        <v>99.313317275888664</v>
      </c>
      <c r="AL141" s="1">
        <f t="shared" si="299"/>
        <v>99.397903217150088</v>
      </c>
      <c r="AM141" s="1">
        <f t="shared" si="300"/>
        <v>99.397903217150088</v>
      </c>
      <c r="AN141" s="1">
        <f t="shared" si="301"/>
        <v>99.397903217150088</v>
      </c>
      <c r="AO141" s="1">
        <f t="shared" si="302"/>
        <v>100.84508000812941</v>
      </c>
      <c r="AP141" s="1">
        <f t="shared" si="303"/>
        <v>100.84508000812941</v>
      </c>
      <c r="AQ141" s="1">
        <f t="shared" si="304"/>
        <v>100.84508000812941</v>
      </c>
      <c r="AR141" s="1">
        <f t="shared" si="305"/>
        <v>100.84508000812941</v>
      </c>
      <c r="AS141" s="1">
        <f t="shared" si="306"/>
        <v>100.84508000812941</v>
      </c>
      <c r="AT141" s="1">
        <f t="shared" si="307"/>
        <v>100.84508000812941</v>
      </c>
      <c r="AU141" s="1">
        <f t="shared" ref="AU141:AW141" si="358">AT141*O141</f>
        <v>100.84508000812941</v>
      </c>
      <c r="AV141" s="1">
        <f t="shared" si="358"/>
        <v>100.84508000812941</v>
      </c>
      <c r="AW141" s="1">
        <f t="shared" si="358"/>
        <v>100.91629852070609</v>
      </c>
      <c r="AX141" s="1" t="b">
        <f t="shared" si="309"/>
        <v>1</v>
      </c>
      <c r="AY141" s="1" t="s">
        <v>148</v>
      </c>
      <c r="AZ141" s="1" t="str">
        <f t="shared" si="333"/>
        <v>C25</v>
      </c>
      <c r="BA141" s="1" t="str">
        <f t="shared" si="334"/>
        <v>C2599</v>
      </c>
      <c r="BB141" s="1" t="s">
        <v>429</v>
      </c>
      <c r="BC141" s="1" t="s">
        <v>430</v>
      </c>
      <c r="BD141" s="1">
        <v>2.3957995941733617E-3</v>
      </c>
      <c r="BE141" s="1">
        <f t="shared" si="317"/>
        <v>0.23504992344173156</v>
      </c>
      <c r="BF141" s="1">
        <f t="shared" si="318"/>
        <v>0.23793480522558436</v>
      </c>
      <c r="BG141" s="1">
        <f t="shared" si="319"/>
        <v>0.23793480522558436</v>
      </c>
      <c r="BH141" s="1">
        <f t="shared" si="320"/>
        <v>0.23813745618933127</v>
      </c>
      <c r="BI141" s="1">
        <f t="shared" si="321"/>
        <v>0.23813745618933127</v>
      </c>
      <c r="BJ141" s="1">
        <f t="shared" si="322"/>
        <v>0.23813745618933127</v>
      </c>
      <c r="BK141" s="1">
        <f t="shared" si="323"/>
        <v>0.24160460175785664</v>
      </c>
      <c r="BL141" s="1">
        <f t="shared" si="324"/>
        <v>0.24160460175785664</v>
      </c>
      <c r="BM141" s="1">
        <f t="shared" si="325"/>
        <v>0.24160460175785664</v>
      </c>
      <c r="BN141" s="1">
        <f t="shared" si="326"/>
        <v>0.24160460175785664</v>
      </c>
      <c r="BO141" s="1">
        <f t="shared" si="327"/>
        <v>0.24160460175785664</v>
      </c>
      <c r="BP141" s="1">
        <f t="shared" si="328"/>
        <v>0.24160460175785664</v>
      </c>
      <c r="BQ141" s="1">
        <f t="shared" si="329"/>
        <v>0.24160460175785664</v>
      </c>
      <c r="BR141" s="1">
        <f t="shared" si="330"/>
        <v>0.24160460175785664</v>
      </c>
      <c r="BS141" s="1">
        <f t="shared" si="331"/>
        <v>0.24177522704138549</v>
      </c>
      <c r="BV141" s="1" t="s">
        <v>148</v>
      </c>
      <c r="BW141" s="1">
        <f>((AJ141-AI141)/BE$154)*$BD141</f>
        <v>2.8979924838875504E-5</v>
      </c>
      <c r="BX141" s="1">
        <f>((AK141-AJ141)/BF$154)*$BD141</f>
        <v>0</v>
      </c>
      <c r="BY141" s="1">
        <f>((AL141-AK141)/BG$154)*$BD141</f>
        <v>2.0377609709170206E-6</v>
      </c>
      <c r="BZ141" s="1">
        <f>((AM141-AL141)/BH$154)*$BD141</f>
        <v>0</v>
      </c>
      <c r="CA141" s="1">
        <f>((AN141-AM141)/BI$154)*$BD141</f>
        <v>0</v>
      </c>
      <c r="CB141" s="1">
        <f>((AO141-AN141)/BJ$154)*$BD141</f>
        <v>3.4729784823052655E-5</v>
      </c>
      <c r="CC141" s="1">
        <f>((AP141-AO141)/BK$154)*$BD141</f>
        <v>0</v>
      </c>
      <c r="CD141" s="1">
        <f>((AQ141-AP141)/BL$154)*$BD141</f>
        <v>0</v>
      </c>
      <c r="CE141" s="1">
        <f>((AR141-AQ141)/BM$154)*$BD141</f>
        <v>0</v>
      </c>
      <c r="CF141" s="1">
        <f>((AS141-AR141)/BN$154)*$BD141</f>
        <v>0</v>
      </c>
      <c r="CG141" s="1">
        <f>((AT141-AS141)/BO$154)*$BD141</f>
        <v>0</v>
      </c>
      <c r="CH141" s="1">
        <f>((AU141-AT141)/BP$154)*$BD141</f>
        <v>0</v>
      </c>
      <c r="CI141" s="1">
        <f>((AV141-AU141)/BQ$154)*$BD141</f>
        <v>0</v>
      </c>
      <c r="CJ141" s="1">
        <f>((AW141-AV141)/BR$154)*$BD141</f>
        <v>1.6847267280841217E-6</v>
      </c>
    </row>
    <row r="142" spans="1:88" x14ac:dyDescent="0.35">
      <c r="A142" s="1" t="s">
        <v>149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  <c r="G142" s="1">
        <v>1</v>
      </c>
      <c r="H142" s="1">
        <v>1.0247790668120806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S142" s="1">
        <f t="shared" si="335"/>
        <v>100</v>
      </c>
      <c r="T142" s="1">
        <f t="shared" si="337"/>
        <v>100</v>
      </c>
      <c r="U142" s="1">
        <f t="shared" si="338"/>
        <v>100</v>
      </c>
      <c r="V142" s="1">
        <f t="shared" si="339"/>
        <v>100</v>
      </c>
      <c r="W142" s="1">
        <f t="shared" si="340"/>
        <v>100</v>
      </c>
      <c r="X142" s="1">
        <f t="shared" si="341"/>
        <v>102.47790668120807</v>
      </c>
      <c r="Y142" s="1">
        <f t="shared" si="342"/>
        <v>102.47790668120807</v>
      </c>
      <c r="Z142" s="1">
        <f t="shared" si="343"/>
        <v>102.47790668120807</v>
      </c>
      <c r="AA142" s="1">
        <f t="shared" si="344"/>
        <v>102.47790668120807</v>
      </c>
      <c r="AB142" s="1">
        <f t="shared" si="345"/>
        <v>102.47790668120807</v>
      </c>
      <c r="AC142" s="1">
        <f t="shared" si="346"/>
        <v>102.47790668120807</v>
      </c>
      <c r="AD142" s="1">
        <f t="shared" si="347"/>
        <v>102.47790668120807</v>
      </c>
      <c r="AE142" s="1">
        <f t="shared" si="348"/>
        <v>101.44544556403804</v>
      </c>
      <c r="AF142" s="1">
        <f t="shared" si="349"/>
        <v>0.98575149868975054</v>
      </c>
      <c r="AH142" s="1" t="str">
        <f t="shared" si="350"/>
        <v>C2599.42993</v>
      </c>
      <c r="AI142" s="1">
        <f t="shared" si="296"/>
        <v>98.57514986897506</v>
      </c>
      <c r="AJ142" s="1">
        <f t="shared" si="297"/>
        <v>98.57514986897506</v>
      </c>
      <c r="AK142" s="1">
        <f t="shared" si="298"/>
        <v>98.57514986897506</v>
      </c>
      <c r="AL142" s="1">
        <f t="shared" si="299"/>
        <v>98.57514986897506</v>
      </c>
      <c r="AM142" s="1">
        <f t="shared" si="300"/>
        <v>98.57514986897506</v>
      </c>
      <c r="AN142" s="1">
        <f t="shared" si="301"/>
        <v>101.01775009358926</v>
      </c>
      <c r="AO142" s="1">
        <f t="shared" si="302"/>
        <v>101.01775009358926</v>
      </c>
      <c r="AP142" s="1">
        <f t="shared" si="303"/>
        <v>101.01775009358926</v>
      </c>
      <c r="AQ142" s="1">
        <f t="shared" si="304"/>
        <v>101.01775009358926</v>
      </c>
      <c r="AR142" s="1">
        <f t="shared" si="305"/>
        <v>101.01775009358926</v>
      </c>
      <c r="AS142" s="1">
        <f t="shared" si="306"/>
        <v>101.01775009358926</v>
      </c>
      <c r="AT142" s="1">
        <f t="shared" si="307"/>
        <v>101.01775009358926</v>
      </c>
      <c r="AU142" s="1">
        <f t="shared" ref="AU142:AW142" si="359">AT142*O142</f>
        <v>101.01775009358926</v>
      </c>
      <c r="AV142" s="1">
        <f t="shared" si="359"/>
        <v>101.01775009358926</v>
      </c>
      <c r="AW142" s="1">
        <f t="shared" si="359"/>
        <v>101.01775009358926</v>
      </c>
      <c r="AX142" s="1" t="b">
        <f t="shared" si="309"/>
        <v>1</v>
      </c>
      <c r="AY142" s="1" t="s">
        <v>149</v>
      </c>
      <c r="AZ142" s="1" t="str">
        <f t="shared" si="333"/>
        <v>C25</v>
      </c>
      <c r="BA142" s="1" t="str">
        <f t="shared" si="334"/>
        <v>C2599</v>
      </c>
      <c r="BB142" s="1" t="s">
        <v>431</v>
      </c>
      <c r="BC142" s="1" t="s">
        <v>432</v>
      </c>
      <c r="BD142" s="1">
        <v>2.3957995941733617E-3</v>
      </c>
      <c r="BE142" s="1">
        <f t="shared" si="317"/>
        <v>0.23616630405166875</v>
      </c>
      <c r="BF142" s="1">
        <f t="shared" si="318"/>
        <v>0.23616630405166875</v>
      </c>
      <c r="BG142" s="1">
        <f t="shared" si="319"/>
        <v>0.23616630405166875</v>
      </c>
      <c r="BH142" s="1">
        <f t="shared" si="320"/>
        <v>0.23616630405166875</v>
      </c>
      <c r="BI142" s="1">
        <f t="shared" si="321"/>
        <v>0.23616630405166875</v>
      </c>
      <c r="BJ142" s="1">
        <f t="shared" si="322"/>
        <v>0.24201828467852721</v>
      </c>
      <c r="BK142" s="1">
        <f t="shared" si="323"/>
        <v>0.24201828467852721</v>
      </c>
      <c r="BL142" s="1">
        <f t="shared" si="324"/>
        <v>0.24201828467852721</v>
      </c>
      <c r="BM142" s="1">
        <f t="shared" si="325"/>
        <v>0.24201828467852721</v>
      </c>
      <c r="BN142" s="1">
        <f t="shared" si="326"/>
        <v>0.24201828467852721</v>
      </c>
      <c r="BO142" s="1">
        <f t="shared" si="327"/>
        <v>0.24201828467852721</v>
      </c>
      <c r="BP142" s="1">
        <f t="shared" si="328"/>
        <v>0.24201828467852721</v>
      </c>
      <c r="BQ142" s="1">
        <f t="shared" si="329"/>
        <v>0.24201828467852721</v>
      </c>
      <c r="BR142" s="1">
        <f t="shared" si="330"/>
        <v>0.24201828467852721</v>
      </c>
      <c r="BS142" s="1">
        <f t="shared" si="331"/>
        <v>0.24201828467852721</v>
      </c>
      <c r="BV142" s="1" t="s">
        <v>149</v>
      </c>
      <c r="BW142" s="1">
        <f>((AJ142-AI142)/BE$154)*$BD142</f>
        <v>0</v>
      </c>
      <c r="BX142" s="1">
        <f>((AK142-AJ142)/BF$154)*$BD142</f>
        <v>0</v>
      </c>
      <c r="BY142" s="1">
        <f>((AL142-AK142)/BG$154)*$BD142</f>
        <v>0</v>
      </c>
      <c r="BZ142" s="1">
        <f>((AM142-AL142)/BH$154)*$BD142</f>
        <v>0</v>
      </c>
      <c r="CA142" s="1">
        <f>((AN142-AM142)/BI$154)*$BD142</f>
        <v>5.8649306302415391E-5</v>
      </c>
      <c r="CB142" s="1">
        <f>((AO142-AN142)/BJ$154)*$BD142</f>
        <v>0</v>
      </c>
      <c r="CC142" s="1">
        <f>((AP142-AO142)/BK$154)*$BD142</f>
        <v>0</v>
      </c>
      <c r="CD142" s="1">
        <f>((AQ142-AP142)/BL$154)*$BD142</f>
        <v>0</v>
      </c>
      <c r="CE142" s="1">
        <f>((AR142-AQ142)/BM$154)*$BD142</f>
        <v>0</v>
      </c>
      <c r="CF142" s="1">
        <f>((AS142-AR142)/BN$154)*$BD142</f>
        <v>0</v>
      </c>
      <c r="CG142" s="1">
        <f>((AT142-AS142)/BO$154)*$BD142</f>
        <v>0</v>
      </c>
      <c r="CH142" s="1">
        <f>((AU142-AT142)/BP$154)*$BD142</f>
        <v>0</v>
      </c>
      <c r="CI142" s="1">
        <f>((AV142-AU142)/BQ$154)*$BD142</f>
        <v>0</v>
      </c>
      <c r="CJ142" s="1">
        <f>((AW142-AV142)/BR$154)*$BD142</f>
        <v>0</v>
      </c>
    </row>
    <row r="143" spans="1:88" x14ac:dyDescent="0.35">
      <c r="A143" s="1" t="s">
        <v>150</v>
      </c>
      <c r="B143" s="1">
        <v>1</v>
      </c>
      <c r="C143" s="1">
        <v>1</v>
      </c>
      <c r="D143" s="1">
        <v>1</v>
      </c>
      <c r="E143" s="1">
        <v>1</v>
      </c>
      <c r="F143" s="1">
        <v>1</v>
      </c>
      <c r="G143" s="1">
        <v>1</v>
      </c>
      <c r="H143" s="1">
        <v>0.99999999963333341</v>
      </c>
      <c r="I143" s="1">
        <v>0.99768567177497514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S143" s="1">
        <f t="shared" si="335"/>
        <v>100</v>
      </c>
      <c r="T143" s="1">
        <f t="shared" si="337"/>
        <v>100</v>
      </c>
      <c r="U143" s="1">
        <f t="shared" si="338"/>
        <v>100</v>
      </c>
      <c r="V143" s="1">
        <f t="shared" si="339"/>
        <v>100</v>
      </c>
      <c r="W143" s="1">
        <f t="shared" si="340"/>
        <v>100</v>
      </c>
      <c r="X143" s="1">
        <f t="shared" si="341"/>
        <v>99.999999963333337</v>
      </c>
      <c r="Y143" s="1">
        <f t="shared" si="342"/>
        <v>99.768567140915707</v>
      </c>
      <c r="Z143" s="1">
        <f t="shared" si="343"/>
        <v>99.768567140915707</v>
      </c>
      <c r="AA143" s="1">
        <f t="shared" si="344"/>
        <v>99.768567140915707</v>
      </c>
      <c r="AB143" s="1">
        <f t="shared" si="345"/>
        <v>99.768567140915707</v>
      </c>
      <c r="AC143" s="1">
        <f t="shared" si="346"/>
        <v>99.768567140915707</v>
      </c>
      <c r="AD143" s="1">
        <f t="shared" si="347"/>
        <v>99.768567140915707</v>
      </c>
      <c r="AE143" s="1">
        <f t="shared" si="348"/>
        <v>99.884283567402306</v>
      </c>
      <c r="AF143" s="1">
        <f t="shared" si="349"/>
        <v>1.0011585049065261</v>
      </c>
      <c r="AH143" s="1" t="str">
        <f t="shared" si="350"/>
        <v>C2819.43913</v>
      </c>
      <c r="AI143" s="1">
        <f t="shared" si="296"/>
        <v>100.11585049065262</v>
      </c>
      <c r="AJ143" s="1">
        <f t="shared" si="297"/>
        <v>100.11585049065262</v>
      </c>
      <c r="AK143" s="1">
        <f t="shared" si="298"/>
        <v>100.11585049065262</v>
      </c>
      <c r="AL143" s="1">
        <f t="shared" si="299"/>
        <v>100.11585049065262</v>
      </c>
      <c r="AM143" s="1">
        <f t="shared" si="300"/>
        <v>100.11585049065262</v>
      </c>
      <c r="AN143" s="1">
        <f t="shared" si="301"/>
        <v>100.11585045394347</v>
      </c>
      <c r="AO143" s="1">
        <f t="shared" si="302"/>
        <v>99.884149515465538</v>
      </c>
      <c r="AP143" s="1">
        <f t="shared" si="303"/>
        <v>99.884149515465538</v>
      </c>
      <c r="AQ143" s="1">
        <f t="shared" si="304"/>
        <v>99.884149515465538</v>
      </c>
      <c r="AR143" s="1">
        <f t="shared" si="305"/>
        <v>99.884149515465538</v>
      </c>
      <c r="AS143" s="1">
        <f t="shared" si="306"/>
        <v>99.884149515465538</v>
      </c>
      <c r="AT143" s="1">
        <f t="shared" si="307"/>
        <v>99.884149515465538</v>
      </c>
      <c r="AU143" s="1">
        <f t="shared" ref="AU143:AW143" si="360">AT143*O143</f>
        <v>99.884149515465538</v>
      </c>
      <c r="AV143" s="1">
        <f t="shared" si="360"/>
        <v>99.884149515465538</v>
      </c>
      <c r="AW143" s="1">
        <f t="shared" si="360"/>
        <v>99.884149515465538</v>
      </c>
      <c r="AX143" s="1" t="b">
        <f t="shared" si="309"/>
        <v>1</v>
      </c>
      <c r="AY143" s="1" t="s">
        <v>150</v>
      </c>
      <c r="AZ143" s="1" t="str">
        <f t="shared" si="333"/>
        <v>C28</v>
      </c>
      <c r="BA143" s="1" t="str">
        <f t="shared" si="334"/>
        <v>C2819</v>
      </c>
      <c r="BB143" s="1" t="s">
        <v>435</v>
      </c>
      <c r="BC143" s="1" t="s">
        <v>436</v>
      </c>
      <c r="BD143" s="1">
        <v>5.5709515080061651E-3</v>
      </c>
      <c r="BE143" s="1">
        <f t="shared" si="317"/>
        <v>0.55774054826622099</v>
      </c>
      <c r="BF143" s="1">
        <f t="shared" si="318"/>
        <v>0.55774054826622099</v>
      </c>
      <c r="BG143" s="1">
        <f t="shared" si="319"/>
        <v>0.55774054826622099</v>
      </c>
      <c r="BH143" s="1">
        <f t="shared" si="320"/>
        <v>0.55774054826622099</v>
      </c>
      <c r="BI143" s="1">
        <f t="shared" si="321"/>
        <v>0.55774054826622099</v>
      </c>
      <c r="BJ143" s="1">
        <f t="shared" si="322"/>
        <v>0.55774054806171602</v>
      </c>
      <c r="BK143" s="1">
        <f t="shared" si="323"/>
        <v>0.55644975336909597</v>
      </c>
      <c r="BL143" s="1">
        <f t="shared" si="324"/>
        <v>0.55644975336909597</v>
      </c>
      <c r="BM143" s="1">
        <f t="shared" si="325"/>
        <v>0.55644975336909597</v>
      </c>
      <c r="BN143" s="1">
        <f t="shared" si="326"/>
        <v>0.55644975336909597</v>
      </c>
      <c r="BO143" s="1">
        <f t="shared" si="327"/>
        <v>0.55644975336909597</v>
      </c>
      <c r="BP143" s="1">
        <f t="shared" si="328"/>
        <v>0.55644975336909597</v>
      </c>
      <c r="BQ143" s="1">
        <f t="shared" si="329"/>
        <v>0.55644975336909597</v>
      </c>
      <c r="BR143" s="1">
        <f t="shared" si="330"/>
        <v>0.55644975336909597</v>
      </c>
      <c r="BS143" s="1">
        <f t="shared" si="331"/>
        <v>0.55644975336909597</v>
      </c>
      <c r="BV143" s="1" t="s">
        <v>150</v>
      </c>
      <c r="BW143" s="1">
        <f>((AJ143-AI143)/BE$154)*$BD143</f>
        <v>0</v>
      </c>
      <c r="BX143" s="1">
        <f>((AK143-AJ143)/BF$154)*$BD143</f>
        <v>0</v>
      </c>
      <c r="BY143" s="1">
        <f>((AL143-AK143)/BG$154)*$BD143</f>
        <v>0</v>
      </c>
      <c r="BZ143" s="1">
        <f>((AM143-AL143)/BH$154)*$BD143</f>
        <v>0</v>
      </c>
      <c r="CA143" s="1">
        <f>((AN143-AM143)/BI$154)*$BD143</f>
        <v>-2.0495746589644842E-12</v>
      </c>
      <c r="CB143" s="1">
        <f>((AO143-AN143)/BJ$154)*$BD143</f>
        <v>-1.2929662467128357E-5</v>
      </c>
      <c r="CC143" s="1">
        <f>((AP143-AO143)/BK$154)*$BD143</f>
        <v>0</v>
      </c>
      <c r="CD143" s="1">
        <f>((AQ143-AP143)/BL$154)*$BD143</f>
        <v>0</v>
      </c>
      <c r="CE143" s="1">
        <f>((AR143-AQ143)/BM$154)*$BD143</f>
        <v>0</v>
      </c>
      <c r="CF143" s="1">
        <f>((AS143-AR143)/BN$154)*$BD143</f>
        <v>0</v>
      </c>
      <c r="CG143" s="1">
        <f>((AT143-AS143)/BO$154)*$BD143</f>
        <v>0</v>
      </c>
      <c r="CH143" s="1">
        <f>((AU143-AT143)/BP$154)*$BD143</f>
        <v>0</v>
      </c>
      <c r="CI143" s="1">
        <f>((AV143-AU143)/BQ$154)*$BD143</f>
        <v>0</v>
      </c>
      <c r="CJ143" s="1">
        <f>((AW143-AV143)/BR$154)*$BD143</f>
        <v>0</v>
      </c>
    </row>
    <row r="144" spans="1:88" x14ac:dyDescent="0.35">
      <c r="A144" s="1" t="s">
        <v>151</v>
      </c>
      <c r="B144" s="1">
        <v>1</v>
      </c>
      <c r="C144" s="1">
        <v>1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1.0584248263330851</v>
      </c>
      <c r="J144" s="1">
        <v>1.029926490266496</v>
      </c>
      <c r="K144" s="1">
        <v>1</v>
      </c>
      <c r="L144" s="1">
        <v>1</v>
      </c>
      <c r="M144" s="1">
        <v>1.0232641171894941</v>
      </c>
      <c r="N144" s="1">
        <v>1</v>
      </c>
      <c r="O144" s="1">
        <v>1</v>
      </c>
      <c r="P144" s="1">
        <v>1</v>
      </c>
      <c r="Q144" s="1">
        <v>1</v>
      </c>
      <c r="S144" s="1">
        <f t="shared" si="335"/>
        <v>100</v>
      </c>
      <c r="T144" s="1">
        <f t="shared" si="337"/>
        <v>100</v>
      </c>
      <c r="U144" s="1">
        <f t="shared" si="338"/>
        <v>100</v>
      </c>
      <c r="V144" s="1">
        <f t="shared" si="339"/>
        <v>100</v>
      </c>
      <c r="W144" s="1">
        <f t="shared" si="340"/>
        <v>100</v>
      </c>
      <c r="X144" s="1">
        <f t="shared" si="341"/>
        <v>100</v>
      </c>
      <c r="Y144" s="1">
        <f t="shared" si="342"/>
        <v>105.84248263330851</v>
      </c>
      <c r="Z144" s="1">
        <f t="shared" si="343"/>
        <v>109.00997665961599</v>
      </c>
      <c r="AA144" s="1">
        <f t="shared" si="344"/>
        <v>109.00997665961599</v>
      </c>
      <c r="AB144" s="1">
        <f t="shared" si="345"/>
        <v>109.00997665961599</v>
      </c>
      <c r="AC144" s="1">
        <f t="shared" si="346"/>
        <v>111.5459975314493</v>
      </c>
      <c r="AD144" s="1">
        <f t="shared" si="347"/>
        <v>111.5459975314493</v>
      </c>
      <c r="AE144" s="1">
        <f t="shared" si="348"/>
        <v>104.66370063958793</v>
      </c>
      <c r="AF144" s="1">
        <f t="shared" si="349"/>
        <v>0.95544108787393733</v>
      </c>
      <c r="AH144" s="1" t="str">
        <f t="shared" si="350"/>
        <v>C2819.87310</v>
      </c>
      <c r="AI144" s="1">
        <f t="shared" si="296"/>
        <v>95.544108787393739</v>
      </c>
      <c r="AJ144" s="1">
        <f t="shared" si="297"/>
        <v>95.544108787393739</v>
      </c>
      <c r="AK144" s="1">
        <f t="shared" si="298"/>
        <v>95.544108787393739</v>
      </c>
      <c r="AL144" s="1">
        <f t="shared" si="299"/>
        <v>95.544108787393739</v>
      </c>
      <c r="AM144" s="1">
        <f t="shared" si="300"/>
        <v>95.544108787393739</v>
      </c>
      <c r="AN144" s="1">
        <f t="shared" si="301"/>
        <v>95.544108787393739</v>
      </c>
      <c r="AO144" s="1">
        <f t="shared" si="302"/>
        <v>101.1262567504466</v>
      </c>
      <c r="AP144" s="1">
        <f t="shared" si="303"/>
        <v>104.15261068877602</v>
      </c>
      <c r="AQ144" s="1">
        <f t="shared" si="304"/>
        <v>104.15261068877602</v>
      </c>
      <c r="AR144" s="1">
        <f t="shared" si="305"/>
        <v>104.15261068877602</v>
      </c>
      <c r="AS144" s="1">
        <f t="shared" si="306"/>
        <v>106.57562922943146</v>
      </c>
      <c r="AT144" s="1">
        <f t="shared" si="307"/>
        <v>106.57562922943146</v>
      </c>
      <c r="AU144" s="1">
        <f t="shared" ref="AU144:AW144" si="361">AT144*O144</f>
        <v>106.57562922943146</v>
      </c>
      <c r="AV144" s="1">
        <f t="shared" si="361"/>
        <v>106.57562922943146</v>
      </c>
      <c r="AW144" s="1">
        <f t="shared" si="361"/>
        <v>106.57562922943146</v>
      </c>
      <c r="AX144" s="1" t="b">
        <f t="shared" si="309"/>
        <v>1</v>
      </c>
      <c r="AY144" s="1" t="s">
        <v>151</v>
      </c>
      <c r="AZ144" s="1" t="str">
        <f t="shared" si="333"/>
        <v>C28</v>
      </c>
      <c r="BA144" s="1" t="str">
        <f t="shared" si="334"/>
        <v>C2819</v>
      </c>
      <c r="BB144" s="1" t="s">
        <v>433</v>
      </c>
      <c r="BC144" s="1" t="s">
        <v>434</v>
      </c>
      <c r="BD144" s="1">
        <v>1.6644617371374598E-2</v>
      </c>
      <c r="BE144" s="1">
        <f t="shared" si="317"/>
        <v>1.5902951328551582</v>
      </c>
      <c r="BF144" s="1">
        <f t="shared" si="318"/>
        <v>1.5902951328551582</v>
      </c>
      <c r="BG144" s="1">
        <f t="shared" si="319"/>
        <v>1.5902951328551582</v>
      </c>
      <c r="BH144" s="1">
        <f t="shared" si="320"/>
        <v>1.5902951328551582</v>
      </c>
      <c r="BI144" s="1">
        <f t="shared" si="321"/>
        <v>1.5902951328551582</v>
      </c>
      <c r="BJ144" s="1">
        <f t="shared" si="322"/>
        <v>1.5902951328551582</v>
      </c>
      <c r="BK144" s="1">
        <f t="shared" si="323"/>
        <v>1.6832078498105711</v>
      </c>
      <c r="BL144" s="1">
        <f t="shared" si="324"/>
        <v>1.7335803531444169</v>
      </c>
      <c r="BM144" s="1">
        <f t="shared" si="325"/>
        <v>1.7335803531444169</v>
      </c>
      <c r="BN144" s="1">
        <f t="shared" si="326"/>
        <v>1.7335803531444169</v>
      </c>
      <c r="BO144" s="1">
        <f t="shared" si="327"/>
        <v>1.7739105696373731</v>
      </c>
      <c r="BP144" s="1">
        <f t="shared" si="328"/>
        <v>1.7739105696373731</v>
      </c>
      <c r="BQ144" s="1">
        <f t="shared" si="329"/>
        <v>1.7739105696373731</v>
      </c>
      <c r="BR144" s="1">
        <f t="shared" si="330"/>
        <v>1.7739105696373731</v>
      </c>
      <c r="BS144" s="1">
        <f t="shared" si="331"/>
        <v>1.7739105696373731</v>
      </c>
      <c r="BV144" s="1" t="s">
        <v>151</v>
      </c>
      <c r="BW144" s="1">
        <f>((AJ144-AI144)/BE$154)*$BD144</f>
        <v>0</v>
      </c>
      <c r="BX144" s="1">
        <f>((AK144-AJ144)/BF$154)*$BD144</f>
        <v>0</v>
      </c>
      <c r="BY144" s="1">
        <f>((AL144-AK144)/BG$154)*$BD144</f>
        <v>0</v>
      </c>
      <c r="BZ144" s="1">
        <f>((AM144-AL144)/BH$154)*$BD144</f>
        <v>0</v>
      </c>
      <c r="CA144" s="1">
        <f>((AN144-AM144)/BI$154)*$BD144</f>
        <v>0</v>
      </c>
      <c r="CB144" s="1">
        <f>((AO144-AN144)/BJ$154)*$BD144</f>
        <v>9.3069027631254139E-4</v>
      </c>
      <c r="CC144" s="1">
        <f>((AP144-AO144)/BK$154)*$BD144</f>
        <v>5.0442756695902281E-4</v>
      </c>
      <c r="CD144" s="1">
        <f>((AQ144-AP144)/BL$154)*$BD144</f>
        <v>0</v>
      </c>
      <c r="CE144" s="1">
        <f>((AR144-AQ144)/BM$154)*$BD144</f>
        <v>0</v>
      </c>
      <c r="CF144" s="1">
        <f>((AS144-AR144)/BN$154)*$BD144</f>
        <v>4.0133788584073674E-4</v>
      </c>
      <c r="CG144" s="1">
        <f>((AT144-AS144)/BO$154)*$BD144</f>
        <v>0</v>
      </c>
      <c r="CH144" s="1">
        <f>((AU144-AT144)/BP$154)*$BD144</f>
        <v>0</v>
      </c>
      <c r="CI144" s="1">
        <f>((AV144-AU144)/BQ$154)*$BD144</f>
        <v>0</v>
      </c>
      <c r="CJ144" s="1">
        <f>((AW144-AV144)/BR$154)*$BD144</f>
        <v>0</v>
      </c>
    </row>
    <row r="145" spans="1:88" x14ac:dyDescent="0.35">
      <c r="A145" s="1" t="s">
        <v>152</v>
      </c>
      <c r="B145" s="1">
        <v>0.99927387871012119</v>
      </c>
      <c r="C145" s="1">
        <v>1</v>
      </c>
      <c r="D145" s="1">
        <v>0.99902649149842826</v>
      </c>
      <c r="E145" s="1">
        <v>0.99901453312710808</v>
      </c>
      <c r="F145" s="1">
        <v>0.99697046952069224</v>
      </c>
      <c r="G145" s="1">
        <v>0.99849882469014783</v>
      </c>
      <c r="H145" s="1">
        <v>0.99964281519499276</v>
      </c>
      <c r="I145" s="1">
        <v>0.99872614685348449</v>
      </c>
      <c r="J145" s="1">
        <v>0.99774656546211704</v>
      </c>
      <c r="K145" s="1">
        <v>0.99892427833714581</v>
      </c>
      <c r="L145" s="1">
        <v>0.99974693289458383</v>
      </c>
      <c r="M145" s="1">
        <v>0.99941368567988986</v>
      </c>
      <c r="N145" s="1">
        <v>0.99888631109059234</v>
      </c>
      <c r="O145" s="1">
        <v>1.0001944440843631</v>
      </c>
      <c r="P145" s="1">
        <v>0.99920552632261073</v>
      </c>
      <c r="Q145" s="1">
        <v>0.99960179877997368</v>
      </c>
      <c r="S145" s="1">
        <f t="shared" si="335"/>
        <v>100</v>
      </c>
      <c r="T145" s="1">
        <f t="shared" si="337"/>
        <v>99.90264914984283</v>
      </c>
      <c r="U145" s="1">
        <f t="shared" si="338"/>
        <v>99.80419839859151</v>
      </c>
      <c r="V145" s="1">
        <f t="shared" si="339"/>
        <v>99.501838537580099</v>
      </c>
      <c r="W145" s="1">
        <f t="shared" si="340"/>
        <v>99.35246883428259</v>
      </c>
      <c r="X145" s="1">
        <f t="shared" si="341"/>
        <v>99.316981642075035</v>
      </c>
      <c r="Y145" s="1">
        <f t="shared" si="342"/>
        <v>99.190466392507858</v>
      </c>
      <c r="Z145" s="1">
        <f t="shared" si="343"/>
        <v>98.966947169710267</v>
      </c>
      <c r="AA145" s="1">
        <f t="shared" si="344"/>
        <v>98.860486280733269</v>
      </c>
      <c r="AB145" s="1">
        <f t="shared" si="345"/>
        <v>98.835467943630164</v>
      </c>
      <c r="AC145" s="1">
        <f t="shared" si="346"/>
        <v>98.777519293440022</v>
      </c>
      <c r="AD145" s="1">
        <f t="shared" si="347"/>
        <v>98.667511865704114</v>
      </c>
      <c r="AE145" s="1">
        <f t="shared" si="348"/>
        <v>99.264711292341488</v>
      </c>
      <c r="AF145" s="1">
        <f t="shared" si="349"/>
        <v>1.0074073525030767</v>
      </c>
      <c r="AH145" s="1" t="str">
        <f t="shared" si="350"/>
        <v>C2821.44160</v>
      </c>
      <c r="AI145" s="1">
        <f t="shared" si="296"/>
        <v>100.74073525030767</v>
      </c>
      <c r="AJ145" s="1">
        <f t="shared" si="297"/>
        <v>100.64266328808691</v>
      </c>
      <c r="AK145" s="1">
        <f t="shared" si="298"/>
        <v>100.54348327741688</v>
      </c>
      <c r="AL145" s="1">
        <f t="shared" si="299"/>
        <v>100.23888373033218</v>
      </c>
      <c r="AM145" s="1">
        <f t="shared" si="300"/>
        <v>100.08840759298906</v>
      </c>
      <c r="AN145" s="1">
        <f t="shared" si="301"/>
        <v>100.05265753463948</v>
      </c>
      <c r="AO145" s="1">
        <f t="shared" si="302"/>
        <v>99.925205142021738</v>
      </c>
      <c r="AP145" s="1">
        <f t="shared" si="303"/>
        <v>99.700030233549683</v>
      </c>
      <c r="AQ145" s="1">
        <f t="shared" si="304"/>
        <v>99.592780751240241</v>
      </c>
      <c r="AR145" s="1">
        <f t="shared" si="305"/>
        <v>99.567577094495164</v>
      </c>
      <c r="AS145" s="1">
        <f t="shared" si="306"/>
        <v>99.509199198225986</v>
      </c>
      <c r="AT145" s="1">
        <f t="shared" si="307"/>
        <v>99.398376906694878</v>
      </c>
      <c r="AU145" s="1">
        <f t="shared" ref="AU145:AW145" si="362">AT145*O145</f>
        <v>99.417704333079683</v>
      </c>
      <c r="AV145" s="1">
        <f t="shared" si="362"/>
        <v>99.338719583920579</v>
      </c>
      <c r="AW145" s="1">
        <f t="shared" si="362"/>
        <v>99.299162784586414</v>
      </c>
      <c r="AX145" s="1" t="b">
        <f t="shared" si="309"/>
        <v>1</v>
      </c>
      <c r="AY145" s="1" t="s">
        <v>152</v>
      </c>
      <c r="AZ145" s="1" t="str">
        <f t="shared" si="333"/>
        <v>C28</v>
      </c>
      <c r="BA145" s="1" t="str">
        <f t="shared" si="334"/>
        <v>C2821</v>
      </c>
      <c r="BB145" s="1" t="s">
        <v>437</v>
      </c>
      <c r="BC145" s="1" t="s">
        <v>438</v>
      </c>
      <c r="BD145" s="1">
        <v>2.7126350470942856E-3</v>
      </c>
      <c r="BE145" s="1">
        <f t="shared" si="317"/>
        <v>0.2732728491100313</v>
      </c>
      <c r="BF145" s="1">
        <f t="shared" si="318"/>
        <v>0.27300681566817397</v>
      </c>
      <c r="BG145" s="1">
        <f t="shared" si="319"/>
        <v>0.27273777649525927</v>
      </c>
      <c r="BH145" s="1">
        <f t="shared" si="320"/>
        <v>0.27191150908850825</v>
      </c>
      <c r="BI145" s="1">
        <f t="shared" si="321"/>
        <v>0.27150332224459994</v>
      </c>
      <c r="BJ145" s="1">
        <f t="shared" si="322"/>
        <v>0.27140634538338521</v>
      </c>
      <c r="BK145" s="1">
        <f t="shared" si="323"/>
        <v>0.27106061355633432</v>
      </c>
      <c r="BL145" s="1">
        <f t="shared" si="324"/>
        <v>0.27044979620788673</v>
      </c>
      <c r="BM145" s="1">
        <f t="shared" si="325"/>
        <v>0.27015886750339141</v>
      </c>
      <c r="BN145" s="1">
        <f t="shared" si="326"/>
        <v>0.27009049918078981</v>
      </c>
      <c r="BO145" s="1">
        <f t="shared" si="327"/>
        <v>0.26993214125339438</v>
      </c>
      <c r="BP145" s="1">
        <f t="shared" si="328"/>
        <v>0.2696315208213878</v>
      </c>
      <c r="BQ145" s="1">
        <f t="shared" si="329"/>
        <v>0.26968394907556936</v>
      </c>
      <c r="BR145" s="1">
        <f t="shared" si="330"/>
        <v>0.26946969227681444</v>
      </c>
      <c r="BS145" s="1">
        <f t="shared" si="331"/>
        <v>0.26936238911658972</v>
      </c>
      <c r="BV145" s="1" t="s">
        <v>152</v>
      </c>
      <c r="BW145" s="1">
        <f>((AJ145-AI145)/BE$154)*$BD145</f>
        <v>-2.6724246354928823E-6</v>
      </c>
      <c r="BX145" s="1">
        <f>((AK145-AJ145)/BF$154)*$BD145</f>
        <v>-2.7040971316672455E-6</v>
      </c>
      <c r="BY145" s="1">
        <f>((AL145-AK145)/BG$154)*$BD145</f>
        <v>-8.3085490534406173E-6</v>
      </c>
      <c r="BZ145" s="1">
        <f>((AM145-AL145)/BH$154)*$BD145</f>
        <v>-4.0952961654799178E-6</v>
      </c>
      <c r="CA145" s="1">
        <f>((AN145-AM145)/BI$154)*$BD145</f>
        <v>-9.7191463887037264E-7</v>
      </c>
      <c r="CB145" s="1">
        <f>((AO145-AN145)/BJ$154)*$BD145</f>
        <v>-3.4631346514434327E-6</v>
      </c>
      <c r="CC145" s="1">
        <f>((AP145-AO145)/BK$154)*$BD145</f>
        <v>-6.1166924123608735E-6</v>
      </c>
      <c r="CD145" s="1">
        <f>((AQ145-AP145)/BL$154)*$BD145</f>
        <v>-2.9091092685986761E-6</v>
      </c>
      <c r="CE145" s="1">
        <f>((AR145-AQ145)/BM$154)*$BD145</f>
        <v>-6.8091724600779726E-7</v>
      </c>
      <c r="CF145" s="1">
        <f>((AS145-AR145)/BN$154)*$BD145</f>
        <v>-1.5758664672205213E-6</v>
      </c>
      <c r="CG145" s="1">
        <f>((AT145-AS145)/BO$154)*$BD145</f>
        <v>-2.9847148709860992E-6</v>
      </c>
      <c r="CH145" s="1">
        <f>((AU145-AT145)/BP$154)*$BD145</f>
        <v>5.2040264752180331E-7</v>
      </c>
      <c r="CI145" s="1">
        <f>((AV145-AU145)/BQ$154)*$BD145</f>
        <v>-2.1193379104963315E-6</v>
      </c>
      <c r="CJ145" s="1">
        <f>((AW145-AV145)/BR$154)*$BD145</f>
        <v>-1.0594942220737446E-6</v>
      </c>
    </row>
    <row r="146" spans="1:88" x14ac:dyDescent="0.35">
      <c r="A146" s="1" t="s">
        <v>153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S146" s="1">
        <f t="shared" si="335"/>
        <v>100</v>
      </c>
      <c r="T146" s="1">
        <f t="shared" si="337"/>
        <v>100</v>
      </c>
      <c r="U146" s="1">
        <f t="shared" si="338"/>
        <v>100</v>
      </c>
      <c r="V146" s="1">
        <f t="shared" si="339"/>
        <v>100</v>
      </c>
      <c r="W146" s="1">
        <f t="shared" si="340"/>
        <v>100</v>
      </c>
      <c r="X146" s="1">
        <f t="shared" si="341"/>
        <v>100</v>
      </c>
      <c r="Y146" s="1">
        <f t="shared" si="342"/>
        <v>100</v>
      </c>
      <c r="Z146" s="1">
        <f t="shared" si="343"/>
        <v>100</v>
      </c>
      <c r="AA146" s="1">
        <f t="shared" si="344"/>
        <v>100</v>
      </c>
      <c r="AB146" s="1">
        <f t="shared" si="345"/>
        <v>100</v>
      </c>
      <c r="AC146" s="1">
        <f t="shared" si="346"/>
        <v>100</v>
      </c>
      <c r="AD146" s="1">
        <f t="shared" si="347"/>
        <v>100</v>
      </c>
      <c r="AE146" s="1">
        <f t="shared" si="348"/>
        <v>100</v>
      </c>
      <c r="AF146" s="1">
        <f t="shared" si="349"/>
        <v>1</v>
      </c>
      <c r="AH146" s="1" t="str">
        <f t="shared" si="350"/>
        <v>C2920.49229</v>
      </c>
      <c r="AI146" s="1">
        <f t="shared" si="296"/>
        <v>100</v>
      </c>
      <c r="AJ146" s="1">
        <f t="shared" si="297"/>
        <v>100</v>
      </c>
      <c r="AK146" s="1">
        <f t="shared" si="298"/>
        <v>100</v>
      </c>
      <c r="AL146" s="1">
        <f t="shared" si="299"/>
        <v>100</v>
      </c>
      <c r="AM146" s="1">
        <f t="shared" si="300"/>
        <v>100</v>
      </c>
      <c r="AN146" s="1">
        <f t="shared" si="301"/>
        <v>100</v>
      </c>
      <c r="AO146" s="1">
        <f t="shared" si="302"/>
        <v>100</v>
      </c>
      <c r="AP146" s="1">
        <f t="shared" si="303"/>
        <v>100</v>
      </c>
      <c r="AQ146" s="1">
        <f t="shared" si="304"/>
        <v>100</v>
      </c>
      <c r="AR146" s="1">
        <f t="shared" si="305"/>
        <v>100</v>
      </c>
      <c r="AS146" s="1">
        <f t="shared" si="306"/>
        <v>100</v>
      </c>
      <c r="AT146" s="1">
        <f t="shared" si="307"/>
        <v>100</v>
      </c>
      <c r="AU146" s="1">
        <f t="shared" ref="AU146:AW146" si="363">AT146*O146</f>
        <v>100</v>
      </c>
      <c r="AV146" s="1">
        <f t="shared" si="363"/>
        <v>100</v>
      </c>
      <c r="AW146" s="1">
        <f t="shared" si="363"/>
        <v>100</v>
      </c>
      <c r="AX146" s="1" t="b">
        <f t="shared" si="309"/>
        <v>1</v>
      </c>
      <c r="AY146" s="1" t="s">
        <v>153</v>
      </c>
      <c r="AZ146" s="1" t="str">
        <f t="shared" si="333"/>
        <v>C29</v>
      </c>
      <c r="BA146" s="1" t="str">
        <f t="shared" si="334"/>
        <v>C2920</v>
      </c>
      <c r="BB146" s="1" t="s">
        <v>439</v>
      </c>
      <c r="BC146" s="1" t="s">
        <v>440</v>
      </c>
      <c r="BD146" s="1">
        <v>1.626569385688662E-3</v>
      </c>
      <c r="BE146" s="1">
        <f t="shared" si="317"/>
        <v>0.16265693856886621</v>
      </c>
      <c r="BF146" s="1">
        <f t="shared" si="318"/>
        <v>0.16265693856886621</v>
      </c>
      <c r="BG146" s="1">
        <f t="shared" si="319"/>
        <v>0.16265693856886621</v>
      </c>
      <c r="BH146" s="1">
        <f t="shared" si="320"/>
        <v>0.16265693856886621</v>
      </c>
      <c r="BI146" s="1">
        <f t="shared" si="321"/>
        <v>0.16265693856886621</v>
      </c>
      <c r="BJ146" s="1">
        <f t="shared" si="322"/>
        <v>0.16265693856886621</v>
      </c>
      <c r="BK146" s="1">
        <f t="shared" si="323"/>
        <v>0.16265693856886621</v>
      </c>
      <c r="BL146" s="1">
        <f t="shared" si="324"/>
        <v>0.16265693856886621</v>
      </c>
      <c r="BM146" s="1">
        <f t="shared" si="325"/>
        <v>0.16265693856886621</v>
      </c>
      <c r="BN146" s="1">
        <f t="shared" si="326"/>
        <v>0.16265693856886621</v>
      </c>
      <c r="BO146" s="1">
        <f t="shared" si="327"/>
        <v>0.16265693856886621</v>
      </c>
      <c r="BP146" s="1">
        <f t="shared" si="328"/>
        <v>0.16265693856886621</v>
      </c>
      <c r="BQ146" s="1">
        <f t="shared" si="329"/>
        <v>0.16265693856886621</v>
      </c>
      <c r="BR146" s="1">
        <f t="shared" si="330"/>
        <v>0.16265693856886621</v>
      </c>
      <c r="BS146" s="1">
        <f t="shared" si="331"/>
        <v>0.16265693856886621</v>
      </c>
      <c r="BV146" s="1" t="s">
        <v>153</v>
      </c>
      <c r="BW146" s="1">
        <f>((AJ146-AI146)/BE$154)*$BD146</f>
        <v>0</v>
      </c>
      <c r="BX146" s="1">
        <f>((AK146-AJ146)/BF$154)*$BD146</f>
        <v>0</v>
      </c>
      <c r="BY146" s="1">
        <f>((AL146-AK146)/BG$154)*$BD146</f>
        <v>0</v>
      </c>
      <c r="BZ146" s="1">
        <f>((AM146-AL146)/BH$154)*$BD146</f>
        <v>0</v>
      </c>
      <c r="CA146" s="1">
        <f>((AN146-AM146)/BI$154)*$BD146</f>
        <v>0</v>
      </c>
      <c r="CB146" s="1">
        <f>((AO146-AN146)/BJ$154)*$BD146</f>
        <v>0</v>
      </c>
      <c r="CC146" s="1">
        <f>((AP146-AO146)/BK$154)*$BD146</f>
        <v>0</v>
      </c>
      <c r="CD146" s="1">
        <f>((AQ146-AP146)/BL$154)*$BD146</f>
        <v>0</v>
      </c>
      <c r="CE146" s="1">
        <f>((AR146-AQ146)/BM$154)*$BD146</f>
        <v>0</v>
      </c>
      <c r="CF146" s="1">
        <f>((AS146-AR146)/BN$154)*$BD146</f>
        <v>0</v>
      </c>
      <c r="CG146" s="1">
        <f>((AT146-AS146)/BO$154)*$BD146</f>
        <v>0</v>
      </c>
      <c r="CH146" s="1">
        <f>((AU146-AT146)/BP$154)*$BD146</f>
        <v>0</v>
      </c>
      <c r="CI146" s="1">
        <f>((AV146-AU146)/BQ$154)*$BD146</f>
        <v>0</v>
      </c>
      <c r="CJ146" s="1">
        <f>((AW146-AV146)/BR$154)*$BD146</f>
        <v>0</v>
      </c>
    </row>
    <row r="147" spans="1:88" x14ac:dyDescent="0.35">
      <c r="A147" s="1" t="s">
        <v>154</v>
      </c>
      <c r="B147" s="1">
        <v>0.98064161351283774</v>
      </c>
      <c r="C147" s="1">
        <v>1</v>
      </c>
      <c r="D147" s="1">
        <v>1</v>
      </c>
      <c r="E147" s="1">
        <v>1</v>
      </c>
      <c r="F147" s="1">
        <v>1</v>
      </c>
      <c r="G147" s="1">
        <v>1</v>
      </c>
      <c r="H147" s="1">
        <v>1</v>
      </c>
      <c r="I147" s="1">
        <v>0.97635616315844731</v>
      </c>
      <c r="J147" s="1">
        <v>1</v>
      </c>
      <c r="K147" s="1">
        <v>1</v>
      </c>
      <c r="L147" s="1">
        <v>0.97201018214228618</v>
      </c>
      <c r="M147" s="1">
        <v>1.011365320018663</v>
      </c>
      <c r="N147" s="1">
        <v>1</v>
      </c>
      <c r="O147" s="1">
        <v>1.0210685443366059</v>
      </c>
      <c r="P147" s="1">
        <v>1</v>
      </c>
      <c r="Q147" s="1">
        <v>1</v>
      </c>
      <c r="S147" s="1">
        <f t="shared" si="335"/>
        <v>100</v>
      </c>
      <c r="T147" s="1">
        <f t="shared" si="337"/>
        <v>100</v>
      </c>
      <c r="U147" s="1">
        <f t="shared" si="338"/>
        <v>100</v>
      </c>
      <c r="V147" s="1">
        <f t="shared" si="339"/>
        <v>100</v>
      </c>
      <c r="W147" s="1">
        <f t="shared" si="340"/>
        <v>100</v>
      </c>
      <c r="X147" s="1">
        <f t="shared" si="341"/>
        <v>100</v>
      </c>
      <c r="Y147" s="1">
        <f t="shared" si="342"/>
        <v>97.635616315844729</v>
      </c>
      <c r="Z147" s="1">
        <f t="shared" si="343"/>
        <v>97.635616315844729</v>
      </c>
      <c r="AA147" s="1">
        <f t="shared" si="344"/>
        <v>97.635616315844729</v>
      </c>
      <c r="AB147" s="1">
        <f t="shared" si="345"/>
        <v>94.902813198738599</v>
      </c>
      <c r="AC147" s="1">
        <f t="shared" si="346"/>
        <v>95.981414041413657</v>
      </c>
      <c r="AD147" s="1">
        <f t="shared" si="347"/>
        <v>95.981414041413657</v>
      </c>
      <c r="AE147" s="1">
        <f t="shared" si="348"/>
        <v>98.314374185758325</v>
      </c>
      <c r="AF147" s="1">
        <f t="shared" si="349"/>
        <v>1.0171452631235469</v>
      </c>
      <c r="AH147" s="1" t="str">
        <f t="shared" si="350"/>
        <v>C2930.49129</v>
      </c>
      <c r="AI147" s="1">
        <f t="shared" si="296"/>
        <v>101.71452631235469</v>
      </c>
      <c r="AJ147" s="1">
        <f t="shared" si="297"/>
        <v>101.71452631235469</v>
      </c>
      <c r="AK147" s="1">
        <f t="shared" si="298"/>
        <v>101.71452631235469</v>
      </c>
      <c r="AL147" s="1">
        <f t="shared" si="299"/>
        <v>101.71452631235469</v>
      </c>
      <c r="AM147" s="1">
        <f t="shared" si="300"/>
        <v>101.71452631235469</v>
      </c>
      <c r="AN147" s="1">
        <f t="shared" si="301"/>
        <v>101.71452631235469</v>
      </c>
      <c r="AO147" s="1">
        <f t="shared" si="302"/>
        <v>99.30960464780955</v>
      </c>
      <c r="AP147" s="1">
        <f t="shared" si="303"/>
        <v>99.30960464780955</v>
      </c>
      <c r="AQ147" s="1">
        <f t="shared" si="304"/>
        <v>99.30960464780955</v>
      </c>
      <c r="AR147" s="1">
        <f t="shared" si="305"/>
        <v>96.529946902195789</v>
      </c>
      <c r="AS147" s="1">
        <f t="shared" si="306"/>
        <v>97.627040640123795</v>
      </c>
      <c r="AT147" s="1">
        <f t="shared" si="307"/>
        <v>97.627040640123795</v>
      </c>
      <c r="AU147" s="1">
        <f t="shared" ref="AU147:AW147" si="364">AT147*O147</f>
        <v>99.683900274301863</v>
      </c>
      <c r="AV147" s="1">
        <f t="shared" si="364"/>
        <v>99.683900274301863</v>
      </c>
      <c r="AW147" s="1">
        <f t="shared" si="364"/>
        <v>99.683900274301863</v>
      </c>
      <c r="AX147" s="1" t="b">
        <f t="shared" si="309"/>
        <v>1</v>
      </c>
      <c r="AY147" s="1" t="s">
        <v>154</v>
      </c>
      <c r="AZ147" s="1" t="str">
        <f t="shared" si="333"/>
        <v>C29</v>
      </c>
      <c r="BA147" s="1" t="str">
        <f t="shared" si="334"/>
        <v>C2930</v>
      </c>
      <c r="BB147" s="1" t="s">
        <v>441</v>
      </c>
      <c r="BC147" s="1" t="s">
        <v>442</v>
      </c>
      <c r="BD147" s="1">
        <v>1.626569385688662E-3</v>
      </c>
      <c r="BE147" s="1">
        <f t="shared" si="317"/>
        <v>0.16544573457950001</v>
      </c>
      <c r="BF147" s="1">
        <f t="shared" si="318"/>
        <v>0.16544573457950001</v>
      </c>
      <c r="BG147" s="1">
        <f t="shared" si="319"/>
        <v>0.16544573457950001</v>
      </c>
      <c r="BH147" s="1">
        <f t="shared" si="320"/>
        <v>0.16544573457950001</v>
      </c>
      <c r="BI147" s="1">
        <f t="shared" si="321"/>
        <v>0.16544573457950001</v>
      </c>
      <c r="BJ147" s="1">
        <f t="shared" si="322"/>
        <v>0.16544573457950001</v>
      </c>
      <c r="BK147" s="1">
        <f t="shared" si="323"/>
        <v>0.16153396262497147</v>
      </c>
      <c r="BL147" s="1">
        <f t="shared" si="324"/>
        <v>0.16153396262497147</v>
      </c>
      <c r="BM147" s="1">
        <f t="shared" si="325"/>
        <v>0.16153396262497147</v>
      </c>
      <c r="BN147" s="1">
        <f t="shared" si="326"/>
        <v>0.15701265643326376</v>
      </c>
      <c r="BO147" s="1">
        <f t="shared" si="327"/>
        <v>0.15879715552060819</v>
      </c>
      <c r="BP147" s="1">
        <f t="shared" si="328"/>
        <v>0.15879715552060819</v>
      </c>
      <c r="BQ147" s="1">
        <f t="shared" si="329"/>
        <v>0.16214278043222102</v>
      </c>
      <c r="BR147" s="1">
        <f t="shared" si="330"/>
        <v>0.16214278043222102</v>
      </c>
      <c r="BS147" s="1">
        <f t="shared" si="331"/>
        <v>0.16214278043222102</v>
      </c>
      <c r="BV147" s="1" t="s">
        <v>154</v>
      </c>
      <c r="BW147" s="1">
        <f>((AJ147-AI147)/BE$154)*$BD147</f>
        <v>0</v>
      </c>
      <c r="BX147" s="1">
        <f>((AK147-AJ147)/BF$154)*$BD147</f>
        <v>0</v>
      </c>
      <c r="BY147" s="1">
        <f>((AL147-AK147)/BG$154)*$BD147</f>
        <v>0</v>
      </c>
      <c r="BZ147" s="1">
        <f>((AM147-AL147)/BH$154)*$BD147</f>
        <v>0</v>
      </c>
      <c r="CA147" s="1">
        <f>((AN147-AM147)/BI$154)*$BD147</f>
        <v>0</v>
      </c>
      <c r="CB147" s="1">
        <f>((AO147-AN147)/BJ$154)*$BD147</f>
        <v>-3.9183528805630551E-5</v>
      </c>
      <c r="CC147" s="1">
        <f>((AP147-AO147)/BK$154)*$BD147</f>
        <v>0</v>
      </c>
      <c r="CD147" s="1">
        <f>((AQ147-AP147)/BL$154)*$BD147</f>
        <v>0</v>
      </c>
      <c r="CE147" s="1">
        <f>((AR147-AQ147)/BM$154)*$BD147</f>
        <v>-4.5030143248565978E-5</v>
      </c>
      <c r="CF147" s="1">
        <f>((AS147-AR147)/BN$154)*$BD147</f>
        <v>1.7758077027050538E-5</v>
      </c>
      <c r="CG147" s="1">
        <f>((AT147-AS147)/BO$154)*$BD147</f>
        <v>0</v>
      </c>
      <c r="CH147" s="1">
        <f>((AU147-AT147)/BP$154)*$BD147</f>
        <v>3.3208659887642336E-5</v>
      </c>
      <c r="CI147" s="1">
        <f>((AV147-AU147)/BQ$154)*$BD147</f>
        <v>0</v>
      </c>
      <c r="CJ147" s="1">
        <f>((AW147-AV147)/BR$154)*$BD147</f>
        <v>0</v>
      </c>
    </row>
    <row r="148" spans="1:88" x14ac:dyDescent="0.35">
      <c r="A148" s="1" t="s">
        <v>155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  <c r="G148" s="1">
        <v>1</v>
      </c>
      <c r="H148" s="1">
        <v>1.0020942523070711</v>
      </c>
      <c r="I148" s="1">
        <v>1</v>
      </c>
      <c r="J148" s="1">
        <v>0.99999999111111093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S148" s="1">
        <f t="shared" si="335"/>
        <v>100</v>
      </c>
      <c r="T148" s="1">
        <f t="shared" si="337"/>
        <v>100</v>
      </c>
      <c r="U148" s="1">
        <f t="shared" si="338"/>
        <v>100</v>
      </c>
      <c r="V148" s="1">
        <f t="shared" si="339"/>
        <v>100</v>
      </c>
      <c r="W148" s="1">
        <f t="shared" si="340"/>
        <v>100</v>
      </c>
      <c r="X148" s="1">
        <f t="shared" si="341"/>
        <v>100.20942523070711</v>
      </c>
      <c r="Y148" s="1">
        <f t="shared" si="342"/>
        <v>100.20942523070711</v>
      </c>
      <c r="Z148" s="1">
        <f t="shared" si="343"/>
        <v>100.20942433995664</v>
      </c>
      <c r="AA148" s="1">
        <f t="shared" si="344"/>
        <v>100.20942433995664</v>
      </c>
      <c r="AB148" s="1">
        <f t="shared" si="345"/>
        <v>100.20942433995664</v>
      </c>
      <c r="AC148" s="1">
        <f t="shared" si="346"/>
        <v>100.20942433995664</v>
      </c>
      <c r="AD148" s="1">
        <f t="shared" si="347"/>
        <v>100.20942433995664</v>
      </c>
      <c r="AE148" s="1">
        <f t="shared" si="348"/>
        <v>100.12216434676645</v>
      </c>
      <c r="AF148" s="1">
        <f t="shared" si="349"/>
        <v>0.99877984712412582</v>
      </c>
      <c r="AH148" s="1" t="str">
        <f t="shared" si="350"/>
        <v>C3100.38122</v>
      </c>
      <c r="AI148" s="1">
        <f t="shared" si="296"/>
        <v>99.877984712412584</v>
      </c>
      <c r="AJ148" s="1">
        <f t="shared" si="297"/>
        <v>99.877984712412584</v>
      </c>
      <c r="AK148" s="1">
        <f t="shared" si="298"/>
        <v>99.877984712412584</v>
      </c>
      <c r="AL148" s="1">
        <f t="shared" si="299"/>
        <v>99.877984712412584</v>
      </c>
      <c r="AM148" s="1">
        <f t="shared" si="300"/>
        <v>99.877984712412584</v>
      </c>
      <c r="AN148" s="1">
        <f t="shared" si="301"/>
        <v>100.08715441232216</v>
      </c>
      <c r="AO148" s="1">
        <f t="shared" si="302"/>
        <v>100.08715441232216</v>
      </c>
      <c r="AP148" s="1">
        <f t="shared" si="303"/>
        <v>100.08715352265855</v>
      </c>
      <c r="AQ148" s="1">
        <f t="shared" si="304"/>
        <v>100.08715352265855</v>
      </c>
      <c r="AR148" s="1">
        <f t="shared" si="305"/>
        <v>100.08715352265855</v>
      </c>
      <c r="AS148" s="1">
        <f t="shared" si="306"/>
        <v>100.08715352265855</v>
      </c>
      <c r="AT148" s="1">
        <f t="shared" si="307"/>
        <v>100.08715352265855</v>
      </c>
      <c r="AU148" s="1">
        <f t="shared" ref="AU148:AW148" si="365">AT148*O148</f>
        <v>100.08715352265855</v>
      </c>
      <c r="AV148" s="1">
        <f t="shared" si="365"/>
        <v>100.08715352265855</v>
      </c>
      <c r="AW148" s="1">
        <f t="shared" si="365"/>
        <v>100.08715352265855</v>
      </c>
      <c r="AX148" s="1" t="b">
        <f t="shared" si="309"/>
        <v>1</v>
      </c>
      <c r="AY148" s="1" t="s">
        <v>155</v>
      </c>
      <c r="AZ148" s="1" t="str">
        <f t="shared" si="333"/>
        <v>C31</v>
      </c>
      <c r="BA148" s="1" t="str">
        <f t="shared" si="334"/>
        <v>C3100</v>
      </c>
      <c r="BB148" s="1" t="s">
        <v>443</v>
      </c>
      <c r="BC148" s="1" t="s">
        <v>444</v>
      </c>
      <c r="BD148" s="1">
        <v>1.1302465006915714E-2</v>
      </c>
      <c r="BE148" s="1">
        <f t="shared" si="317"/>
        <v>1.1288674271733059</v>
      </c>
      <c r="BF148" s="1">
        <f t="shared" si="318"/>
        <v>1.1288674271733059</v>
      </c>
      <c r="BG148" s="1">
        <f t="shared" si="319"/>
        <v>1.1288674271733059</v>
      </c>
      <c r="BH148" s="1">
        <f t="shared" si="320"/>
        <v>1.1288674271733059</v>
      </c>
      <c r="BI148" s="1">
        <f t="shared" si="321"/>
        <v>1.1288674271733059</v>
      </c>
      <c r="BJ148" s="1">
        <f t="shared" si="322"/>
        <v>1.1312315603870409</v>
      </c>
      <c r="BK148" s="1">
        <f t="shared" si="323"/>
        <v>1.1312315603870409</v>
      </c>
      <c r="BL148" s="1">
        <f t="shared" si="324"/>
        <v>1.1312315503316492</v>
      </c>
      <c r="BM148" s="1">
        <f t="shared" si="325"/>
        <v>1.1312315503316492</v>
      </c>
      <c r="BN148" s="1">
        <f t="shared" si="326"/>
        <v>1.1312315503316492</v>
      </c>
      <c r="BO148" s="1">
        <f t="shared" si="327"/>
        <v>1.1312315503316492</v>
      </c>
      <c r="BP148" s="1">
        <f t="shared" si="328"/>
        <v>1.1312315503316492</v>
      </c>
      <c r="BQ148" s="1">
        <f t="shared" si="329"/>
        <v>1.1312315503316492</v>
      </c>
      <c r="BR148" s="1">
        <f t="shared" si="330"/>
        <v>1.1312315503316492</v>
      </c>
      <c r="BS148" s="1">
        <f t="shared" si="331"/>
        <v>1.1312315503316492</v>
      </c>
      <c r="BV148" s="1" t="s">
        <v>155</v>
      </c>
      <c r="BW148" s="1">
        <f>((AJ148-AI148)/BE$154)*$BD148</f>
        <v>0</v>
      </c>
      <c r="BX148" s="1">
        <f>((AK148-AJ148)/BF$154)*$BD148</f>
        <v>0</v>
      </c>
      <c r="BY148" s="1">
        <f>((AL148-AK148)/BG$154)*$BD148</f>
        <v>0</v>
      </c>
      <c r="BZ148" s="1">
        <f>((AM148-AL148)/BH$154)*$BD148</f>
        <v>0</v>
      </c>
      <c r="CA148" s="1">
        <f>((AN148-AM148)/BI$154)*$BD148</f>
        <v>2.3693648669253672E-5</v>
      </c>
      <c r="CB148" s="1">
        <f>((AO148-AN148)/BJ$154)*$BD148</f>
        <v>0</v>
      </c>
      <c r="CC148" s="1">
        <f>((AP148-AO148)/BK$154)*$BD148</f>
        <v>-1.0069415845514406E-10</v>
      </c>
      <c r="CD148" s="1">
        <f>((AQ148-AP148)/BL$154)*$BD148</f>
        <v>0</v>
      </c>
      <c r="CE148" s="1">
        <f>((AR148-AQ148)/BM$154)*$BD148</f>
        <v>0</v>
      </c>
      <c r="CF148" s="1">
        <f>((AS148-AR148)/BN$154)*$BD148</f>
        <v>0</v>
      </c>
      <c r="CG148" s="1">
        <f>((AT148-AS148)/BO$154)*$BD148</f>
        <v>0</v>
      </c>
      <c r="CH148" s="1">
        <f>((AU148-AT148)/BP$154)*$BD148</f>
        <v>0</v>
      </c>
      <c r="CI148" s="1">
        <f>((AV148-AU148)/BQ$154)*$BD148</f>
        <v>0</v>
      </c>
      <c r="CJ148" s="1">
        <f>((AW148-AV148)/BR$154)*$BD148</f>
        <v>0</v>
      </c>
    </row>
    <row r="149" spans="1:88" x14ac:dyDescent="0.35">
      <c r="A149" s="1" t="s">
        <v>156</v>
      </c>
      <c r="B149" s="1">
        <v>1.0122721979835336</v>
      </c>
      <c r="C149" s="1">
        <v>1</v>
      </c>
      <c r="D149" s="1">
        <v>0.99362524470288183</v>
      </c>
      <c r="E149" s="1">
        <v>1</v>
      </c>
      <c r="F149" s="1">
        <v>1</v>
      </c>
      <c r="G149" s="1">
        <v>1</v>
      </c>
      <c r="H149" s="1">
        <v>1.0046891752221969</v>
      </c>
      <c r="I149" s="1">
        <v>0.99985655067230594</v>
      </c>
      <c r="J149" s="1">
        <v>1.0037889760421748</v>
      </c>
      <c r="K149" s="1">
        <v>0.99999999929780559</v>
      </c>
      <c r="L149" s="1">
        <v>1</v>
      </c>
      <c r="M149" s="1">
        <v>0.99999995742988401</v>
      </c>
      <c r="N149" s="1">
        <v>1</v>
      </c>
      <c r="O149" s="1">
        <v>1.0000000425701177</v>
      </c>
      <c r="P149" s="1">
        <v>1.0070586298506516</v>
      </c>
      <c r="Q149" s="1">
        <v>1</v>
      </c>
      <c r="S149" s="1">
        <f t="shared" si="335"/>
        <v>100</v>
      </c>
      <c r="T149" s="1">
        <f t="shared" si="337"/>
        <v>99.362524470288179</v>
      </c>
      <c r="U149" s="1">
        <f t="shared" si="338"/>
        <v>99.362524470288179</v>
      </c>
      <c r="V149" s="1">
        <f t="shared" si="339"/>
        <v>99.362524470288179</v>
      </c>
      <c r="W149" s="1">
        <f t="shared" si="340"/>
        <v>99.362524470288179</v>
      </c>
      <c r="X149" s="1">
        <f t="shared" si="341"/>
        <v>99.828452758049195</v>
      </c>
      <c r="Y149" s="1">
        <f t="shared" si="342"/>
        <v>99.814132433616322</v>
      </c>
      <c r="Z149" s="1">
        <f t="shared" si="343"/>
        <v>100.19232579007776</v>
      </c>
      <c r="AA149" s="1">
        <f t="shared" si="344"/>
        <v>100.19232571972327</v>
      </c>
      <c r="AB149" s="1">
        <f t="shared" si="345"/>
        <v>100.19232571972327</v>
      </c>
      <c r="AC149" s="1">
        <f t="shared" si="346"/>
        <v>100.19232145452435</v>
      </c>
      <c r="AD149" s="1">
        <f t="shared" si="347"/>
        <v>100.19232145452435</v>
      </c>
      <c r="AE149" s="1">
        <f t="shared" si="348"/>
        <v>99.837858600949275</v>
      </c>
      <c r="AF149" s="1">
        <f t="shared" si="349"/>
        <v>1.001624047243429</v>
      </c>
      <c r="AH149" s="1" t="str">
        <f t="shared" si="350"/>
        <v>C3100.38140</v>
      </c>
      <c r="AI149" s="1">
        <f t="shared" si="296"/>
        <v>100.16240472434291</v>
      </c>
      <c r="AJ149" s="1">
        <f t="shared" si="297"/>
        <v>99.523893904254294</v>
      </c>
      <c r="AK149" s="1">
        <f t="shared" si="298"/>
        <v>99.523893904254294</v>
      </c>
      <c r="AL149" s="1">
        <f t="shared" si="299"/>
        <v>99.523893904254294</v>
      </c>
      <c r="AM149" s="1">
        <f t="shared" si="300"/>
        <v>99.523893904254294</v>
      </c>
      <c r="AN149" s="1">
        <f t="shared" si="301"/>
        <v>99.990578881566691</v>
      </c>
      <c r="AO149" s="1">
        <f t="shared" si="302"/>
        <v>99.976235300250394</v>
      </c>
      <c r="AP149" s="1">
        <f t="shared" si="303"/>
        <v>100.35504286058988</v>
      </c>
      <c r="AQ149" s="1">
        <f t="shared" si="304"/>
        <v>100.35504279012113</v>
      </c>
      <c r="AR149" s="1">
        <f t="shared" si="305"/>
        <v>100.35504279012113</v>
      </c>
      <c r="AS149" s="1">
        <f t="shared" si="306"/>
        <v>100.35503851799533</v>
      </c>
      <c r="AT149" s="1">
        <f t="shared" si="307"/>
        <v>100.35503851799533</v>
      </c>
      <c r="AU149" s="1">
        <f t="shared" ref="AU149:AW149" si="366">AT149*O149</f>
        <v>100.35504279012112</v>
      </c>
      <c r="AV149" s="1">
        <f t="shared" si="366"/>
        <v>101.06341189082289</v>
      </c>
      <c r="AW149" s="1">
        <f t="shared" si="366"/>
        <v>101.06341189082289</v>
      </c>
      <c r="AX149" s="1" t="b">
        <f t="shared" si="309"/>
        <v>1</v>
      </c>
      <c r="AY149" s="1" t="s">
        <v>156</v>
      </c>
      <c r="AZ149" s="1" t="str">
        <f t="shared" si="333"/>
        <v>C31</v>
      </c>
      <c r="BA149" s="1" t="str">
        <f t="shared" si="334"/>
        <v>C3100</v>
      </c>
      <c r="BB149" s="1" t="s">
        <v>445</v>
      </c>
      <c r="BC149" s="1" t="s">
        <v>446</v>
      </c>
      <c r="BD149" s="1">
        <v>1.1302465006915714E-2</v>
      </c>
      <c r="BE149" s="1">
        <f t="shared" si="317"/>
        <v>1.132082074405415</v>
      </c>
      <c r="BF149" s="1">
        <f t="shared" si="318"/>
        <v>1.1248653282048262</v>
      </c>
      <c r="BG149" s="1">
        <f t="shared" si="319"/>
        <v>1.1248653282048262</v>
      </c>
      <c r="BH149" s="1">
        <f t="shared" si="320"/>
        <v>1.1248653282048262</v>
      </c>
      <c r="BI149" s="1">
        <f t="shared" si="321"/>
        <v>1.1248653282048262</v>
      </c>
      <c r="BJ149" s="1">
        <f t="shared" si="322"/>
        <v>1.1301400188301529</v>
      </c>
      <c r="BK149" s="1">
        <f t="shared" si="323"/>
        <v>1.1299779010042517</v>
      </c>
      <c r="BL149" s="1">
        <f t="shared" si="324"/>
        <v>1.1342593601993438</v>
      </c>
      <c r="BM149" s="1">
        <f t="shared" si="325"/>
        <v>1.1342593594028731</v>
      </c>
      <c r="BN149" s="1">
        <f t="shared" si="326"/>
        <v>1.1342593594028731</v>
      </c>
      <c r="BO149" s="1">
        <f t="shared" si="327"/>
        <v>1.1342593111173207</v>
      </c>
      <c r="BP149" s="1">
        <f t="shared" si="328"/>
        <v>1.1342593111173207</v>
      </c>
      <c r="BQ149" s="1">
        <f t="shared" si="329"/>
        <v>1.1342593594028731</v>
      </c>
      <c r="BR149" s="1">
        <f t="shared" si="330"/>
        <v>1.1422656763755352</v>
      </c>
      <c r="BS149" s="1">
        <f t="shared" si="331"/>
        <v>1.1422656763755352</v>
      </c>
      <c r="BV149" s="1" t="s">
        <v>156</v>
      </c>
      <c r="BW149" s="1">
        <f>((AJ149-AI149)/BE$154)*$BD149</f>
        <v>-7.2495435911757757E-5</v>
      </c>
      <c r="BX149" s="1">
        <f>((AK149-AJ149)/BF$154)*$BD149</f>
        <v>0</v>
      </c>
      <c r="BY149" s="1">
        <f>((AL149-AK149)/BG$154)*$BD149</f>
        <v>0</v>
      </c>
      <c r="BZ149" s="1">
        <f>((AM149-AL149)/BH$154)*$BD149</f>
        <v>0</v>
      </c>
      <c r="CA149" s="1">
        <f>((AN149-AM149)/BI$154)*$BD149</f>
        <v>5.2863631283299993E-5</v>
      </c>
      <c r="CB149" s="1">
        <f>((AO149-AN149)/BJ$154)*$BD149</f>
        <v>-1.6239056302235556E-6</v>
      </c>
      <c r="CC149" s="1">
        <f>((AP149-AO149)/BK$154)*$BD149</f>
        <v>4.2874304469270437E-5</v>
      </c>
      <c r="CD149" s="1">
        <f>((AQ149-AP149)/BL$154)*$BD149</f>
        <v>-7.9642184055360255E-12</v>
      </c>
      <c r="CE149" s="1">
        <f>((AR149-AQ149)/BM$154)*$BD149</f>
        <v>0</v>
      </c>
      <c r="CF149" s="1">
        <f>((AS149-AR149)/BN$154)*$BD149</f>
        <v>-4.80503781459234E-10</v>
      </c>
      <c r="CG149" s="1">
        <f>((AT149-AS149)/BO$154)*$BD149</f>
        <v>0</v>
      </c>
      <c r="CH149" s="1">
        <f>((AU149-AT149)/BP$154)*$BD149</f>
        <v>4.7928220449504721E-10</v>
      </c>
      <c r="CI149" s="1">
        <f>((AV149-AU149)/BQ$154)*$BD149</f>
        <v>7.9195111577396428E-5</v>
      </c>
      <c r="CJ149" s="1">
        <f>((AW149-AV149)/BR$154)*$BD149</f>
        <v>0</v>
      </c>
    </row>
    <row r="150" spans="1:88" x14ac:dyDescent="0.35">
      <c r="A150" s="1" t="s">
        <v>157</v>
      </c>
      <c r="B150" s="1">
        <v>1</v>
      </c>
      <c r="C150" s="1">
        <v>1</v>
      </c>
      <c r="D150" s="1">
        <v>1</v>
      </c>
      <c r="E150" s="1">
        <v>1</v>
      </c>
      <c r="F150" s="1">
        <v>1</v>
      </c>
      <c r="G150" s="1">
        <v>1.0229374689185498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S150" s="1">
        <f t="shared" si="335"/>
        <v>100</v>
      </c>
      <c r="T150" s="1">
        <f t="shared" si="337"/>
        <v>100</v>
      </c>
      <c r="U150" s="1">
        <f t="shared" si="338"/>
        <v>100</v>
      </c>
      <c r="V150" s="1">
        <f t="shared" si="339"/>
        <v>100</v>
      </c>
      <c r="W150" s="1">
        <f t="shared" si="340"/>
        <v>102.29374689185498</v>
      </c>
      <c r="X150" s="1">
        <f t="shared" si="341"/>
        <v>102.29374689185498</v>
      </c>
      <c r="Y150" s="1">
        <f t="shared" si="342"/>
        <v>102.29374689185498</v>
      </c>
      <c r="Z150" s="1">
        <f t="shared" si="343"/>
        <v>102.29374689185498</v>
      </c>
      <c r="AA150" s="1">
        <f t="shared" si="344"/>
        <v>102.29374689185498</v>
      </c>
      <c r="AB150" s="1">
        <f t="shared" si="345"/>
        <v>102.29374689185498</v>
      </c>
      <c r="AC150" s="1">
        <f t="shared" si="346"/>
        <v>102.29374689185498</v>
      </c>
      <c r="AD150" s="1">
        <f t="shared" si="347"/>
        <v>102.29374689185498</v>
      </c>
      <c r="AE150" s="1">
        <f t="shared" si="348"/>
        <v>101.52916459456998</v>
      </c>
      <c r="AF150" s="1">
        <f t="shared" si="349"/>
        <v>0.98493866663163931</v>
      </c>
      <c r="AH150" s="1" t="str">
        <f t="shared" si="350"/>
        <v>C3100.38150</v>
      </c>
      <c r="AI150" s="1">
        <f t="shared" si="296"/>
        <v>98.493866663163928</v>
      </c>
      <c r="AJ150" s="1">
        <f t="shared" si="297"/>
        <v>98.493866663163928</v>
      </c>
      <c r="AK150" s="1">
        <f t="shared" si="298"/>
        <v>98.493866663163928</v>
      </c>
      <c r="AL150" s="1">
        <f t="shared" si="299"/>
        <v>98.493866663163928</v>
      </c>
      <c r="AM150" s="1">
        <f t="shared" si="300"/>
        <v>100.75306666841804</v>
      </c>
      <c r="AN150" s="1">
        <f t="shared" si="301"/>
        <v>100.75306666841804</v>
      </c>
      <c r="AO150" s="1">
        <f t="shared" si="302"/>
        <v>100.75306666841804</v>
      </c>
      <c r="AP150" s="1">
        <f t="shared" si="303"/>
        <v>100.75306666841804</v>
      </c>
      <c r="AQ150" s="1">
        <f t="shared" si="304"/>
        <v>100.75306666841804</v>
      </c>
      <c r="AR150" s="1">
        <f t="shared" si="305"/>
        <v>100.75306666841804</v>
      </c>
      <c r="AS150" s="1">
        <f t="shared" si="306"/>
        <v>100.75306666841804</v>
      </c>
      <c r="AT150" s="1">
        <f t="shared" si="307"/>
        <v>100.75306666841804</v>
      </c>
      <c r="AU150" s="1">
        <f t="shared" ref="AU150:AW150" si="367">AT150*O150</f>
        <v>100.75306666841804</v>
      </c>
      <c r="AV150" s="1">
        <f t="shared" si="367"/>
        <v>100.75306666841804</v>
      </c>
      <c r="AW150" s="1">
        <f t="shared" si="367"/>
        <v>100.75306666841804</v>
      </c>
      <c r="AX150" s="1" t="b">
        <f t="shared" si="309"/>
        <v>1</v>
      </c>
      <c r="AY150" s="1" t="s">
        <v>157</v>
      </c>
      <c r="AZ150" s="1" t="str">
        <f t="shared" si="333"/>
        <v>C31</v>
      </c>
      <c r="BA150" s="1" t="str">
        <f t="shared" si="334"/>
        <v>C3100</v>
      </c>
      <c r="BB150" s="1" t="s">
        <v>447</v>
      </c>
      <c r="BC150" s="1" t="s">
        <v>448</v>
      </c>
      <c r="BD150" s="1">
        <v>1.1302465006915714E-2</v>
      </c>
      <c r="BE150" s="1">
        <f t="shared" si="317"/>
        <v>1.1132234813562325</v>
      </c>
      <c r="BF150" s="1">
        <f t="shared" si="318"/>
        <v>1.1132234813562325</v>
      </c>
      <c r="BG150" s="1">
        <f t="shared" si="319"/>
        <v>1.1132234813562325</v>
      </c>
      <c r="BH150" s="1">
        <f t="shared" si="320"/>
        <v>1.1132234813562325</v>
      </c>
      <c r="BI150" s="1">
        <f t="shared" si="321"/>
        <v>1.138758010359241</v>
      </c>
      <c r="BJ150" s="1">
        <f t="shared" si="322"/>
        <v>1.138758010359241</v>
      </c>
      <c r="BK150" s="1">
        <f t="shared" si="323"/>
        <v>1.138758010359241</v>
      </c>
      <c r="BL150" s="1">
        <f t="shared" si="324"/>
        <v>1.138758010359241</v>
      </c>
      <c r="BM150" s="1">
        <f t="shared" si="325"/>
        <v>1.138758010359241</v>
      </c>
      <c r="BN150" s="1">
        <f t="shared" si="326"/>
        <v>1.138758010359241</v>
      </c>
      <c r="BO150" s="1">
        <f t="shared" si="327"/>
        <v>1.138758010359241</v>
      </c>
      <c r="BP150" s="1">
        <f t="shared" si="328"/>
        <v>1.138758010359241</v>
      </c>
      <c r="BQ150" s="1">
        <f t="shared" si="329"/>
        <v>1.138758010359241</v>
      </c>
      <c r="BR150" s="1">
        <f t="shared" si="330"/>
        <v>1.138758010359241</v>
      </c>
      <c r="BS150" s="1">
        <f t="shared" si="331"/>
        <v>1.138758010359241</v>
      </c>
      <c r="BV150" s="1" t="s">
        <v>157</v>
      </c>
      <c r="BW150" s="1">
        <f>((AJ150-AI150)/BE$154)*$BD150</f>
        <v>0</v>
      </c>
      <c r="BX150" s="1">
        <f>((AK150-AJ150)/BF$154)*$BD150</f>
        <v>0</v>
      </c>
      <c r="BY150" s="1">
        <f>((AL150-AK150)/BG$154)*$BD150</f>
        <v>0</v>
      </c>
      <c r="BZ150" s="1">
        <f>((AM150-AL150)/BH$154)*$BD150</f>
        <v>2.5618527464555811E-4</v>
      </c>
      <c r="CA150" s="1">
        <f>((AN150-AM150)/BI$154)*$BD150</f>
        <v>0</v>
      </c>
      <c r="CB150" s="1">
        <f>((AO150-AN150)/BJ$154)*$BD150</f>
        <v>0</v>
      </c>
      <c r="CC150" s="1">
        <f>((AP150-AO150)/BK$154)*$BD150</f>
        <v>0</v>
      </c>
      <c r="CD150" s="1">
        <f>((AQ150-AP150)/BL$154)*$BD150</f>
        <v>0</v>
      </c>
      <c r="CE150" s="1">
        <f>((AR150-AQ150)/BM$154)*$BD150</f>
        <v>0</v>
      </c>
      <c r="CF150" s="1">
        <f>((AS150-AR150)/BN$154)*$BD150</f>
        <v>0</v>
      </c>
      <c r="CG150" s="1">
        <f>((AT150-AS150)/BO$154)*$BD150</f>
        <v>0</v>
      </c>
      <c r="CH150" s="1">
        <f>((AU150-AT150)/BP$154)*$BD150</f>
        <v>0</v>
      </c>
      <c r="CI150" s="1">
        <f>((AV150-AU150)/BQ$154)*$BD150</f>
        <v>0</v>
      </c>
      <c r="CJ150" s="1">
        <f>((AW150-AV150)/BR$154)*$BD150</f>
        <v>0</v>
      </c>
    </row>
    <row r="151" spans="1:88" x14ac:dyDescent="0.35">
      <c r="A151" s="1" t="s">
        <v>158</v>
      </c>
      <c r="B151" s="1">
        <v>1</v>
      </c>
      <c r="C151" s="1">
        <v>1</v>
      </c>
      <c r="D151" s="1">
        <v>1.0000001863341077</v>
      </c>
      <c r="E151" s="1">
        <v>0.99999981366592727</v>
      </c>
      <c r="F151" s="1">
        <v>1.0127825358517257</v>
      </c>
      <c r="G151" s="1">
        <v>0.9982097554413718</v>
      </c>
      <c r="H151" s="1">
        <v>0.9878852251181518</v>
      </c>
      <c r="I151" s="1">
        <v>0.99910444472178472</v>
      </c>
      <c r="J151" s="1">
        <v>1</v>
      </c>
      <c r="K151" s="1">
        <v>1.0371728934654318</v>
      </c>
      <c r="L151" s="1">
        <v>1.0251613082172082</v>
      </c>
      <c r="M151" s="1">
        <v>1</v>
      </c>
      <c r="N151" s="1">
        <v>0.99945237574608436</v>
      </c>
      <c r="O151" s="1">
        <v>1.0040241406300072</v>
      </c>
      <c r="P151" s="1">
        <v>0.99628521590136176</v>
      </c>
      <c r="Q151" s="1">
        <v>1.0080117535939235</v>
      </c>
      <c r="S151" s="1">
        <f t="shared" si="335"/>
        <v>100</v>
      </c>
      <c r="T151" s="1">
        <f t="shared" si="337"/>
        <v>100.00001863341078</v>
      </c>
      <c r="U151" s="1">
        <f t="shared" si="338"/>
        <v>100.00000000000003</v>
      </c>
      <c r="V151" s="1">
        <f t="shared" si="339"/>
        <v>101.27825358517261</v>
      </c>
      <c r="W151" s="1">
        <f t="shared" si="340"/>
        <v>101.09694074278438</v>
      </c>
      <c r="X151" s="1">
        <f t="shared" si="341"/>
        <v>99.872174064442007</v>
      </c>
      <c r="Y151" s="1">
        <f t="shared" si="342"/>
        <v>99.782733011811757</v>
      </c>
      <c r="Z151" s="1">
        <f t="shared" si="343"/>
        <v>99.782733011811757</v>
      </c>
      <c r="AA151" s="1">
        <f t="shared" si="344"/>
        <v>103.49194591574947</v>
      </c>
      <c r="AB151" s="1">
        <f t="shared" si="345"/>
        <v>106.09593866493428</v>
      </c>
      <c r="AC151" s="1">
        <f t="shared" si="346"/>
        <v>106.09593866493428</v>
      </c>
      <c r="AD151" s="1">
        <f t="shared" si="347"/>
        <v>106.03783795567942</v>
      </c>
      <c r="AE151" s="1">
        <f t="shared" si="348"/>
        <v>101.96120952089423</v>
      </c>
      <c r="AF151" s="1">
        <f t="shared" si="349"/>
        <v>0.98076514068330733</v>
      </c>
      <c r="AH151" s="1" t="str">
        <f t="shared" si="350"/>
        <v>C3211.38240</v>
      </c>
      <c r="AI151" s="1">
        <f t="shared" si="296"/>
        <v>98.076514068330738</v>
      </c>
      <c r="AJ151" s="1">
        <f t="shared" si="297"/>
        <v>98.07653234333047</v>
      </c>
      <c r="AK151" s="1">
        <f t="shared" si="298"/>
        <v>98.076514068330766</v>
      </c>
      <c r="AL151" s="1">
        <f t="shared" si="299"/>
        <v>99.33018062562148</v>
      </c>
      <c r="AM151" s="1">
        <f t="shared" si="300"/>
        <v>99.152355310248907</v>
      </c>
      <c r="AN151" s="1">
        <f t="shared" si="301"/>
        <v>97.951146846660222</v>
      </c>
      <c r="AO151" s="1">
        <f t="shared" si="302"/>
        <v>97.86342618009445</v>
      </c>
      <c r="AP151" s="1">
        <f t="shared" si="303"/>
        <v>97.86342618009445</v>
      </c>
      <c r="AQ151" s="1">
        <f t="shared" si="304"/>
        <v>101.50129289564926</v>
      </c>
      <c r="AR151" s="1">
        <f t="shared" si="305"/>
        <v>104.05519821064182</v>
      </c>
      <c r="AS151" s="1">
        <f t="shared" si="306"/>
        <v>104.05519821064182</v>
      </c>
      <c r="AT151" s="1">
        <f t="shared" si="307"/>
        <v>103.99821506035568</v>
      </c>
      <c r="AU151" s="1">
        <f t="shared" ref="AU151:AW151" si="368">AT151*O151</f>
        <v>104.41671850302828</v>
      </c>
      <c r="AV151" s="1">
        <f t="shared" si="368"/>
        <v>104.02883293750125</v>
      </c>
      <c r="AW151" s="1">
        <f t="shared" si="368"/>
        <v>104.86228631365994</v>
      </c>
      <c r="AX151" s="1" t="b">
        <f t="shared" si="309"/>
        <v>1</v>
      </c>
      <c r="AY151" s="1" t="s">
        <v>158</v>
      </c>
      <c r="AZ151" s="1" t="str">
        <f t="shared" si="333"/>
        <v>C32</v>
      </c>
      <c r="BA151" s="1" t="str">
        <f t="shared" si="334"/>
        <v>C3211</v>
      </c>
      <c r="BB151" s="1" t="s">
        <v>449</v>
      </c>
      <c r="BC151" s="1" t="s">
        <v>450</v>
      </c>
      <c r="BD151" s="1">
        <v>1.2884637124878191E-3</v>
      </c>
      <c r="BE151" s="1">
        <f t="shared" si="317"/>
        <v>0.12636802942434525</v>
      </c>
      <c r="BF151" s="1">
        <f t="shared" si="318"/>
        <v>0.12636805297101925</v>
      </c>
      <c r="BG151" s="1">
        <f t="shared" si="319"/>
        <v>0.12636802942434527</v>
      </c>
      <c r="BH151" s="1">
        <f t="shared" si="320"/>
        <v>0.12798333329097389</v>
      </c>
      <c r="BI151" s="1">
        <f t="shared" si="321"/>
        <v>0.12775421182495464</v>
      </c>
      <c r="BJ151" s="1">
        <f t="shared" si="322"/>
        <v>0.12620649830848737</v>
      </c>
      <c r="BK151" s="1">
        <f t="shared" si="323"/>
        <v>0.12609347341278213</v>
      </c>
      <c r="BL151" s="1">
        <f t="shared" si="324"/>
        <v>0.12609347341278213</v>
      </c>
      <c r="BM151" s="1">
        <f t="shared" si="325"/>
        <v>0.13078073266664172</v>
      </c>
      <c r="BN151" s="1">
        <f t="shared" si="326"/>
        <v>0.13407134699013942</v>
      </c>
      <c r="BO151" s="1">
        <f t="shared" si="327"/>
        <v>0.13407134699013942</v>
      </c>
      <c r="BP151" s="1">
        <f t="shared" si="328"/>
        <v>0.13399792626877249</v>
      </c>
      <c r="BQ151" s="1">
        <f t="shared" si="329"/>
        <v>0.13453715276820735</v>
      </c>
      <c r="BR151" s="1">
        <f t="shared" si="330"/>
        <v>0.13403737629242798</v>
      </c>
      <c r="BS151" s="1">
        <f t="shared" si="331"/>
        <v>0.1351112507236589</v>
      </c>
      <c r="BV151" s="1" t="s">
        <v>158</v>
      </c>
      <c r="BW151" s="1">
        <f>((AJ151-AI151)/BE$154)*$BD151</f>
        <v>2.3653684756272201E-10</v>
      </c>
      <c r="BX151" s="1">
        <f>((AK151-AJ151)/BF$154)*$BD151</f>
        <v>-2.3666625509052431E-10</v>
      </c>
      <c r="BY151" s="1">
        <f>((AL151-AK151)/BG$154)*$BD151</f>
        <v>1.6242721548062078E-5</v>
      </c>
      <c r="BZ151" s="1">
        <f>((AM151-AL151)/BH$154)*$BD151</f>
        <v>-2.2987518466630819E-6</v>
      </c>
      <c r="CA151" s="1">
        <f>((AN151-AM151)/BI$154)*$BD151</f>
        <v>-1.5511384928218207E-5</v>
      </c>
      <c r="CB151" s="1">
        <f>((AO151-AN151)/BJ$154)*$BD151</f>
        <v>-1.1321504188128123E-6</v>
      </c>
      <c r="CC151" s="1">
        <f>((AP151-AO151)/BK$154)*$BD151</f>
        <v>0</v>
      </c>
      <c r="CD151" s="1">
        <f>((AQ151-AP151)/BL$154)*$BD151</f>
        <v>4.6869728318429791E-5</v>
      </c>
      <c r="CE151" s="1">
        <f>((AR151-AQ151)/BM$154)*$BD151</f>
        <v>3.2773014717438829E-5</v>
      </c>
      <c r="CF151" s="1">
        <f>((AS151-AR151)/BN$154)*$BD151</f>
        <v>0</v>
      </c>
      <c r="CG151" s="1">
        <f>((AT151-AS151)/BO$154)*$BD151</f>
        <v>-7.2895883170582735E-7</v>
      </c>
      <c r="CH151" s="1">
        <f>((AU151-AT151)/BP$154)*$BD151</f>
        <v>5.3523601405467374E-6</v>
      </c>
      <c r="CI151" s="1">
        <f>((AV151-AU151)/BQ$154)*$BD151</f>
        <v>-4.9435781643736758E-6</v>
      </c>
      <c r="CJ151" s="1">
        <f>((AW151-AV151)/BR$154)*$BD151</f>
        <v>1.0603264179163269E-5</v>
      </c>
    </row>
    <row r="152" spans="1:88" x14ac:dyDescent="0.35">
      <c r="A152" s="1" t="s">
        <v>159</v>
      </c>
      <c r="B152" s="1">
        <v>1</v>
      </c>
      <c r="C152" s="1">
        <v>1</v>
      </c>
      <c r="D152" s="1">
        <v>1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1.032361103068917</v>
      </c>
      <c r="N152" s="1">
        <v>1.0068108428671469</v>
      </c>
      <c r="O152" s="1">
        <v>1</v>
      </c>
      <c r="P152" s="1">
        <v>1</v>
      </c>
      <c r="Q152" s="1">
        <v>1</v>
      </c>
      <c r="S152" s="1">
        <f>C152*100</f>
        <v>100</v>
      </c>
      <c r="T152" s="1">
        <f t="shared" si="337"/>
        <v>100</v>
      </c>
      <c r="U152" s="1">
        <f t="shared" si="338"/>
        <v>100</v>
      </c>
      <c r="V152" s="1">
        <f t="shared" si="339"/>
        <v>100</v>
      </c>
      <c r="W152" s="1">
        <f t="shared" si="340"/>
        <v>100</v>
      </c>
      <c r="X152" s="1">
        <f t="shared" si="341"/>
        <v>100</v>
      </c>
      <c r="Y152" s="1">
        <f t="shared" si="342"/>
        <v>100</v>
      </c>
      <c r="Z152" s="1">
        <f t="shared" si="343"/>
        <v>100</v>
      </c>
      <c r="AA152" s="1">
        <f t="shared" si="344"/>
        <v>100</v>
      </c>
      <c r="AB152" s="1">
        <f t="shared" si="345"/>
        <v>100</v>
      </c>
      <c r="AC152" s="1">
        <f t="shared" si="346"/>
        <v>103.2361103068917</v>
      </c>
      <c r="AD152" s="1">
        <f t="shared" si="347"/>
        <v>103.9392352324074</v>
      </c>
      <c r="AE152" s="1">
        <f t="shared" si="348"/>
        <v>100.59794546160826</v>
      </c>
      <c r="AF152" s="1">
        <f t="shared" si="349"/>
        <v>0.99405608674347667</v>
      </c>
      <c r="AH152" s="1" t="str">
        <f t="shared" si="350"/>
        <v>C3212.38997</v>
      </c>
      <c r="AI152" s="1">
        <f t="shared" si="296"/>
        <v>99.405608674347661</v>
      </c>
      <c r="AJ152" s="1">
        <f t="shared" si="297"/>
        <v>99.405608674347661</v>
      </c>
      <c r="AK152" s="1">
        <f t="shared" si="298"/>
        <v>99.405608674347661</v>
      </c>
      <c r="AL152" s="1">
        <f t="shared" si="299"/>
        <v>99.405608674347661</v>
      </c>
      <c r="AM152" s="1">
        <f t="shared" si="300"/>
        <v>99.405608674347661</v>
      </c>
      <c r="AN152" s="1">
        <f t="shared" si="301"/>
        <v>99.405608674347661</v>
      </c>
      <c r="AO152" s="1">
        <f t="shared" si="302"/>
        <v>99.405608674347661</v>
      </c>
      <c r="AP152" s="1">
        <f t="shared" si="303"/>
        <v>99.405608674347661</v>
      </c>
      <c r="AQ152" s="1">
        <f t="shared" si="304"/>
        <v>99.405608674347661</v>
      </c>
      <c r="AR152" s="1">
        <f t="shared" si="305"/>
        <v>99.405608674347661</v>
      </c>
      <c r="AS152" s="1">
        <f t="shared" si="306"/>
        <v>102.62248382228667</v>
      </c>
      <c r="AT152" s="1">
        <f t="shared" si="307"/>
        <v>103.32142943423659</v>
      </c>
      <c r="AU152" s="1">
        <f t="shared" ref="AU152:AW152" si="369">AT152*O152</f>
        <v>103.32142943423659</v>
      </c>
      <c r="AV152" s="1">
        <f t="shared" si="369"/>
        <v>103.32142943423659</v>
      </c>
      <c r="AW152" s="1">
        <f t="shared" si="369"/>
        <v>103.32142943423659</v>
      </c>
      <c r="AX152" s="1" t="b">
        <f t="shared" si="309"/>
        <v>1</v>
      </c>
      <c r="AY152" s="1" t="s">
        <v>159</v>
      </c>
      <c r="AZ152" s="1" t="str">
        <f t="shared" si="333"/>
        <v>C32</v>
      </c>
      <c r="BA152" s="1" t="str">
        <f t="shared" si="334"/>
        <v>C3212</v>
      </c>
      <c r="BB152" s="1" t="s">
        <v>451</v>
      </c>
      <c r="BC152" s="1" t="s">
        <v>452</v>
      </c>
      <c r="BD152" s="1">
        <v>6.7362422135816714E-3</v>
      </c>
      <c r="BE152" s="1">
        <f t="shared" si="317"/>
        <v>0.66962025741892106</v>
      </c>
      <c r="BF152" s="1">
        <f t="shared" si="318"/>
        <v>0.66962025741892106</v>
      </c>
      <c r="BG152" s="1">
        <f t="shared" si="319"/>
        <v>0.66962025741892106</v>
      </c>
      <c r="BH152" s="1">
        <f t="shared" si="320"/>
        <v>0.66962025741892106</v>
      </c>
      <c r="BI152" s="1">
        <f t="shared" si="321"/>
        <v>0.66962025741892106</v>
      </c>
      <c r="BJ152" s="1">
        <f t="shared" si="322"/>
        <v>0.66962025741892106</v>
      </c>
      <c r="BK152" s="1">
        <f t="shared" si="323"/>
        <v>0.66962025741892106</v>
      </c>
      <c r="BL152" s="1">
        <f t="shared" si="324"/>
        <v>0.66962025741892106</v>
      </c>
      <c r="BM152" s="1">
        <f t="shared" si="325"/>
        <v>0.66962025741892106</v>
      </c>
      <c r="BN152" s="1">
        <f t="shared" si="326"/>
        <v>0.66962025741892106</v>
      </c>
      <c r="BO152" s="1">
        <f t="shared" si="327"/>
        <v>0.69128990758628961</v>
      </c>
      <c r="BP152" s="1">
        <f t="shared" si="328"/>
        <v>0.69599817452250434</v>
      </c>
      <c r="BQ152" s="1">
        <f t="shared" si="329"/>
        <v>0.69599817452250434</v>
      </c>
      <c r="BR152" s="1">
        <f t="shared" si="330"/>
        <v>0.69599817452250434</v>
      </c>
      <c r="BS152" s="1">
        <f t="shared" si="331"/>
        <v>0.69599817452250434</v>
      </c>
      <c r="BV152" s="1" t="s">
        <v>159</v>
      </c>
      <c r="BW152" s="1">
        <f>((AJ152-AI152)/BE$154)*$BD152</f>
        <v>0</v>
      </c>
      <c r="BX152" s="1">
        <f>((AK152-AJ152)/BF$154)*$BD152</f>
        <v>0</v>
      </c>
      <c r="BY152" s="1">
        <f>((AL152-AK152)/BG$154)*$BD152</f>
        <v>0</v>
      </c>
      <c r="BZ152" s="1">
        <f>((AM152-AL152)/BH$154)*$BD152</f>
        <v>0</v>
      </c>
      <c r="CA152" s="1">
        <f>((AN152-AM152)/BI$154)*$BD152</f>
        <v>0</v>
      </c>
      <c r="CB152" s="1">
        <f>((AO152-AN152)/BJ$154)*$BD152</f>
        <v>0</v>
      </c>
      <c r="CC152" s="1">
        <f>((AP152-AO152)/BK$154)*$BD152</f>
        <v>0</v>
      </c>
      <c r="CD152" s="1">
        <f>((AQ152-AP152)/BL$154)*$BD152</f>
        <v>0</v>
      </c>
      <c r="CE152" s="1">
        <f>((AR152-AQ152)/BM$154)*$BD152</f>
        <v>0</v>
      </c>
      <c r="CF152" s="1">
        <f>((AS152-AR152)/BN$154)*$BD152</f>
        <v>2.1564108356817251E-4</v>
      </c>
      <c r="CG152" s="1">
        <f>((AT152-AS152)/BO$154)*$BD152</f>
        <v>4.6746105204135384E-5</v>
      </c>
      <c r="CH152" s="1">
        <f>((AU152-AT152)/BP$154)*$BD152</f>
        <v>0</v>
      </c>
      <c r="CI152" s="1">
        <f>((AV152-AU152)/BQ$154)*$BD152</f>
        <v>0</v>
      </c>
      <c r="CJ152" s="1">
        <f>((AW152-AV152)/BR$154)*$BD152</f>
        <v>0</v>
      </c>
    </row>
    <row r="154" spans="1:88" x14ac:dyDescent="0.35">
      <c r="BD154" s="1">
        <f t="shared" ref="BD154:BS154" si="370">SUMPRODUCT($BD$3:$BD$152,AH3:AH152)</f>
        <v>0</v>
      </c>
      <c r="BE154" s="1">
        <f t="shared" si="370"/>
        <v>99.547593718491441</v>
      </c>
      <c r="BF154" s="1">
        <f t="shared" si="370"/>
        <v>99.49316160430098</v>
      </c>
      <c r="BG154" s="1">
        <f t="shared" si="370"/>
        <v>99.447858035917562</v>
      </c>
      <c r="BH154" s="1">
        <f t="shared" si="370"/>
        <v>99.672118307097904</v>
      </c>
      <c r="BI154" s="1">
        <f t="shared" si="370"/>
        <v>99.779195966678415</v>
      </c>
      <c r="BJ154" s="1">
        <f t="shared" si="370"/>
        <v>99.832048663428111</v>
      </c>
      <c r="BK154" s="1">
        <f t="shared" si="370"/>
        <v>99.860726560842053</v>
      </c>
      <c r="BL154" s="1">
        <f t="shared" si="370"/>
        <v>100.00611102361616</v>
      </c>
      <c r="BM154" s="1">
        <f t="shared" si="370"/>
        <v>100.4062138277051</v>
      </c>
      <c r="BN154" s="1">
        <f t="shared" si="370"/>
        <v>100.48943275930955</v>
      </c>
      <c r="BO154" s="1">
        <f t="shared" si="370"/>
        <v>100.7199833152781</v>
      </c>
      <c r="BP154" s="1">
        <f t="shared" si="370"/>
        <v>100.74555621733491</v>
      </c>
      <c r="BQ154" s="1">
        <f t="shared" si="370"/>
        <v>101.0961006707803</v>
      </c>
      <c r="BR154" s="1">
        <f t="shared" si="370"/>
        <v>101.277721000409</v>
      </c>
      <c r="BS154" s="1">
        <f t="shared" si="370"/>
        <v>101.7219925328429</v>
      </c>
      <c r="BT154" s="5"/>
      <c r="BU154" s="5"/>
      <c r="BV154" s="5"/>
      <c r="BW154" s="12">
        <f>SUM(BW3:BW152)</f>
        <v>-5.4679487627133183E-4</v>
      </c>
      <c r="BX154" s="12">
        <f>SUM(BX3:BX152)</f>
        <v>-4.5534353972613643E-4</v>
      </c>
      <c r="BY154" s="12">
        <f t="shared" ref="BY154:CJ154" si="371">SUM(BY3:BY152)</f>
        <v>2.2550538102017511E-3</v>
      </c>
      <c r="BZ154" s="12">
        <f t="shared" si="371"/>
        <v>1.0742990256374673E-3</v>
      </c>
      <c r="CA154" s="12">
        <f t="shared" si="371"/>
        <v>5.2969655886323463E-4</v>
      </c>
      <c r="CB154" s="12">
        <f t="shared" si="371"/>
        <v>2.8726143355650485E-4</v>
      </c>
      <c r="CC154" s="12">
        <f t="shared" si="371"/>
        <v>1.4558722711229567E-3</v>
      </c>
      <c r="CD154" s="12">
        <f t="shared" si="371"/>
        <v>4.0007835520610427E-3</v>
      </c>
      <c r="CE154" s="12">
        <f t="shared" si="371"/>
        <v>8.2882252434420065E-4</v>
      </c>
      <c r="CF154" s="12">
        <f t="shared" si="371"/>
        <v>2.2942766183263502E-3</v>
      </c>
      <c r="CG154" s="12">
        <f t="shared" si="371"/>
        <v>2.5390097590416303E-4</v>
      </c>
      <c r="CH154" s="12">
        <f t="shared" si="371"/>
        <v>3.4795028843673027E-3</v>
      </c>
      <c r="CI154" s="12">
        <f t="shared" si="371"/>
        <v>1.7965117192809828E-3</v>
      </c>
      <c r="CJ154" s="12">
        <f t="shared" si="371"/>
        <v>4.3866659719970598E-3</v>
      </c>
    </row>
    <row r="155" spans="1:88" x14ac:dyDescent="0.35">
      <c r="BF155" s="11">
        <f>(BF154/BE154-1)</f>
        <v>-5.4679487627184997E-4</v>
      </c>
      <c r="BG155" s="11">
        <f t="shared" ref="BG155:BS155" si="372">(BG154/BF154-1)</f>
        <v>-4.5534353972587205E-4</v>
      </c>
      <c r="BH155" s="11">
        <f t="shared" si="372"/>
        <v>2.25505381020219E-3</v>
      </c>
      <c r="BI155" s="11">
        <f t="shared" si="372"/>
        <v>1.0742990256371598E-3</v>
      </c>
      <c r="BJ155" s="11">
        <f t="shared" si="372"/>
        <v>5.2969655886325739E-4</v>
      </c>
      <c r="BK155" s="11">
        <f t="shared" si="372"/>
        <v>2.8726143355650713E-4</v>
      </c>
      <c r="BL155" s="11">
        <f t="shared" si="372"/>
        <v>1.4558722711228711E-3</v>
      </c>
      <c r="BM155" s="11">
        <f t="shared" si="372"/>
        <v>4.0007835520616819E-3</v>
      </c>
      <c r="BN155" s="11">
        <f t="shared" si="372"/>
        <v>8.288225243435754E-4</v>
      </c>
      <c r="BO155" s="11">
        <f t="shared" si="372"/>
        <v>2.2942766183262631E-3</v>
      </c>
      <c r="BP155" s="11">
        <f t="shared" si="372"/>
        <v>2.5390097590416438E-4</v>
      </c>
      <c r="BQ155" s="11">
        <f t="shared" si="372"/>
        <v>3.4795028843672693E-3</v>
      </c>
      <c r="BR155" s="11">
        <f t="shared" si="372"/>
        <v>1.7965117192813018E-3</v>
      </c>
      <c r="BS155" s="11">
        <f t="shared" si="372"/>
        <v>4.3866659719971057E-3</v>
      </c>
      <c r="BT155" s="5"/>
      <c r="BW155" s="12">
        <v>-5.4679487627184997E-4</v>
      </c>
      <c r="BX155" s="12">
        <v>-4.5534353972587205E-4</v>
      </c>
      <c r="BY155" s="12">
        <v>2.25505381020219E-3</v>
      </c>
      <c r="BZ155" s="12">
        <v>1.0742990256371598E-3</v>
      </c>
      <c r="CA155" s="12">
        <v>5.2969655886325739E-4</v>
      </c>
      <c r="CB155" s="12">
        <v>2.8726143355650713E-4</v>
      </c>
      <c r="CC155" s="12">
        <v>1.4558722711228711E-3</v>
      </c>
      <c r="CD155" s="12">
        <v>4.0007835520616819E-3</v>
      </c>
      <c r="CE155" s="12">
        <v>8.288225243435754E-4</v>
      </c>
      <c r="CF155" s="12">
        <v>2.2942766183262631E-3</v>
      </c>
      <c r="CG155" s="12">
        <v>2.5390097590416438E-4</v>
      </c>
      <c r="CH155" s="12">
        <v>3.4795028843672693E-3</v>
      </c>
      <c r="CI155" s="12">
        <v>1.7965117192813018E-3</v>
      </c>
      <c r="CJ155" s="12">
        <v>4.3866659719971057E-3</v>
      </c>
    </row>
  </sheetData>
  <sortState xmlns:xlrd2="http://schemas.microsoft.com/office/spreadsheetml/2017/richdata2" ref="AY3:BD152">
    <sortCondition ref="AY3:AY1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BB25-2FA8-463D-9027-88DE6DE30FEF}">
  <dimension ref="A3:X153"/>
  <sheetViews>
    <sheetView topLeftCell="A44" workbookViewId="0">
      <selection activeCell="E55" sqref="E55"/>
    </sheetView>
  </sheetViews>
  <sheetFormatPr defaultRowHeight="14.5" x14ac:dyDescent="0.35"/>
  <cols>
    <col min="1" max="1" width="12.453125" bestFit="1" customWidth="1"/>
    <col min="2" max="2" width="11.81640625" bestFit="1" customWidth="1"/>
    <col min="3" max="3" width="15.81640625" bestFit="1" customWidth="1"/>
    <col min="4" max="4" width="16.36328125" bestFit="1" customWidth="1"/>
    <col min="5" max="5" width="14.453125" bestFit="1" customWidth="1"/>
    <col min="6" max="6" width="13" bestFit="1" customWidth="1"/>
    <col min="12" max="12" width="14.7265625" customWidth="1"/>
  </cols>
  <sheetData>
    <row r="3" spans="1:24" x14ac:dyDescent="0.35">
      <c r="A3" s="6" t="s">
        <v>458</v>
      </c>
      <c r="B3" t="s">
        <v>478</v>
      </c>
      <c r="C3" t="s">
        <v>482</v>
      </c>
      <c r="D3" t="s">
        <v>479</v>
      </c>
      <c r="E3" t="s">
        <v>480</v>
      </c>
      <c r="F3" t="s">
        <v>481</v>
      </c>
      <c r="H3" t="s">
        <v>458</v>
      </c>
      <c r="I3" t="s">
        <v>478</v>
      </c>
      <c r="J3" t="s">
        <v>482</v>
      </c>
      <c r="K3" t="s">
        <v>479</v>
      </c>
      <c r="L3" t="s">
        <v>480</v>
      </c>
      <c r="M3" t="s">
        <v>481</v>
      </c>
      <c r="O3" t="s">
        <v>483</v>
      </c>
      <c r="P3" t="s">
        <v>163</v>
      </c>
      <c r="Q3" t="s">
        <v>484</v>
      </c>
      <c r="R3" t="s">
        <v>3</v>
      </c>
      <c r="T3" t="s">
        <v>163</v>
      </c>
      <c r="U3" t="s">
        <v>484</v>
      </c>
      <c r="V3" t="s">
        <v>3</v>
      </c>
    </row>
    <row r="4" spans="1:24" x14ac:dyDescent="0.35">
      <c r="A4" s="7" t="s">
        <v>505</v>
      </c>
      <c r="B4">
        <v>7.6555325906174518E-2</v>
      </c>
      <c r="C4">
        <v>7.8118282425938723</v>
      </c>
      <c r="D4">
        <v>7.7506629190490184</v>
      </c>
      <c r="E4">
        <v>7.7383033925958413</v>
      </c>
      <c r="F4">
        <v>7.6416398964902648</v>
      </c>
      <c r="H4" t="s">
        <v>459</v>
      </c>
      <c r="I4">
        <v>0.41502392277958883</v>
      </c>
      <c r="J4">
        <v>42.095721046623325</v>
      </c>
      <c r="K4">
        <v>42.2779068660004</v>
      </c>
      <c r="L4">
        <v>42.339792019456432</v>
      </c>
      <c r="M4">
        <v>42.704255358693672</v>
      </c>
      <c r="O4">
        <f>J4/$I4</f>
        <v>101.42962546517963</v>
      </c>
      <c r="P4">
        <f t="shared" ref="P4:R4" si="0">K4/$I4</f>
        <v>101.86860213466147</v>
      </c>
      <c r="Q4">
        <f t="shared" si="0"/>
        <v>102.01771439074918</v>
      </c>
      <c r="R4">
        <f t="shared" si="0"/>
        <v>102.89588868199552</v>
      </c>
      <c r="T4" s="8">
        <f>P4/O4-1</f>
        <v>4.3278940198052673E-3</v>
      </c>
      <c r="U4" s="8">
        <f>Q4/P4-1</f>
        <v>1.4637705138094148E-3</v>
      </c>
      <c r="V4" s="8">
        <f>R4/Q4-1</f>
        <v>8.6080569094377779E-3</v>
      </c>
      <c r="W4" t="s">
        <v>459</v>
      </c>
      <c r="X4" t="s">
        <v>485</v>
      </c>
    </row>
    <row r="5" spans="1:24" x14ac:dyDescent="0.35">
      <c r="A5" s="7" t="s">
        <v>506</v>
      </c>
      <c r="B5">
        <v>1.4333404829023962E-2</v>
      </c>
      <c r="C5">
        <v>1.4153248250594961</v>
      </c>
      <c r="D5">
        <v>1.4191469648979944</v>
      </c>
      <c r="E5">
        <v>1.420838620996262</v>
      </c>
      <c r="F5">
        <v>1.4207694356379061</v>
      </c>
      <c r="H5" t="s">
        <v>460</v>
      </c>
      <c r="I5">
        <v>4.5226038240204172E-2</v>
      </c>
      <c r="J5">
        <v>4.5229032184978406</v>
      </c>
      <c r="K5">
        <v>4.520786206972824</v>
      </c>
      <c r="L5">
        <v>4.523523703734158</v>
      </c>
      <c r="M5">
        <v>4.523523703734158</v>
      </c>
      <c r="O5">
        <f t="shared" ref="O5:O22" si="1">J5/$I5</f>
        <v>100.00661995808329</v>
      </c>
      <c r="P5">
        <f t="shared" ref="P5:P22" si="2">K5/$I5</f>
        <v>99.959810385381545</v>
      </c>
      <c r="Q5">
        <f t="shared" ref="Q5:Q22" si="3">L5/$I5</f>
        <v>100.02033960412042</v>
      </c>
      <c r="R5">
        <f t="shared" ref="R5:R22" si="4">M5/$I5</f>
        <v>100.02033960412042</v>
      </c>
      <c r="T5" s="8">
        <f t="shared" ref="T5:T22" si="5">P5/O5-1</f>
        <v>-4.6806474132776721E-4</v>
      </c>
      <c r="U5" s="8">
        <f t="shared" ref="U5:U22" si="6">Q5/P5-1</f>
        <v>6.0553554979270174E-4</v>
      </c>
      <c r="V5" s="8">
        <f t="shared" ref="V5:V22" si="7">R5/Q5-1</f>
        <v>0</v>
      </c>
      <c r="W5" t="s">
        <v>460</v>
      </c>
      <c r="X5" t="s">
        <v>486</v>
      </c>
    </row>
    <row r="6" spans="1:24" x14ac:dyDescent="0.35">
      <c r="A6" s="7" t="s">
        <v>507</v>
      </c>
      <c r="B6">
        <v>5.7674403134640846E-2</v>
      </c>
      <c r="C6">
        <v>6.1088238480333032</v>
      </c>
      <c r="D6">
        <v>6.2713158100745741</v>
      </c>
      <c r="E6">
        <v>6.1538080805709425</v>
      </c>
      <c r="F6">
        <v>6.447594695472068</v>
      </c>
      <c r="H6" t="s">
        <v>461</v>
      </c>
      <c r="I6">
        <v>2.7560886271523199E-2</v>
      </c>
      <c r="J6">
        <v>2.7323041423405843</v>
      </c>
      <c r="K6">
        <v>2.759101383630834</v>
      </c>
      <c r="L6">
        <v>2.758762094099819</v>
      </c>
      <c r="M6">
        <v>2.7573400409057776</v>
      </c>
      <c r="O6">
        <f t="shared" si="1"/>
        <v>99.13702032012263</v>
      </c>
      <c r="P6">
        <f t="shared" si="2"/>
        <v>100.10931275753737</v>
      </c>
      <c r="Q6">
        <f t="shared" si="3"/>
        <v>100.09700221252541</v>
      </c>
      <c r="R6">
        <f t="shared" si="4"/>
        <v>100.0454054249609</v>
      </c>
      <c r="T6" s="8">
        <f t="shared" si="5"/>
        <v>9.8075616381763098E-3</v>
      </c>
      <c r="U6" s="8">
        <f t="shared" si="6"/>
        <v>-1.2297102709890595E-4</v>
      </c>
      <c r="V6" s="8">
        <f t="shared" si="7"/>
        <v>-5.1546786041556381E-4</v>
      </c>
      <c r="W6" t="s">
        <v>461</v>
      </c>
      <c r="X6" t="s">
        <v>487</v>
      </c>
    </row>
    <row r="7" spans="1:24" x14ac:dyDescent="0.35">
      <c r="A7" s="7" t="s">
        <v>508</v>
      </c>
      <c r="B7">
        <v>1.9659914850135591E-2</v>
      </c>
      <c r="C7">
        <v>1.9715771118995222</v>
      </c>
      <c r="D7">
        <v>1.9704646841539533</v>
      </c>
      <c r="E7">
        <v>1.9807751046495232</v>
      </c>
      <c r="F7">
        <v>1.9907018385082518</v>
      </c>
      <c r="H7" t="s">
        <v>462</v>
      </c>
      <c r="I7">
        <v>7.5032577137738726E-2</v>
      </c>
      <c r="J7">
        <v>7.4820426777746576</v>
      </c>
      <c r="K7">
        <v>7.4956153466771784</v>
      </c>
      <c r="L7">
        <v>7.5019429454009163</v>
      </c>
      <c r="M7">
        <v>7.5163016302889112</v>
      </c>
      <c r="O7">
        <f t="shared" si="1"/>
        <v>99.717255666691685</v>
      </c>
      <c r="P7">
        <f t="shared" si="2"/>
        <v>99.898146013528702</v>
      </c>
      <c r="Q7">
        <f t="shared" si="3"/>
        <v>99.982477366190651</v>
      </c>
      <c r="R7">
        <f t="shared" si="4"/>
        <v>100.17384337593914</v>
      </c>
      <c r="T7" s="8">
        <f t="shared" si="5"/>
        <v>1.8140325425886061E-3</v>
      </c>
      <c r="U7" s="8">
        <f t="shared" si="6"/>
        <v>8.441733508299798E-4</v>
      </c>
      <c r="V7" s="8">
        <f t="shared" si="7"/>
        <v>1.9139954799038961E-3</v>
      </c>
      <c r="W7" t="s">
        <v>462</v>
      </c>
      <c r="X7" t="s">
        <v>488</v>
      </c>
    </row>
    <row r="8" spans="1:24" x14ac:dyDescent="0.35">
      <c r="A8" s="7" t="s">
        <v>509</v>
      </c>
      <c r="B8">
        <v>2.5885364352356551E-2</v>
      </c>
      <c r="C8">
        <v>2.5746089827092553</v>
      </c>
      <c r="D8">
        <v>2.5713611399389098</v>
      </c>
      <c r="E8">
        <v>2.5876581966886536</v>
      </c>
      <c r="F8">
        <v>2.5786061055200475</v>
      </c>
      <c r="H8" t="s">
        <v>463</v>
      </c>
      <c r="I8">
        <v>1.0077211714344263E-2</v>
      </c>
      <c r="J8">
        <v>1.0073577847982715</v>
      </c>
      <c r="K8">
        <v>1.032533610967334</v>
      </c>
      <c r="L8">
        <v>1.037474800242967</v>
      </c>
      <c r="M8">
        <v>1.0355910812991456</v>
      </c>
      <c r="O8">
        <f t="shared" si="1"/>
        <v>99.963939763651339</v>
      </c>
      <c r="P8">
        <f t="shared" si="2"/>
        <v>102.46223263301978</v>
      </c>
      <c r="Q8">
        <f t="shared" si="3"/>
        <v>102.95256561556489</v>
      </c>
      <c r="R8">
        <f t="shared" si="4"/>
        <v>102.7656370288468</v>
      </c>
      <c r="T8" s="8">
        <f t="shared" si="5"/>
        <v>2.4991940846621929E-2</v>
      </c>
      <c r="U8" s="8">
        <f t="shared" si="6"/>
        <v>4.7854996904206359E-3</v>
      </c>
      <c r="V8" s="8">
        <f t="shared" si="7"/>
        <v>-1.8156768177697291E-3</v>
      </c>
      <c r="W8" t="s">
        <v>463</v>
      </c>
      <c r="X8" t="s">
        <v>489</v>
      </c>
    </row>
    <row r="9" spans="1:24" x14ac:dyDescent="0.35">
      <c r="A9" s="7" t="s">
        <v>510</v>
      </c>
      <c r="B9">
        <v>0.11389467486785151</v>
      </c>
      <c r="C9">
        <v>11.462719637569551</v>
      </c>
      <c r="D9">
        <v>11.517676607998215</v>
      </c>
      <c r="E9">
        <v>11.658030060353569</v>
      </c>
      <c r="F9">
        <v>11.822364962597277</v>
      </c>
      <c r="H9" t="s">
        <v>464</v>
      </c>
      <c r="I9">
        <v>1.9712632401548844E-2</v>
      </c>
      <c r="J9">
        <v>1.9775602147272751</v>
      </c>
      <c r="K9">
        <v>1.9873841261979273</v>
      </c>
      <c r="L9">
        <v>1.9979761076563112</v>
      </c>
      <c r="M9">
        <v>2.0042319145969341</v>
      </c>
      <c r="O9">
        <f t="shared" si="1"/>
        <v>100.31943854296679</v>
      </c>
      <c r="P9">
        <f t="shared" si="2"/>
        <v>100.81779468691235</v>
      </c>
      <c r="Q9">
        <f t="shared" si="3"/>
        <v>101.35511417030878</v>
      </c>
      <c r="R9">
        <f t="shared" si="4"/>
        <v>101.67246432493</v>
      </c>
      <c r="T9" s="8">
        <f t="shared" si="5"/>
        <v>4.967692714230143E-3</v>
      </c>
      <c r="U9" s="8">
        <f t="shared" si="6"/>
        <v>5.3296095700672286E-3</v>
      </c>
      <c r="V9" s="8">
        <f t="shared" si="7"/>
        <v>3.1310719465815762E-3</v>
      </c>
      <c r="W9" t="s">
        <v>464</v>
      </c>
      <c r="X9" t="s">
        <v>490</v>
      </c>
    </row>
    <row r="10" spans="1:24" x14ac:dyDescent="0.35">
      <c r="A10" s="7" t="s">
        <v>511</v>
      </c>
      <c r="B10">
        <v>3.9506309984605505E-2</v>
      </c>
      <c r="C10">
        <v>3.9722123717746021</v>
      </c>
      <c r="D10">
        <v>3.9745106421509186</v>
      </c>
      <c r="E10">
        <v>3.9712145110324464</v>
      </c>
      <c r="F10">
        <v>3.9729226774882536</v>
      </c>
      <c r="H10" t="s">
        <v>465</v>
      </c>
      <c r="I10">
        <v>2.5288330236080691E-2</v>
      </c>
      <c r="J10">
        <v>2.5192859916966941</v>
      </c>
      <c r="K10">
        <v>2.5203582709475518</v>
      </c>
      <c r="L10">
        <v>2.5588869861853407</v>
      </c>
      <c r="M10">
        <v>2.5678867662198606</v>
      </c>
      <c r="O10">
        <f t="shared" si="1"/>
        <v>99.622472823541599</v>
      </c>
      <c r="P10">
        <f t="shared" si="2"/>
        <v>99.664874960845552</v>
      </c>
      <c r="Q10">
        <f t="shared" si="3"/>
        <v>101.18845183911714</v>
      </c>
      <c r="R10">
        <f t="shared" si="4"/>
        <v>101.54433852481374</v>
      </c>
      <c r="T10" s="8">
        <f t="shared" si="5"/>
        <v>4.2562823529834759E-4</v>
      </c>
      <c r="U10" s="8">
        <f t="shared" si="6"/>
        <v>1.5286999345257124E-2</v>
      </c>
      <c r="V10" s="8">
        <f t="shared" si="7"/>
        <v>3.5170681953158311E-3</v>
      </c>
      <c r="W10" t="s">
        <v>465</v>
      </c>
      <c r="X10" t="s">
        <v>491</v>
      </c>
    </row>
    <row r="11" spans="1:24" x14ac:dyDescent="0.35">
      <c r="A11" s="7" t="s">
        <v>512</v>
      </c>
      <c r="B11">
        <v>6.5211849649000004E-3</v>
      </c>
      <c r="C11">
        <v>0.66996968827983139</v>
      </c>
      <c r="D11">
        <v>0.67311480658454581</v>
      </c>
      <c r="E11">
        <v>0.67310759920019847</v>
      </c>
      <c r="F11">
        <v>0.66982969511976198</v>
      </c>
      <c r="H11" t="s">
        <v>466</v>
      </c>
      <c r="I11">
        <v>9.4820987499744849E-3</v>
      </c>
      <c r="J11">
        <v>0.9435296683094061</v>
      </c>
      <c r="K11">
        <v>0.9435296683094061</v>
      </c>
      <c r="L11">
        <v>0.99594798321548472</v>
      </c>
      <c r="M11">
        <v>0.99594798321548472</v>
      </c>
      <c r="O11">
        <f t="shared" si="1"/>
        <v>99.5064165844028</v>
      </c>
      <c r="P11">
        <f t="shared" si="2"/>
        <v>99.5064165844028</v>
      </c>
      <c r="Q11">
        <f t="shared" si="3"/>
        <v>105.03455083909189</v>
      </c>
      <c r="R11">
        <f t="shared" si="4"/>
        <v>105.03455083909189</v>
      </c>
      <c r="T11" s="8">
        <f t="shared" si="5"/>
        <v>0</v>
      </c>
      <c r="U11" s="8">
        <f t="shared" si="6"/>
        <v>5.5555555555556024E-2</v>
      </c>
      <c r="V11" s="8">
        <f t="shared" si="7"/>
        <v>0</v>
      </c>
      <c r="W11" t="s">
        <v>466</v>
      </c>
      <c r="X11" t="s">
        <v>492</v>
      </c>
    </row>
    <row r="12" spans="1:24" x14ac:dyDescent="0.35">
      <c r="A12" s="7" t="s">
        <v>513</v>
      </c>
      <c r="B12">
        <v>4.6279761451362483E-3</v>
      </c>
      <c r="C12">
        <v>0.46279761451362483</v>
      </c>
      <c r="D12">
        <v>0.46279761451362483</v>
      </c>
      <c r="E12">
        <v>0.46279761451362483</v>
      </c>
      <c r="F12">
        <v>0.46279761451362483</v>
      </c>
      <c r="H12" t="s">
        <v>467</v>
      </c>
      <c r="I12">
        <v>8.4199791540698662E-2</v>
      </c>
      <c r="J12">
        <v>8.4938727699581804</v>
      </c>
      <c r="K12">
        <v>8.5331279914078966</v>
      </c>
      <c r="L12">
        <v>8.5656835950245505</v>
      </c>
      <c r="M12">
        <v>8.6070092320443763</v>
      </c>
      <c r="O12">
        <f t="shared" si="1"/>
        <v>100.8775985609489</v>
      </c>
      <c r="P12">
        <f t="shared" si="2"/>
        <v>101.34381374665683</v>
      </c>
      <c r="Q12">
        <f t="shared" si="3"/>
        <v>101.73046082761685</v>
      </c>
      <c r="R12">
        <f t="shared" si="4"/>
        <v>102.22126533275451</v>
      </c>
      <c r="T12" s="8">
        <f t="shared" si="5"/>
        <v>4.6215928249546678E-3</v>
      </c>
      <c r="U12" s="8">
        <f t="shared" si="6"/>
        <v>3.8152016059567195E-3</v>
      </c>
      <c r="V12" s="8">
        <f t="shared" si="7"/>
        <v>4.824557965674936E-3</v>
      </c>
      <c r="W12" t="s">
        <v>467</v>
      </c>
      <c r="X12" t="s">
        <v>493</v>
      </c>
    </row>
    <row r="13" spans="1:24" x14ac:dyDescent="0.35">
      <c r="A13" s="7" t="s">
        <v>514</v>
      </c>
      <c r="B13">
        <v>2.9645012862897713E-2</v>
      </c>
      <c r="C13">
        <v>3.0042699928051082</v>
      </c>
      <c r="D13">
        <v>3.0272008040455853</v>
      </c>
      <c r="E13">
        <v>3.053035235809801</v>
      </c>
      <c r="F13">
        <v>3.0570384610243888</v>
      </c>
      <c r="H13" t="s">
        <v>468</v>
      </c>
      <c r="I13">
        <v>2.1418793931301517E-2</v>
      </c>
      <c r="J13">
        <v>2.1467475758782859</v>
      </c>
      <c r="K13">
        <v>2.168729810016059</v>
      </c>
      <c r="L13">
        <v>2.1694034654763961</v>
      </c>
      <c r="M13">
        <v>2.1694034654763961</v>
      </c>
      <c r="O13">
        <f t="shared" si="1"/>
        <v>100.2272855681673</v>
      </c>
      <c r="P13">
        <f t="shared" si="2"/>
        <v>101.25359144740023</v>
      </c>
      <c r="Q13">
        <f t="shared" si="3"/>
        <v>101.2850430530554</v>
      </c>
      <c r="R13">
        <f t="shared" si="4"/>
        <v>101.2850430530554</v>
      </c>
      <c r="T13" s="8">
        <f t="shared" si="5"/>
        <v>1.0239785238271404E-2</v>
      </c>
      <c r="U13" s="8">
        <f t="shared" si="6"/>
        <v>3.1062212416954615E-4</v>
      </c>
      <c r="V13" s="8">
        <f t="shared" si="7"/>
        <v>0</v>
      </c>
      <c r="W13" t="s">
        <v>468</v>
      </c>
      <c r="X13" t="s">
        <v>494</v>
      </c>
    </row>
    <row r="14" spans="1:24" x14ac:dyDescent="0.35">
      <c r="A14" s="7" t="s">
        <v>515</v>
      </c>
      <c r="B14">
        <v>2.67203508818665E-2</v>
      </c>
      <c r="C14">
        <v>2.6415887313851454</v>
      </c>
      <c r="D14">
        <v>2.639654872593046</v>
      </c>
      <c r="E14">
        <v>2.6402236030455661</v>
      </c>
      <c r="F14">
        <v>2.6399899763218153</v>
      </c>
      <c r="H14" t="s">
        <v>469</v>
      </c>
      <c r="I14">
        <v>6.1354259757413501E-2</v>
      </c>
      <c r="J14">
        <v>6.1353133068299197</v>
      </c>
      <c r="K14">
        <v>6.1587382118511691</v>
      </c>
      <c r="L14">
        <v>6.1581343034063369</v>
      </c>
      <c r="M14">
        <v>6.1577555616554651</v>
      </c>
      <c r="O14">
        <f t="shared" si="1"/>
        <v>99.998163633431872</v>
      </c>
      <c r="P14">
        <f t="shared" si="2"/>
        <v>100.37996116654317</v>
      </c>
      <c r="Q14">
        <f t="shared" si="3"/>
        <v>100.37011819154485</v>
      </c>
      <c r="R14">
        <f t="shared" si="4"/>
        <v>100.36394516048931</v>
      </c>
      <c r="T14" s="8">
        <f t="shared" si="5"/>
        <v>3.8180454444229905E-3</v>
      </c>
      <c r="U14" s="8">
        <f t="shared" si="6"/>
        <v>-9.8057170813126149E-5</v>
      </c>
      <c r="V14" s="8">
        <f t="shared" si="7"/>
        <v>-6.1502677956015717E-5</v>
      </c>
      <c r="W14" t="s">
        <v>469</v>
      </c>
      <c r="X14" t="s">
        <v>495</v>
      </c>
    </row>
    <row r="15" spans="1:24" x14ac:dyDescent="0.35">
      <c r="A15" s="7" t="s">
        <v>516</v>
      </c>
      <c r="B15">
        <v>6.7777780540725233E-3</v>
      </c>
      <c r="C15">
        <v>0.68014292750730365</v>
      </c>
      <c r="D15">
        <v>0.68014922550605539</v>
      </c>
      <c r="E15">
        <v>0.68014922550605539</v>
      </c>
      <c r="F15">
        <v>0.68014922550605539</v>
      </c>
      <c r="H15" t="s">
        <v>470</v>
      </c>
      <c r="I15">
        <v>6.8947506698723154E-2</v>
      </c>
      <c r="J15">
        <v>6.8966322352470604</v>
      </c>
      <c r="K15">
        <v>6.9040528271554926</v>
      </c>
      <c r="L15">
        <v>6.9137167965147723</v>
      </c>
      <c r="M15">
        <v>6.912508941993937</v>
      </c>
      <c r="O15">
        <f t="shared" si="1"/>
        <v>100.02728982474981</v>
      </c>
      <c r="P15">
        <f t="shared" si="2"/>
        <v>100.13491651444083</v>
      </c>
      <c r="Q15">
        <f t="shared" si="3"/>
        <v>100.27508067442282</v>
      </c>
      <c r="R15">
        <f t="shared" si="4"/>
        <v>100.25756220887318</v>
      </c>
      <c r="T15" s="8">
        <f t="shared" si="5"/>
        <v>1.0759732656915322E-3</v>
      </c>
      <c r="U15" s="8">
        <f t="shared" si="6"/>
        <v>1.3997531017242437E-3</v>
      </c>
      <c r="V15" s="8">
        <f t="shared" si="7"/>
        <v>-1.7470407833952706E-4</v>
      </c>
      <c r="W15" t="s">
        <v>470</v>
      </c>
      <c r="X15" t="s">
        <v>496</v>
      </c>
    </row>
    <row r="16" spans="1:24" x14ac:dyDescent="0.35">
      <c r="A16" s="7" t="s">
        <v>517</v>
      </c>
      <c r="B16">
        <v>3.844826018613165E-2</v>
      </c>
      <c r="C16">
        <v>3.8427602909905367</v>
      </c>
      <c r="D16">
        <v>3.8406369814667682</v>
      </c>
      <c r="E16">
        <v>3.8433744782281032</v>
      </c>
      <c r="F16">
        <v>3.8433744782281032</v>
      </c>
      <c r="H16" t="s">
        <v>471</v>
      </c>
      <c r="I16">
        <v>5.2187709331150536E-2</v>
      </c>
      <c r="J16">
        <v>5.1895767011374128</v>
      </c>
      <c r="K16">
        <v>5.181624465481522</v>
      </c>
      <c r="L16">
        <v>5.136582117266502</v>
      </c>
      <c r="M16">
        <v>5.1474387608481473</v>
      </c>
      <c r="O16">
        <f t="shared" si="1"/>
        <v>99.440591810757724</v>
      </c>
      <c r="P16">
        <f t="shared" si="2"/>
        <v>99.288214253708219</v>
      </c>
      <c r="Q16">
        <f t="shared" si="3"/>
        <v>98.425130803748587</v>
      </c>
      <c r="R16">
        <f t="shared" si="4"/>
        <v>98.63316146308938</v>
      </c>
      <c r="T16" s="8">
        <f t="shared" si="5"/>
        <v>-1.5323476487296706E-3</v>
      </c>
      <c r="U16" s="8">
        <f t="shared" si="6"/>
        <v>-8.6927079557924669E-3</v>
      </c>
      <c r="V16" s="8">
        <f t="shared" si="7"/>
        <v>2.1135929171949286E-3</v>
      </c>
      <c r="W16" t="s">
        <v>471</v>
      </c>
      <c r="X16" t="s">
        <v>497</v>
      </c>
    </row>
    <row r="17" spans="1:24" x14ac:dyDescent="0.35">
      <c r="A17" s="7" t="s">
        <v>518</v>
      </c>
      <c r="B17">
        <v>3.2748930071439153E-3</v>
      </c>
      <c r="C17">
        <v>0.32141123439495789</v>
      </c>
      <c r="D17">
        <v>0.32064800629678292</v>
      </c>
      <c r="E17">
        <v>0.31915209839852388</v>
      </c>
      <c r="F17">
        <v>0.31945068802930038</v>
      </c>
      <c r="H17" t="s">
        <v>472</v>
      </c>
      <c r="I17">
        <v>1.4374797565040171E-2</v>
      </c>
      <c r="J17">
        <v>1.4470179729991737</v>
      </c>
      <c r="K17">
        <v>1.452983646697116</v>
      </c>
      <c r="L17">
        <v>1.4529735605632512</v>
      </c>
      <c r="M17">
        <v>1.4549109984338817</v>
      </c>
      <c r="O17">
        <f t="shared" si="1"/>
        <v>100.66353744823188</v>
      </c>
      <c r="P17">
        <f t="shared" si="2"/>
        <v>101.07854668025411</v>
      </c>
      <c r="Q17">
        <f t="shared" si="3"/>
        <v>101.07784502627817</v>
      </c>
      <c r="R17">
        <f t="shared" si="4"/>
        <v>101.21262521096351</v>
      </c>
      <c r="T17" s="8">
        <f t="shared" si="5"/>
        <v>4.1227364201825711E-3</v>
      </c>
      <c r="U17" s="8">
        <f t="shared" si="6"/>
        <v>-6.9416706015568153E-6</v>
      </c>
      <c r="V17" s="8">
        <f t="shared" si="7"/>
        <v>1.3334295428468756E-3</v>
      </c>
      <c r="W17" t="s">
        <v>472</v>
      </c>
      <c r="X17" t="s">
        <v>498</v>
      </c>
    </row>
    <row r="18" spans="1:24" x14ac:dyDescent="0.35">
      <c r="A18" s="7" t="s">
        <v>519</v>
      </c>
      <c r="B18">
        <v>6.5497860142878306E-3</v>
      </c>
      <c r="C18">
        <v>0.66414999648042783</v>
      </c>
      <c r="D18">
        <v>0.66970322863351206</v>
      </c>
      <c r="E18">
        <v>0.66951599343700607</v>
      </c>
      <c r="F18">
        <v>0.66440576654903194</v>
      </c>
      <c r="H18" t="s">
        <v>473</v>
      </c>
      <c r="I18">
        <v>2.4928203926475049E-2</v>
      </c>
      <c r="J18">
        <v>2.5999918438278571</v>
      </c>
      <c r="K18">
        <v>2.6000442720820387</v>
      </c>
      <c r="L18">
        <v>2.5998300152832838</v>
      </c>
      <c r="M18">
        <v>2.5997227121230591</v>
      </c>
      <c r="O18">
        <f t="shared" si="1"/>
        <v>104.29920468784879</v>
      </c>
      <c r="P18">
        <f t="shared" si="2"/>
        <v>104.30130785799038</v>
      </c>
      <c r="Q18">
        <f t="shared" si="3"/>
        <v>104.29271290267845</v>
      </c>
      <c r="R18">
        <f t="shared" si="4"/>
        <v>104.28840841445533</v>
      </c>
      <c r="T18" s="8">
        <f t="shared" si="5"/>
        <v>2.0164776403541751E-5</v>
      </c>
      <c r="U18" s="8">
        <f t="shared" si="6"/>
        <v>-8.2405057889034516E-5</v>
      </c>
      <c r="V18" s="8">
        <f t="shared" si="7"/>
        <v>-4.127314462643028E-5</v>
      </c>
      <c r="W18" t="s">
        <v>473</v>
      </c>
      <c r="X18" t="s">
        <v>499</v>
      </c>
    </row>
    <row r="19" spans="1:24" x14ac:dyDescent="0.35">
      <c r="A19" s="7" t="s">
        <v>520</v>
      </c>
      <c r="B19">
        <v>1.4188965800073162E-2</v>
      </c>
      <c r="C19">
        <v>1.3926456407584311</v>
      </c>
      <c r="D19">
        <v>1.414666387811313</v>
      </c>
      <c r="E19">
        <v>1.4159139051504275</v>
      </c>
      <c r="F19">
        <v>1.4194259488044909</v>
      </c>
      <c r="H19" t="s">
        <v>474</v>
      </c>
      <c r="I19">
        <v>3.253138771377324E-3</v>
      </c>
      <c r="J19">
        <v>0.3214540940894744</v>
      </c>
      <c r="K19">
        <v>0.32479971900108723</v>
      </c>
      <c r="L19">
        <v>0.32479971900108723</v>
      </c>
      <c r="M19">
        <v>0.32479971900108723</v>
      </c>
      <c r="O19">
        <f t="shared" si="1"/>
        <v>98.813520320061897</v>
      </c>
      <c r="P19">
        <f t="shared" si="2"/>
        <v>99.841950137150931</v>
      </c>
      <c r="Q19">
        <f t="shared" si="3"/>
        <v>99.841950137150931</v>
      </c>
      <c r="R19">
        <f t="shared" si="4"/>
        <v>99.841950137150931</v>
      </c>
      <c r="T19" s="8">
        <f t="shared" si="5"/>
        <v>1.0407784418143384E-2</v>
      </c>
      <c r="U19" s="8">
        <f t="shared" si="6"/>
        <v>0</v>
      </c>
      <c r="V19" s="8">
        <f t="shared" si="7"/>
        <v>0</v>
      </c>
      <c r="W19" t="s">
        <v>474</v>
      </c>
      <c r="X19" t="s">
        <v>500</v>
      </c>
    </row>
    <row r="20" spans="1:24" x14ac:dyDescent="0.35">
      <c r="A20" s="7" t="s">
        <v>521</v>
      </c>
      <c r="B20">
        <v>3.5472414500182913E-3</v>
      </c>
      <c r="C20">
        <v>0.35409727070676705</v>
      </c>
      <c r="D20">
        <v>0.354083760889226</v>
      </c>
      <c r="E20">
        <v>0.3541800971138615</v>
      </c>
      <c r="F20">
        <v>0.35405763752295411</v>
      </c>
      <c r="H20" t="s">
        <v>475</v>
      </c>
      <c r="I20">
        <v>3.390739502074714E-2</v>
      </c>
      <c r="J20">
        <v>3.4042488718082105</v>
      </c>
      <c r="K20">
        <v>3.4042489200937629</v>
      </c>
      <c r="L20">
        <v>3.4122552370664252</v>
      </c>
      <c r="M20">
        <v>3.4122552370664252</v>
      </c>
      <c r="O20">
        <f t="shared" si="1"/>
        <v>100.39841956969063</v>
      </c>
      <c r="P20">
        <f t="shared" si="2"/>
        <v>100.39842099373257</v>
      </c>
      <c r="Q20">
        <f t="shared" si="3"/>
        <v>100.63454402729984</v>
      </c>
      <c r="R20">
        <f t="shared" si="4"/>
        <v>100.63454402729984</v>
      </c>
      <c r="T20" s="8">
        <f t="shared" si="5"/>
        <v>1.4183908048082117E-8</v>
      </c>
      <c r="U20" s="8">
        <f t="shared" si="6"/>
        <v>2.351860031563735E-3</v>
      </c>
      <c r="V20" s="8">
        <f t="shared" si="7"/>
        <v>0</v>
      </c>
      <c r="W20" t="s">
        <v>475</v>
      </c>
      <c r="X20" t="s">
        <v>501</v>
      </c>
    </row>
    <row r="21" spans="1:24" x14ac:dyDescent="0.35">
      <c r="A21" s="7" t="s">
        <v>522</v>
      </c>
      <c r="B21">
        <v>7.5032577137738726E-2</v>
      </c>
      <c r="C21">
        <v>7.4820426777746576</v>
      </c>
      <c r="D21">
        <v>7.4956153466771784</v>
      </c>
      <c r="E21">
        <v>7.5019429454009163</v>
      </c>
      <c r="F21">
        <v>7.5163016302889112</v>
      </c>
      <c r="H21" t="s">
        <v>476</v>
      </c>
      <c r="I21">
        <v>8.0247059260694902E-3</v>
      </c>
      <c r="J21">
        <v>0.82999610079127684</v>
      </c>
      <c r="K21">
        <v>0.83053532729071167</v>
      </c>
      <c r="L21">
        <v>0.8300355508149323</v>
      </c>
      <c r="M21">
        <v>0.83110942524616327</v>
      </c>
      <c r="O21">
        <f t="shared" si="1"/>
        <v>103.43009556211985</v>
      </c>
      <c r="P21">
        <f t="shared" si="2"/>
        <v>103.49729135775431</v>
      </c>
      <c r="Q21">
        <f t="shared" si="3"/>
        <v>103.43501163306611</v>
      </c>
      <c r="R21">
        <f t="shared" si="4"/>
        <v>103.56883266540355</v>
      </c>
      <c r="T21" s="8">
        <f t="shared" si="5"/>
        <v>6.496735333103576E-4</v>
      </c>
      <c r="U21" s="8">
        <f t="shared" si="6"/>
        <v>-6.0175221854763539E-4</v>
      </c>
      <c r="V21" s="8">
        <f t="shared" si="7"/>
        <v>1.2937692008210266E-3</v>
      </c>
      <c r="W21" t="s">
        <v>476</v>
      </c>
      <c r="X21" t="s">
        <v>502</v>
      </c>
    </row>
    <row r="22" spans="1:24" x14ac:dyDescent="0.35">
      <c r="A22" s="7" t="s">
        <v>523</v>
      </c>
      <c r="B22">
        <v>1.0077211714344263E-2</v>
      </c>
      <c r="C22">
        <v>1.0073577847982715</v>
      </c>
      <c r="D22">
        <v>1.032533610967334</v>
      </c>
      <c r="E22">
        <v>1.037474800242967</v>
      </c>
      <c r="F22">
        <v>1.0355910812991456</v>
      </c>
      <c r="H22" t="s">
        <v>477</v>
      </c>
      <c r="I22">
        <v>0.99999999999999989</v>
      </c>
      <c r="J22">
        <v>100.74555621733488</v>
      </c>
      <c r="K22">
        <v>101.09610067078034</v>
      </c>
      <c r="L22">
        <v>101.27772100040897</v>
      </c>
      <c r="M22">
        <v>101.72199253284289</v>
      </c>
      <c r="O22">
        <f t="shared" si="1"/>
        <v>100.74555621733489</v>
      </c>
      <c r="P22">
        <f t="shared" si="2"/>
        <v>101.09610067078036</v>
      </c>
      <c r="Q22">
        <f t="shared" si="3"/>
        <v>101.27772100040899</v>
      </c>
      <c r="R22">
        <f t="shared" si="4"/>
        <v>101.7219925328429</v>
      </c>
      <c r="T22" s="8">
        <f t="shared" si="5"/>
        <v>3.4795028843679354E-3</v>
      </c>
      <c r="U22" s="8">
        <f t="shared" si="6"/>
        <v>1.7965117192806357E-3</v>
      </c>
      <c r="V22" s="8">
        <f t="shared" si="7"/>
        <v>4.3866659719971057E-3</v>
      </c>
      <c r="W22" t="s">
        <v>503</v>
      </c>
      <c r="X22" t="s">
        <v>504</v>
      </c>
    </row>
    <row r="23" spans="1:24" x14ac:dyDescent="0.35">
      <c r="A23" s="7" t="s">
        <v>524</v>
      </c>
      <c r="B23">
        <v>1.1871014514702016E-2</v>
      </c>
      <c r="C23">
        <v>1.1880477152569866</v>
      </c>
      <c r="D23">
        <v>1.1911770197752121</v>
      </c>
      <c r="E23">
        <v>1.2014293177243376</v>
      </c>
      <c r="F23">
        <v>1.2079177593616757</v>
      </c>
    </row>
    <row r="24" spans="1:24" x14ac:dyDescent="0.35">
      <c r="A24" s="7" t="s">
        <v>525</v>
      </c>
      <c r="B24">
        <v>5.8812134151351204E-3</v>
      </c>
      <c r="C24">
        <v>0.59358825787530023</v>
      </c>
      <c r="D24">
        <v>0.59994943928504263</v>
      </c>
      <c r="E24">
        <v>0.60028320452505657</v>
      </c>
      <c r="F24">
        <v>0.60005056982834093</v>
      </c>
    </row>
    <row r="25" spans="1:24" x14ac:dyDescent="0.35">
      <c r="A25" s="7" t="s">
        <v>526</v>
      </c>
      <c r="B25">
        <v>1.9604044717117068E-3</v>
      </c>
      <c r="C25">
        <v>0.19592424159498803</v>
      </c>
      <c r="D25">
        <v>0.19625766713767268</v>
      </c>
      <c r="E25">
        <v>0.19626358540691732</v>
      </c>
      <c r="F25">
        <v>0.19626358540691732</v>
      </c>
    </row>
    <row r="26" spans="1:24" x14ac:dyDescent="0.35">
      <c r="A26" s="7" t="s">
        <v>527</v>
      </c>
      <c r="B26">
        <v>1.4241801640192791E-2</v>
      </c>
      <c r="C26">
        <v>1.4217165003502645</v>
      </c>
      <c r="D26">
        <v>1.4198697260859137</v>
      </c>
      <c r="E26">
        <v>1.4564576817190125</v>
      </c>
      <c r="F26">
        <v>1.4664298295336129</v>
      </c>
    </row>
    <row r="27" spans="1:24" x14ac:dyDescent="0.35">
      <c r="A27" s="7" t="s">
        <v>528</v>
      </c>
      <c r="B27">
        <v>1.1046528595887898E-2</v>
      </c>
      <c r="C27">
        <v>1.0975694913464293</v>
      </c>
      <c r="D27">
        <v>1.1004885448616382</v>
      </c>
      <c r="E27">
        <v>1.1024293044663283</v>
      </c>
      <c r="F27">
        <v>1.1014569366862477</v>
      </c>
    </row>
    <row r="28" spans="1:24" x14ac:dyDescent="0.35">
      <c r="A28" s="7" t="s">
        <v>529</v>
      </c>
      <c r="B28">
        <v>9.4820987499744849E-3</v>
      </c>
      <c r="C28">
        <v>0.9435296683094061</v>
      </c>
      <c r="D28">
        <v>0.9435296683094061</v>
      </c>
      <c r="E28">
        <v>0.99594798321548472</v>
      </c>
      <c r="F28">
        <v>0.99594798321548472</v>
      </c>
    </row>
    <row r="29" spans="1:24" x14ac:dyDescent="0.35">
      <c r="A29" s="7" t="s">
        <v>530</v>
      </c>
      <c r="B29">
        <v>1.211762234752788E-2</v>
      </c>
      <c r="C29">
        <v>1.2238726030998646</v>
      </c>
      <c r="D29">
        <v>1.2242053638928485</v>
      </c>
      <c r="E29">
        <v>1.2234436256170238</v>
      </c>
      <c r="F29">
        <v>1.2322669632651566</v>
      </c>
    </row>
    <row r="30" spans="1:24" x14ac:dyDescent="0.35">
      <c r="A30" s="7" t="s">
        <v>531</v>
      </c>
      <c r="B30">
        <v>2.1174734869300826E-2</v>
      </c>
      <c r="C30">
        <v>2.1712965374306572</v>
      </c>
      <c r="D30">
        <v>2.1731038571515029</v>
      </c>
      <c r="E30">
        <v>2.1929514134289807</v>
      </c>
      <c r="F30">
        <v>2.2151686007840312</v>
      </c>
    </row>
    <row r="31" spans="1:24" x14ac:dyDescent="0.35">
      <c r="A31" s="7" t="s">
        <v>532</v>
      </c>
      <c r="B31">
        <v>1.0587367434650413E-2</v>
      </c>
      <c r="C31">
        <v>1.0562003797076902</v>
      </c>
      <c r="D31">
        <v>1.0561664949309411</v>
      </c>
      <c r="E31">
        <v>1.0564574431734775</v>
      </c>
      <c r="F31">
        <v>1.0409298429121017</v>
      </c>
    </row>
    <row r="32" spans="1:24" x14ac:dyDescent="0.35">
      <c r="A32" s="7" t="s">
        <v>533</v>
      </c>
      <c r="B32">
        <v>6.2540767340639909E-3</v>
      </c>
      <c r="C32">
        <v>0.62510089807016278</v>
      </c>
      <c r="D32">
        <v>0.62665578884142348</v>
      </c>
      <c r="E32">
        <v>0.62642952034239285</v>
      </c>
      <c r="F32">
        <v>0.62659205252748984</v>
      </c>
    </row>
    <row r="33" spans="1:6" x14ac:dyDescent="0.35">
      <c r="A33" s="7" t="s">
        <v>534</v>
      </c>
      <c r="B33">
        <v>2.7213069303280088E-2</v>
      </c>
      <c r="C33">
        <v>2.7317063466878011</v>
      </c>
      <c r="D33">
        <v>2.7686909151814012</v>
      </c>
      <c r="E33">
        <v>2.7802579976032451</v>
      </c>
      <c r="F33">
        <v>2.8053884072163173</v>
      </c>
    </row>
    <row r="34" spans="1:6" x14ac:dyDescent="0.35">
      <c r="A34" s="7" t="s">
        <v>535</v>
      </c>
      <c r="B34">
        <v>6.8529208518754983E-3</v>
      </c>
      <c r="C34">
        <v>0.68569600496200178</v>
      </c>
      <c r="D34">
        <v>0.6843055714097771</v>
      </c>
      <c r="E34">
        <v>0.68614359485942933</v>
      </c>
      <c r="F34">
        <v>0.6866633653392773</v>
      </c>
    </row>
    <row r="35" spans="1:6" x14ac:dyDescent="0.35">
      <c r="A35" s="7" t="s">
        <v>536</v>
      </c>
      <c r="B35">
        <v>2.1418793931301517E-2</v>
      </c>
      <c r="C35">
        <v>2.1467475758782859</v>
      </c>
      <c r="D35">
        <v>2.168729810016059</v>
      </c>
      <c r="E35">
        <v>2.1694034654763961</v>
      </c>
      <c r="F35">
        <v>2.1694034654763961</v>
      </c>
    </row>
    <row r="36" spans="1:6" x14ac:dyDescent="0.35">
      <c r="A36" s="7" t="s">
        <v>537</v>
      </c>
      <c r="B36">
        <v>6.1354259757413501E-2</v>
      </c>
      <c r="C36">
        <v>6.1353133068299197</v>
      </c>
      <c r="D36">
        <v>6.1587382118511691</v>
      </c>
      <c r="E36">
        <v>6.1581343034063369</v>
      </c>
      <c r="F36">
        <v>6.1577555616554651</v>
      </c>
    </row>
    <row r="37" spans="1:6" x14ac:dyDescent="0.35">
      <c r="A37" s="7" t="s">
        <v>538</v>
      </c>
      <c r="B37">
        <v>4.8781114478136595E-3</v>
      </c>
      <c r="C37">
        <v>0.48472594158160831</v>
      </c>
      <c r="D37">
        <v>0.49112731531927128</v>
      </c>
      <c r="E37">
        <v>0.49121572709511097</v>
      </c>
      <c r="F37">
        <v>0.49025280654065218</v>
      </c>
    </row>
    <row r="38" spans="1:6" x14ac:dyDescent="0.35">
      <c r="A38" s="7" t="s">
        <v>539</v>
      </c>
      <c r="B38">
        <v>1.0781164361621555E-2</v>
      </c>
      <c r="C38">
        <v>1.0784385108094352</v>
      </c>
      <c r="D38">
        <v>1.0784222734886539</v>
      </c>
      <c r="E38">
        <v>1.0786123175436713</v>
      </c>
      <c r="F38">
        <v>1.0783697040023419</v>
      </c>
    </row>
    <row r="39" spans="1:6" x14ac:dyDescent="0.35">
      <c r="A39" s="7" t="s">
        <v>540</v>
      </c>
      <c r="B39">
        <v>4.3949921110845391E-2</v>
      </c>
      <c r="C39">
        <v>4.3950257671989377</v>
      </c>
      <c r="D39">
        <v>4.3950257671989377</v>
      </c>
      <c r="E39">
        <v>4.395032777739841</v>
      </c>
      <c r="F39">
        <v>4.395032777739841</v>
      </c>
    </row>
    <row r="40" spans="1:6" x14ac:dyDescent="0.35">
      <c r="A40" s="7" t="s">
        <v>541</v>
      </c>
      <c r="B40">
        <v>9.3383097784425478E-3</v>
      </c>
      <c r="C40">
        <v>0.93844201565707963</v>
      </c>
      <c r="D40">
        <v>0.93947747114862956</v>
      </c>
      <c r="E40">
        <v>0.94885597413614942</v>
      </c>
      <c r="F40">
        <v>0.94885365371110209</v>
      </c>
    </row>
    <row r="41" spans="1:6" x14ac:dyDescent="0.35">
      <c r="A41" s="7" t="s">
        <v>542</v>
      </c>
      <c r="B41">
        <v>5.2187709331150536E-2</v>
      </c>
      <c r="C41">
        <v>5.1895767011374128</v>
      </c>
      <c r="D41">
        <v>5.181624465481522</v>
      </c>
      <c r="E41">
        <v>5.136582117266502</v>
      </c>
      <c r="F41">
        <v>5.1474387608481473</v>
      </c>
    </row>
    <row r="42" spans="1:6" x14ac:dyDescent="0.35">
      <c r="A42" s="7" t="s">
        <v>543</v>
      </c>
      <c r="B42">
        <v>2.3957995941733617E-3</v>
      </c>
      <c r="C42">
        <v>0.24353656515624386</v>
      </c>
      <c r="D42">
        <v>0.24353656515624386</v>
      </c>
      <c r="E42">
        <v>0.24353656515624386</v>
      </c>
      <c r="F42">
        <v>0.24539064808100142</v>
      </c>
    </row>
    <row r="43" spans="1:6" x14ac:dyDescent="0.35">
      <c r="A43" s="7" t="s">
        <v>544</v>
      </c>
      <c r="B43">
        <v>2.3957995941733617E-3</v>
      </c>
      <c r="C43">
        <v>0.23957995941733617</v>
      </c>
      <c r="D43">
        <v>0.23957995941733617</v>
      </c>
      <c r="E43">
        <v>0.23957995941733617</v>
      </c>
      <c r="F43">
        <v>0.23957995941733617</v>
      </c>
    </row>
    <row r="44" spans="1:6" x14ac:dyDescent="0.35">
      <c r="A44" s="7" t="s">
        <v>545</v>
      </c>
      <c r="B44">
        <v>9.5831983766934466E-3</v>
      </c>
      <c r="C44">
        <v>0.96390144842559367</v>
      </c>
      <c r="D44">
        <v>0.96986712212353599</v>
      </c>
      <c r="E44">
        <v>0.96985703598967121</v>
      </c>
      <c r="F44">
        <v>0.96994039093554396</v>
      </c>
    </row>
    <row r="45" spans="1:6" x14ac:dyDescent="0.35">
      <c r="A45" s="7" t="s">
        <v>546</v>
      </c>
      <c r="B45">
        <v>2.2215568879380764E-2</v>
      </c>
      <c r="C45">
        <v>2.3303603230064693</v>
      </c>
      <c r="D45">
        <v>2.3303603230064693</v>
      </c>
      <c r="E45">
        <v>2.3303603230064693</v>
      </c>
      <c r="F45">
        <v>2.3303603230064693</v>
      </c>
    </row>
    <row r="46" spans="1:6" x14ac:dyDescent="0.35">
      <c r="A46" s="7" t="s">
        <v>547</v>
      </c>
      <c r="B46">
        <v>2.7126350470942856E-3</v>
      </c>
      <c r="C46">
        <v>0.2696315208213878</v>
      </c>
      <c r="D46">
        <v>0.26968394907556936</v>
      </c>
      <c r="E46">
        <v>0.26946969227681444</v>
      </c>
      <c r="F46">
        <v>0.26936238911658972</v>
      </c>
    </row>
    <row r="47" spans="1:6" x14ac:dyDescent="0.35">
      <c r="A47" s="7" t="s">
        <v>548</v>
      </c>
      <c r="B47">
        <v>1.626569385688662E-3</v>
      </c>
      <c r="C47">
        <v>0.16265693856886621</v>
      </c>
      <c r="D47">
        <v>0.16265693856886621</v>
      </c>
      <c r="E47">
        <v>0.16265693856886621</v>
      </c>
      <c r="F47">
        <v>0.16265693856886621</v>
      </c>
    </row>
    <row r="48" spans="1:6" x14ac:dyDescent="0.35">
      <c r="A48" s="7" t="s">
        <v>549</v>
      </c>
      <c r="B48">
        <v>1.626569385688662E-3</v>
      </c>
      <c r="C48">
        <v>0.15879715552060819</v>
      </c>
      <c r="D48">
        <v>0.16214278043222102</v>
      </c>
      <c r="E48">
        <v>0.16214278043222102</v>
      </c>
      <c r="F48">
        <v>0.16214278043222102</v>
      </c>
    </row>
    <row r="49" spans="1:15" x14ac:dyDescent="0.35">
      <c r="A49" s="7" t="s">
        <v>550</v>
      </c>
      <c r="B49">
        <v>3.390739502074714E-2</v>
      </c>
      <c r="C49">
        <v>3.4042488718082105</v>
      </c>
      <c r="D49">
        <v>3.4042489200937629</v>
      </c>
      <c r="E49">
        <v>3.4122552370664252</v>
      </c>
      <c r="F49">
        <v>3.4122552370664252</v>
      </c>
    </row>
    <row r="50" spans="1:15" x14ac:dyDescent="0.35">
      <c r="A50" s="7" t="s">
        <v>551</v>
      </c>
      <c r="B50">
        <v>1.2884637124878191E-3</v>
      </c>
      <c r="C50">
        <v>0.13399792626877249</v>
      </c>
      <c r="D50">
        <v>0.13453715276820735</v>
      </c>
      <c r="E50">
        <v>0.13403737629242798</v>
      </c>
      <c r="F50">
        <v>0.1351112507236589</v>
      </c>
    </row>
    <row r="51" spans="1:15" x14ac:dyDescent="0.35">
      <c r="A51" s="7" t="s">
        <v>552</v>
      </c>
      <c r="B51">
        <v>6.7362422135816714E-3</v>
      </c>
      <c r="C51">
        <v>0.69599817452250434</v>
      </c>
      <c r="D51">
        <v>0.69599817452250434</v>
      </c>
      <c r="E51">
        <v>0.69599817452250434</v>
      </c>
      <c r="F51">
        <v>0.69599817452250434</v>
      </c>
    </row>
    <row r="52" spans="1:15" x14ac:dyDescent="0.35">
      <c r="A52" s="7" t="s">
        <v>477</v>
      </c>
      <c r="B52">
        <v>1.0000000000000002</v>
      </c>
      <c r="C52">
        <v>100.74555621733488</v>
      </c>
      <c r="D52">
        <v>101.09610067078029</v>
      </c>
      <c r="E52">
        <v>101.277721000409</v>
      </c>
      <c r="F52">
        <v>101.72199253284285</v>
      </c>
    </row>
    <row r="55" spans="1:15" x14ac:dyDescent="0.35">
      <c r="A55" t="s">
        <v>458</v>
      </c>
      <c r="B55" t="s">
        <v>478</v>
      </c>
      <c r="C55" t="s">
        <v>482</v>
      </c>
      <c r="D55" t="s">
        <v>479</v>
      </c>
      <c r="E55" t="s">
        <v>480</v>
      </c>
      <c r="F55" t="s">
        <v>481</v>
      </c>
      <c r="H55" t="s">
        <v>483</v>
      </c>
      <c r="I55" t="s">
        <v>163</v>
      </c>
      <c r="J55" t="s">
        <v>484</v>
      </c>
      <c r="K55" t="s">
        <v>3</v>
      </c>
      <c r="M55" t="s">
        <v>606</v>
      </c>
      <c r="N55" t="s">
        <v>607</v>
      </c>
      <c r="O55" t="s">
        <v>608</v>
      </c>
    </row>
    <row r="56" spans="1:15" x14ac:dyDescent="0.35">
      <c r="A56" t="s">
        <v>505</v>
      </c>
      <c r="B56">
        <v>7.6555325906174518E-2</v>
      </c>
      <c r="C56">
        <v>7.8118282425938723</v>
      </c>
      <c r="D56">
        <v>7.7506629190490184</v>
      </c>
      <c r="E56">
        <v>7.7383033925958413</v>
      </c>
      <c r="F56">
        <v>7.6416398964902648</v>
      </c>
      <c r="G56" t="s">
        <v>505</v>
      </c>
      <c r="H56">
        <f t="shared" ref="H56:H102" si="8">C56/$B56</f>
        <v>102.04160390053038</v>
      </c>
      <c r="I56">
        <f t="shared" ref="I56:I102" si="9">D56/$B56</f>
        <v>101.24263501337788</v>
      </c>
      <c r="J56">
        <f t="shared" ref="J56:J102" si="10">E56/$B56</f>
        <v>101.08118933592985</v>
      </c>
      <c r="K56">
        <f t="shared" ref="K56:K102" si="11">F56/$B56</f>
        <v>99.818527398809408</v>
      </c>
      <c r="M56" t="s">
        <v>505</v>
      </c>
      <c r="N56" t="s">
        <v>553</v>
      </c>
      <c r="O56">
        <f>IF(M56=M55,O55+1,1)</f>
        <v>1</v>
      </c>
    </row>
    <row r="57" spans="1:15" x14ac:dyDescent="0.35">
      <c r="A57" t="s">
        <v>506</v>
      </c>
      <c r="B57">
        <v>1.4333404829023962E-2</v>
      </c>
      <c r="C57">
        <v>1.4153248250594961</v>
      </c>
      <c r="D57">
        <v>1.4191469648979944</v>
      </c>
      <c r="E57">
        <v>1.420838620996262</v>
      </c>
      <c r="F57">
        <v>1.4207694356379061</v>
      </c>
      <c r="G57" t="s">
        <v>506</v>
      </c>
      <c r="H57">
        <f t="shared" si="8"/>
        <v>98.743099908374887</v>
      </c>
      <c r="I57">
        <f t="shared" si="9"/>
        <v>99.009759497222802</v>
      </c>
      <c r="J57">
        <f t="shared" si="10"/>
        <v>99.127781427004777</v>
      </c>
      <c r="K57">
        <f t="shared" si="11"/>
        <v>99.122954565614819</v>
      </c>
      <c r="M57" t="s">
        <v>505</v>
      </c>
      <c r="N57" t="s">
        <v>554</v>
      </c>
      <c r="O57">
        <f t="shared" ref="O57:O108" si="12">IF(M57=M56,O56+1,1)</f>
        <v>2</v>
      </c>
    </row>
    <row r="58" spans="1:15" x14ac:dyDescent="0.35">
      <c r="A58" t="s">
        <v>507</v>
      </c>
      <c r="B58">
        <v>5.7674403134640846E-2</v>
      </c>
      <c r="C58">
        <v>6.1088238480333032</v>
      </c>
      <c r="D58">
        <v>6.2713158100745741</v>
      </c>
      <c r="E58">
        <v>6.1538080805709425</v>
      </c>
      <c r="F58">
        <v>6.447594695472068</v>
      </c>
      <c r="G58" t="s">
        <v>507</v>
      </c>
      <c r="H58">
        <f t="shared" si="8"/>
        <v>105.91915158224107</v>
      </c>
      <c r="I58">
        <f t="shared" si="9"/>
        <v>108.73655329270062</v>
      </c>
      <c r="J58">
        <f t="shared" si="10"/>
        <v>106.69912033948376</v>
      </c>
      <c r="K58">
        <f t="shared" si="11"/>
        <v>111.79300252869828</v>
      </c>
      <c r="M58" t="s">
        <v>505</v>
      </c>
      <c r="N58" t="s">
        <v>555</v>
      </c>
      <c r="O58">
        <f t="shared" si="12"/>
        <v>3</v>
      </c>
    </row>
    <row r="59" spans="1:15" x14ac:dyDescent="0.35">
      <c r="A59" t="s">
        <v>508</v>
      </c>
      <c r="B59">
        <v>1.9659914850135591E-2</v>
      </c>
      <c r="C59">
        <v>1.9715771118995222</v>
      </c>
      <c r="D59">
        <v>1.9704646841539533</v>
      </c>
      <c r="E59">
        <v>1.9807751046495232</v>
      </c>
      <c r="F59">
        <v>1.9907018385082518</v>
      </c>
      <c r="G59" t="s">
        <v>508</v>
      </c>
      <c r="H59">
        <f t="shared" si="8"/>
        <v>100.28411246582407</v>
      </c>
      <c r="I59">
        <f t="shared" si="9"/>
        <v>100.22752891731692</v>
      </c>
      <c r="J59">
        <f t="shared" si="10"/>
        <v>100.75196763305728</v>
      </c>
      <c r="K59">
        <f t="shared" si="11"/>
        <v>101.25689015863271</v>
      </c>
      <c r="M59" t="s">
        <v>505</v>
      </c>
      <c r="N59" t="s">
        <v>556</v>
      </c>
      <c r="O59">
        <f t="shared" si="12"/>
        <v>4</v>
      </c>
    </row>
    <row r="60" spans="1:15" x14ac:dyDescent="0.35">
      <c r="A60" t="s">
        <v>509</v>
      </c>
      <c r="B60">
        <v>2.5885364352356551E-2</v>
      </c>
      <c r="C60">
        <v>2.5746089827092553</v>
      </c>
      <c r="D60">
        <v>2.5713611399389098</v>
      </c>
      <c r="E60">
        <v>2.5876581966886536</v>
      </c>
      <c r="F60">
        <v>2.5786061055200475</v>
      </c>
      <c r="G60" t="s">
        <v>509</v>
      </c>
      <c r="H60">
        <f t="shared" si="8"/>
        <v>99.461956481013104</v>
      </c>
      <c r="I60">
        <f t="shared" si="9"/>
        <v>99.336486245163414</v>
      </c>
      <c r="J60">
        <f t="shared" si="10"/>
        <v>99.966072003660187</v>
      </c>
      <c r="K60">
        <f t="shared" si="11"/>
        <v>99.616372805094258</v>
      </c>
      <c r="M60" t="s">
        <v>506</v>
      </c>
      <c r="N60" t="s">
        <v>557</v>
      </c>
      <c r="O60">
        <f t="shared" si="12"/>
        <v>1</v>
      </c>
    </row>
    <row r="61" spans="1:15" x14ac:dyDescent="0.35">
      <c r="A61" t="s">
        <v>510</v>
      </c>
      <c r="B61">
        <v>0.11389467486785151</v>
      </c>
      <c r="C61">
        <v>11.462719637569551</v>
      </c>
      <c r="D61">
        <v>11.517676607998215</v>
      </c>
      <c r="E61">
        <v>11.658030060353569</v>
      </c>
      <c r="F61">
        <v>11.822364962597277</v>
      </c>
      <c r="G61" t="s">
        <v>510</v>
      </c>
      <c r="H61">
        <f t="shared" si="8"/>
        <v>100.64315694187978</v>
      </c>
      <c r="I61">
        <f t="shared" si="9"/>
        <v>101.12568143648349</v>
      </c>
      <c r="J61">
        <f t="shared" si="10"/>
        <v>102.35799060737496</v>
      </c>
      <c r="K61">
        <f t="shared" si="11"/>
        <v>103.80085790941853</v>
      </c>
      <c r="M61" t="s">
        <v>507</v>
      </c>
      <c r="N61" t="s">
        <v>558</v>
      </c>
      <c r="O61">
        <f t="shared" si="12"/>
        <v>1</v>
      </c>
    </row>
    <row r="62" spans="1:15" x14ac:dyDescent="0.35">
      <c r="A62" t="s">
        <v>511</v>
      </c>
      <c r="B62">
        <v>3.9506309984605505E-2</v>
      </c>
      <c r="C62">
        <v>3.9722123717746021</v>
      </c>
      <c r="D62">
        <v>3.9745106421509186</v>
      </c>
      <c r="E62">
        <v>3.9712145110324464</v>
      </c>
      <c r="F62">
        <v>3.9729226774882536</v>
      </c>
      <c r="G62" t="s">
        <v>511</v>
      </c>
      <c r="H62">
        <f t="shared" si="8"/>
        <v>100.54627661562067</v>
      </c>
      <c r="I62">
        <f t="shared" si="9"/>
        <v>100.60445138256834</v>
      </c>
      <c r="J62">
        <f t="shared" si="10"/>
        <v>100.52101835326854</v>
      </c>
      <c r="K62">
        <f t="shared" si="11"/>
        <v>100.56425616658173</v>
      </c>
      <c r="M62" t="s">
        <v>508</v>
      </c>
      <c r="N62" t="s">
        <v>559</v>
      </c>
      <c r="O62">
        <f t="shared" si="12"/>
        <v>1</v>
      </c>
    </row>
    <row r="63" spans="1:15" x14ac:dyDescent="0.35">
      <c r="A63" t="s">
        <v>512</v>
      </c>
      <c r="B63">
        <v>6.5211849649000004E-3</v>
      </c>
      <c r="C63">
        <v>0.66996968827983139</v>
      </c>
      <c r="D63">
        <v>0.67311480658454581</v>
      </c>
      <c r="E63">
        <v>0.67310759920019847</v>
      </c>
      <c r="F63">
        <v>0.66982969511976198</v>
      </c>
      <c r="G63" t="s">
        <v>512</v>
      </c>
      <c r="H63">
        <f t="shared" si="8"/>
        <v>102.73741534489739</v>
      </c>
      <c r="I63">
        <f t="shared" si="9"/>
        <v>103.21970779966486</v>
      </c>
      <c r="J63">
        <f t="shared" si="10"/>
        <v>103.21860257348494</v>
      </c>
      <c r="K63">
        <f t="shared" si="11"/>
        <v>102.71594790288755</v>
      </c>
      <c r="M63" t="s">
        <v>509</v>
      </c>
      <c r="N63" t="s">
        <v>560</v>
      </c>
      <c r="O63">
        <f t="shared" si="12"/>
        <v>1</v>
      </c>
    </row>
    <row r="64" spans="1:15" x14ac:dyDescent="0.35">
      <c r="A64" t="s">
        <v>513</v>
      </c>
      <c r="B64">
        <v>4.6279761451362483E-3</v>
      </c>
      <c r="C64">
        <v>0.46279761451362483</v>
      </c>
      <c r="D64">
        <v>0.46279761451362483</v>
      </c>
      <c r="E64">
        <v>0.46279761451362483</v>
      </c>
      <c r="F64">
        <v>0.46279761451362483</v>
      </c>
      <c r="G64" t="s">
        <v>513</v>
      </c>
      <c r="H64">
        <f t="shared" si="8"/>
        <v>100</v>
      </c>
      <c r="I64">
        <f t="shared" si="9"/>
        <v>100</v>
      </c>
      <c r="J64">
        <f t="shared" si="10"/>
        <v>100</v>
      </c>
      <c r="K64">
        <f t="shared" si="11"/>
        <v>100</v>
      </c>
      <c r="M64" t="s">
        <v>509</v>
      </c>
      <c r="N64" t="s">
        <v>561</v>
      </c>
      <c r="O64">
        <f t="shared" si="12"/>
        <v>2</v>
      </c>
    </row>
    <row r="65" spans="1:15" x14ac:dyDescent="0.35">
      <c r="A65" t="s">
        <v>514</v>
      </c>
      <c r="B65">
        <v>2.9645012862897713E-2</v>
      </c>
      <c r="C65">
        <v>3.0042699928051082</v>
      </c>
      <c r="D65">
        <v>3.0272008040455853</v>
      </c>
      <c r="E65">
        <v>3.053035235809801</v>
      </c>
      <c r="F65">
        <v>3.0570384610243888</v>
      </c>
      <c r="G65" t="s">
        <v>514</v>
      </c>
      <c r="H65">
        <f t="shared" si="8"/>
        <v>101.34149736076213</v>
      </c>
      <c r="I65">
        <f t="shared" si="9"/>
        <v>102.11501064431265</v>
      </c>
      <c r="J65">
        <f t="shared" si="10"/>
        <v>102.98647026835447</v>
      </c>
      <c r="K65">
        <f t="shared" si="11"/>
        <v>103.1215090093765</v>
      </c>
      <c r="M65" t="s">
        <v>510</v>
      </c>
      <c r="N65" t="s">
        <v>562</v>
      </c>
      <c r="O65">
        <f t="shared" si="12"/>
        <v>1</v>
      </c>
    </row>
    <row r="66" spans="1:15" x14ac:dyDescent="0.35">
      <c r="A66" t="s">
        <v>515</v>
      </c>
      <c r="B66">
        <v>2.67203508818665E-2</v>
      </c>
      <c r="C66">
        <v>2.6415887313851454</v>
      </c>
      <c r="D66">
        <v>2.639654872593046</v>
      </c>
      <c r="E66">
        <v>2.6402236030455661</v>
      </c>
      <c r="F66">
        <v>2.6399899763218153</v>
      </c>
      <c r="G66" t="s">
        <v>515</v>
      </c>
      <c r="H66">
        <f t="shared" si="8"/>
        <v>98.860555501830376</v>
      </c>
      <c r="I66">
        <f t="shared" si="9"/>
        <v>98.788181497437648</v>
      </c>
      <c r="J66">
        <f t="shared" si="10"/>
        <v>98.809466040258016</v>
      </c>
      <c r="K66">
        <f t="shared" si="11"/>
        <v>98.800722639964221</v>
      </c>
      <c r="M66" t="s">
        <v>510</v>
      </c>
      <c r="N66" t="s">
        <v>563</v>
      </c>
      <c r="O66">
        <f t="shared" si="12"/>
        <v>2</v>
      </c>
    </row>
    <row r="67" spans="1:15" x14ac:dyDescent="0.35">
      <c r="A67" t="s">
        <v>516</v>
      </c>
      <c r="B67">
        <v>6.7777780540725233E-3</v>
      </c>
      <c r="C67">
        <v>0.68014292750730365</v>
      </c>
      <c r="D67">
        <v>0.68014922550605539</v>
      </c>
      <c r="E67">
        <v>0.68014922550605539</v>
      </c>
      <c r="F67">
        <v>0.68014922550605539</v>
      </c>
      <c r="G67" t="s">
        <v>516</v>
      </c>
      <c r="H67">
        <f t="shared" si="8"/>
        <v>100.3489524267662</v>
      </c>
      <c r="I67">
        <f t="shared" si="9"/>
        <v>100.3498816396589</v>
      </c>
      <c r="J67">
        <f t="shared" si="10"/>
        <v>100.3498816396589</v>
      </c>
      <c r="K67">
        <f t="shared" si="11"/>
        <v>100.3498816396589</v>
      </c>
      <c r="M67" t="s">
        <v>511</v>
      </c>
      <c r="N67" t="s">
        <v>564</v>
      </c>
      <c r="O67">
        <f t="shared" si="12"/>
        <v>1</v>
      </c>
    </row>
    <row r="68" spans="1:15" x14ac:dyDescent="0.35">
      <c r="A68" t="s">
        <v>517</v>
      </c>
      <c r="B68">
        <v>3.844826018613165E-2</v>
      </c>
      <c r="C68">
        <v>3.8427602909905367</v>
      </c>
      <c r="D68">
        <v>3.8406369814667682</v>
      </c>
      <c r="E68">
        <v>3.8433744782281032</v>
      </c>
      <c r="F68">
        <v>3.8433744782281032</v>
      </c>
      <c r="G68" t="s">
        <v>517</v>
      </c>
      <c r="H68">
        <f t="shared" si="8"/>
        <v>99.946272533201039</v>
      </c>
      <c r="I68">
        <f t="shared" si="9"/>
        <v>99.891047419932207</v>
      </c>
      <c r="J68">
        <f t="shared" si="10"/>
        <v>99.962246916296479</v>
      </c>
      <c r="K68">
        <f t="shared" si="11"/>
        <v>99.962246916296479</v>
      </c>
      <c r="M68" t="s">
        <v>512</v>
      </c>
      <c r="N68" t="s">
        <v>565</v>
      </c>
      <c r="O68">
        <f t="shared" si="12"/>
        <v>1</v>
      </c>
    </row>
    <row r="69" spans="1:15" x14ac:dyDescent="0.35">
      <c r="A69" t="s">
        <v>518</v>
      </c>
      <c r="B69">
        <v>3.2748930071439153E-3</v>
      </c>
      <c r="C69">
        <v>0.32141123439495789</v>
      </c>
      <c r="D69">
        <v>0.32064800629678292</v>
      </c>
      <c r="E69">
        <v>0.31915209839852388</v>
      </c>
      <c r="F69">
        <v>0.31945068802930038</v>
      </c>
      <c r="G69" t="s">
        <v>518</v>
      </c>
      <c r="H69">
        <f t="shared" si="8"/>
        <v>98.14404125381354</v>
      </c>
      <c r="I69">
        <f t="shared" si="9"/>
        <v>97.910986892492403</v>
      </c>
      <c r="J69">
        <f t="shared" si="10"/>
        <v>97.454206199200797</v>
      </c>
      <c r="K69">
        <f t="shared" si="11"/>
        <v>97.545381584205785</v>
      </c>
      <c r="M69" t="s">
        <v>513</v>
      </c>
      <c r="N69" t="s">
        <v>566</v>
      </c>
      <c r="O69">
        <f t="shared" si="12"/>
        <v>1</v>
      </c>
    </row>
    <row r="70" spans="1:15" x14ac:dyDescent="0.35">
      <c r="A70" t="s">
        <v>519</v>
      </c>
      <c r="B70">
        <v>6.5497860142878306E-3</v>
      </c>
      <c r="C70">
        <v>0.66414999648042783</v>
      </c>
      <c r="D70">
        <v>0.66970322863351206</v>
      </c>
      <c r="E70">
        <v>0.66951599343700607</v>
      </c>
      <c r="F70">
        <v>0.66440576654903194</v>
      </c>
      <c r="G70" t="s">
        <v>519</v>
      </c>
      <c r="H70">
        <f t="shared" si="8"/>
        <v>101.40025873084069</v>
      </c>
      <c r="I70">
        <f t="shared" si="9"/>
        <v>102.24810813248072</v>
      </c>
      <c r="J70">
        <f t="shared" si="10"/>
        <v>102.21952167238912</v>
      </c>
      <c r="K70">
        <f t="shared" si="11"/>
        <v>101.43930887202792</v>
      </c>
      <c r="M70" t="s">
        <v>514</v>
      </c>
      <c r="N70" t="s">
        <v>567</v>
      </c>
      <c r="O70">
        <f t="shared" si="12"/>
        <v>1</v>
      </c>
    </row>
    <row r="71" spans="1:15" x14ac:dyDescent="0.35">
      <c r="A71" t="s">
        <v>520</v>
      </c>
      <c r="B71">
        <v>1.4188965800073162E-2</v>
      </c>
      <c r="C71">
        <v>1.3926456407584311</v>
      </c>
      <c r="D71">
        <v>1.414666387811313</v>
      </c>
      <c r="E71">
        <v>1.4159139051504275</v>
      </c>
      <c r="F71">
        <v>1.4194259488044909</v>
      </c>
      <c r="G71" t="s">
        <v>520</v>
      </c>
      <c r="H71">
        <f t="shared" si="8"/>
        <v>98.149904678130255</v>
      </c>
      <c r="I71">
        <f t="shared" si="9"/>
        <v>99.701867475360231</v>
      </c>
      <c r="J71">
        <f t="shared" si="10"/>
        <v>99.789789129178587</v>
      </c>
      <c r="K71">
        <f t="shared" si="11"/>
        <v>100.0373084835522</v>
      </c>
      <c r="M71" t="s">
        <v>515</v>
      </c>
      <c r="N71" t="s">
        <v>568</v>
      </c>
      <c r="O71">
        <f t="shared" si="12"/>
        <v>1</v>
      </c>
    </row>
    <row r="72" spans="1:15" x14ac:dyDescent="0.35">
      <c r="A72" t="s">
        <v>521</v>
      </c>
      <c r="B72">
        <v>3.5472414500182913E-3</v>
      </c>
      <c r="C72">
        <v>0.35409727070676705</v>
      </c>
      <c r="D72">
        <v>0.354083760889226</v>
      </c>
      <c r="E72">
        <v>0.3541800971138615</v>
      </c>
      <c r="F72">
        <v>0.35405763752295411</v>
      </c>
      <c r="G72" t="s">
        <v>521</v>
      </c>
      <c r="H72">
        <f t="shared" si="8"/>
        <v>99.823278368869182</v>
      </c>
      <c r="I72">
        <f t="shared" si="9"/>
        <v>99.819469827011687</v>
      </c>
      <c r="J72">
        <f t="shared" si="10"/>
        <v>99.846627895046495</v>
      </c>
      <c r="K72">
        <f t="shared" si="11"/>
        <v>99.812105409720104</v>
      </c>
      <c r="M72" t="s">
        <v>516</v>
      </c>
      <c r="N72" t="s">
        <v>569</v>
      </c>
      <c r="O72">
        <f t="shared" si="12"/>
        <v>1</v>
      </c>
    </row>
    <row r="73" spans="1:15" x14ac:dyDescent="0.35">
      <c r="A73" t="s">
        <v>522</v>
      </c>
      <c r="B73">
        <v>7.5032577137738726E-2</v>
      </c>
      <c r="C73">
        <v>7.4820426777746576</v>
      </c>
      <c r="D73">
        <v>7.4956153466771784</v>
      </c>
      <c r="E73">
        <v>7.5019429454009163</v>
      </c>
      <c r="F73">
        <v>7.5163016302889112</v>
      </c>
      <c r="G73" t="s">
        <v>522</v>
      </c>
      <c r="H73">
        <f t="shared" si="8"/>
        <v>99.717255666691685</v>
      </c>
      <c r="I73">
        <f t="shared" si="9"/>
        <v>99.898146013528702</v>
      </c>
      <c r="J73">
        <f t="shared" si="10"/>
        <v>99.982477366190651</v>
      </c>
      <c r="K73">
        <f t="shared" si="11"/>
        <v>100.17384337593914</v>
      </c>
      <c r="M73" t="s">
        <v>517</v>
      </c>
      <c r="N73" t="s">
        <v>570</v>
      </c>
      <c r="O73">
        <f t="shared" si="12"/>
        <v>1</v>
      </c>
    </row>
    <row r="74" spans="1:15" x14ac:dyDescent="0.35">
      <c r="A74" t="s">
        <v>523</v>
      </c>
      <c r="B74">
        <v>1.0077211714344263E-2</v>
      </c>
      <c r="C74">
        <v>1.0073577847982715</v>
      </c>
      <c r="D74">
        <v>1.032533610967334</v>
      </c>
      <c r="E74">
        <v>1.037474800242967</v>
      </c>
      <c r="F74">
        <v>1.0355910812991456</v>
      </c>
      <c r="G74" t="s">
        <v>523</v>
      </c>
      <c r="H74">
        <f t="shared" si="8"/>
        <v>99.963939763651339</v>
      </c>
      <c r="I74">
        <f t="shared" si="9"/>
        <v>102.46223263301978</v>
      </c>
      <c r="J74">
        <f t="shared" si="10"/>
        <v>102.95256561556489</v>
      </c>
      <c r="K74">
        <f t="shared" si="11"/>
        <v>102.7656370288468</v>
      </c>
      <c r="M74" t="s">
        <v>518</v>
      </c>
      <c r="N74" t="s">
        <v>571</v>
      </c>
      <c r="O74">
        <f t="shared" si="12"/>
        <v>1</v>
      </c>
    </row>
    <row r="75" spans="1:15" x14ac:dyDescent="0.35">
      <c r="A75" t="s">
        <v>524</v>
      </c>
      <c r="B75">
        <v>1.1871014514702016E-2</v>
      </c>
      <c r="C75">
        <v>1.1880477152569866</v>
      </c>
      <c r="D75">
        <v>1.1911770197752121</v>
      </c>
      <c r="E75">
        <v>1.2014293177243376</v>
      </c>
      <c r="F75">
        <v>1.2079177593616757</v>
      </c>
      <c r="G75" t="s">
        <v>524</v>
      </c>
      <c r="H75">
        <f t="shared" si="8"/>
        <v>100.07971212448717</v>
      </c>
      <c r="I75">
        <f t="shared" si="9"/>
        <v>100.34332097732363</v>
      </c>
      <c r="J75">
        <f t="shared" si="10"/>
        <v>101.20696223868576</v>
      </c>
      <c r="K75">
        <f t="shared" si="11"/>
        <v>101.75354076651945</v>
      </c>
      <c r="M75" t="s">
        <v>519</v>
      </c>
      <c r="N75" t="s">
        <v>572</v>
      </c>
      <c r="O75">
        <f t="shared" si="12"/>
        <v>1</v>
      </c>
    </row>
    <row r="76" spans="1:15" x14ac:dyDescent="0.35">
      <c r="A76" t="s">
        <v>525</v>
      </c>
      <c r="B76">
        <v>5.8812134151351204E-3</v>
      </c>
      <c r="C76">
        <v>0.59358825787530023</v>
      </c>
      <c r="D76">
        <v>0.59994943928504263</v>
      </c>
      <c r="E76">
        <v>0.60028320452505657</v>
      </c>
      <c r="F76">
        <v>0.60005056982834093</v>
      </c>
      <c r="G76" t="s">
        <v>525</v>
      </c>
      <c r="H76">
        <f t="shared" si="8"/>
        <v>100.92955585453153</v>
      </c>
      <c r="I76">
        <f t="shared" si="9"/>
        <v>102.01116622312861</v>
      </c>
      <c r="J76">
        <f t="shared" si="10"/>
        <v>102.06791730771856</v>
      </c>
      <c r="K76">
        <f t="shared" si="11"/>
        <v>102.02836174659627</v>
      </c>
      <c r="M76" t="s">
        <v>520</v>
      </c>
      <c r="N76" t="s">
        <v>573</v>
      </c>
      <c r="O76">
        <f t="shared" si="12"/>
        <v>1</v>
      </c>
    </row>
    <row r="77" spans="1:15" x14ac:dyDescent="0.35">
      <c r="A77" t="s">
        <v>526</v>
      </c>
      <c r="B77">
        <v>1.9604044717117068E-3</v>
      </c>
      <c r="C77">
        <v>0.19592424159498803</v>
      </c>
      <c r="D77">
        <v>0.19625766713767268</v>
      </c>
      <c r="E77">
        <v>0.19626358540691732</v>
      </c>
      <c r="F77">
        <v>0.19626358540691732</v>
      </c>
      <c r="G77" t="s">
        <v>526</v>
      </c>
      <c r="H77">
        <f t="shared" si="8"/>
        <v>99.94072367317078</v>
      </c>
      <c r="I77">
        <f t="shared" si="9"/>
        <v>100.11080364773517</v>
      </c>
      <c r="J77">
        <f t="shared" si="10"/>
        <v>100.11382254986994</v>
      </c>
      <c r="K77">
        <f t="shared" si="11"/>
        <v>100.11382254986994</v>
      </c>
      <c r="M77" t="s">
        <v>521</v>
      </c>
      <c r="N77" t="s">
        <v>574</v>
      </c>
      <c r="O77">
        <f t="shared" si="12"/>
        <v>1</v>
      </c>
    </row>
    <row r="78" spans="1:15" x14ac:dyDescent="0.35">
      <c r="A78" t="s">
        <v>527</v>
      </c>
      <c r="B78">
        <v>1.4241801640192791E-2</v>
      </c>
      <c r="C78">
        <v>1.4217165003502645</v>
      </c>
      <c r="D78">
        <v>1.4198697260859137</v>
      </c>
      <c r="E78">
        <v>1.4564576817190125</v>
      </c>
      <c r="F78">
        <v>1.4664298295336129</v>
      </c>
      <c r="G78" t="s">
        <v>527</v>
      </c>
      <c r="H78">
        <f t="shared" si="8"/>
        <v>99.827011797295242</v>
      </c>
      <c r="I78">
        <f t="shared" si="9"/>
        <v>99.697338999498442</v>
      </c>
      <c r="J78">
        <f t="shared" si="10"/>
        <v>102.26639287045262</v>
      </c>
      <c r="K78">
        <f t="shared" si="11"/>
        <v>102.96659556015005</v>
      </c>
      <c r="M78" t="s">
        <v>522</v>
      </c>
      <c r="N78" t="s">
        <v>575</v>
      </c>
      <c r="O78">
        <f t="shared" si="12"/>
        <v>1</v>
      </c>
    </row>
    <row r="79" spans="1:15" x14ac:dyDescent="0.35">
      <c r="A79" t="s">
        <v>528</v>
      </c>
      <c r="B79">
        <v>1.1046528595887898E-2</v>
      </c>
      <c r="C79">
        <v>1.0975694913464293</v>
      </c>
      <c r="D79">
        <v>1.1004885448616382</v>
      </c>
      <c r="E79">
        <v>1.1024293044663283</v>
      </c>
      <c r="F79">
        <v>1.1014569366862477</v>
      </c>
      <c r="G79" t="s">
        <v>528</v>
      </c>
      <c r="H79">
        <f t="shared" si="8"/>
        <v>99.358769754599891</v>
      </c>
      <c r="I79">
        <f t="shared" si="9"/>
        <v>99.623020509022012</v>
      </c>
      <c r="J79">
        <f t="shared" si="10"/>
        <v>99.798710055999919</v>
      </c>
      <c r="K79">
        <f t="shared" si="11"/>
        <v>99.710685318487123</v>
      </c>
      <c r="M79" t="s">
        <v>523</v>
      </c>
      <c r="N79" t="s">
        <v>576</v>
      </c>
      <c r="O79">
        <f t="shared" si="12"/>
        <v>1</v>
      </c>
    </row>
    <row r="80" spans="1:15" x14ac:dyDescent="0.35">
      <c r="A80" t="s">
        <v>529</v>
      </c>
      <c r="B80">
        <v>9.4820987499744849E-3</v>
      </c>
      <c r="C80">
        <v>0.9435296683094061</v>
      </c>
      <c r="D80">
        <v>0.9435296683094061</v>
      </c>
      <c r="E80">
        <v>0.99594798321548472</v>
      </c>
      <c r="F80">
        <v>0.99594798321548472</v>
      </c>
      <c r="G80" t="s">
        <v>529</v>
      </c>
      <c r="H80">
        <f t="shared" si="8"/>
        <v>99.5064165844028</v>
      </c>
      <c r="I80">
        <f t="shared" si="9"/>
        <v>99.5064165844028</v>
      </c>
      <c r="J80">
        <f t="shared" si="10"/>
        <v>105.03455083909189</v>
      </c>
      <c r="K80">
        <f t="shared" si="11"/>
        <v>105.03455083909189</v>
      </c>
      <c r="M80" t="s">
        <v>524</v>
      </c>
      <c r="N80" t="s">
        <v>577</v>
      </c>
      <c r="O80">
        <f t="shared" si="12"/>
        <v>1</v>
      </c>
    </row>
    <row r="81" spans="1:15" x14ac:dyDescent="0.35">
      <c r="A81" t="s">
        <v>530</v>
      </c>
      <c r="B81">
        <v>1.211762234752788E-2</v>
      </c>
      <c r="C81">
        <v>1.2238726030998646</v>
      </c>
      <c r="D81">
        <v>1.2242053638928485</v>
      </c>
      <c r="E81">
        <v>1.2234436256170238</v>
      </c>
      <c r="F81">
        <v>1.2322669632651566</v>
      </c>
      <c r="G81" t="s">
        <v>530</v>
      </c>
      <c r="H81">
        <f t="shared" si="8"/>
        <v>100.99940136767403</v>
      </c>
      <c r="I81">
        <f t="shared" si="9"/>
        <v>101.02686226581397</v>
      </c>
      <c r="J81">
        <f t="shared" si="10"/>
        <v>100.96400024107196</v>
      </c>
      <c r="K81">
        <f t="shared" si="11"/>
        <v>101.69214124060829</v>
      </c>
      <c r="M81" t="s">
        <v>525</v>
      </c>
      <c r="N81" t="s">
        <v>578</v>
      </c>
      <c r="O81">
        <f t="shared" si="12"/>
        <v>1</v>
      </c>
    </row>
    <row r="82" spans="1:15" x14ac:dyDescent="0.35">
      <c r="A82" t="s">
        <v>531</v>
      </c>
      <c r="B82">
        <v>2.1174734869300826E-2</v>
      </c>
      <c r="C82">
        <v>2.1712965374306572</v>
      </c>
      <c r="D82">
        <v>2.1731038571515029</v>
      </c>
      <c r="E82">
        <v>2.1929514134289807</v>
      </c>
      <c r="F82">
        <v>2.2151686007840312</v>
      </c>
      <c r="G82" t="s">
        <v>531</v>
      </c>
      <c r="H82">
        <f t="shared" si="8"/>
        <v>102.54185239308981</v>
      </c>
      <c r="I82">
        <f t="shared" si="9"/>
        <v>102.62720504246187</v>
      </c>
      <c r="J82">
        <f t="shared" si="10"/>
        <v>103.56452758274325</v>
      </c>
      <c r="K82">
        <f t="shared" si="11"/>
        <v>104.61375854087255</v>
      </c>
      <c r="M82" t="s">
        <v>526</v>
      </c>
      <c r="N82" t="s">
        <v>579</v>
      </c>
      <c r="O82">
        <f t="shared" si="12"/>
        <v>1</v>
      </c>
    </row>
    <row r="83" spans="1:15" x14ac:dyDescent="0.35">
      <c r="A83" t="s">
        <v>532</v>
      </c>
      <c r="B83">
        <v>1.0587367434650413E-2</v>
      </c>
      <c r="C83">
        <v>1.0562003797076902</v>
      </c>
      <c r="D83">
        <v>1.0561664949309411</v>
      </c>
      <c r="E83">
        <v>1.0564574431734775</v>
      </c>
      <c r="F83">
        <v>1.0409298429121017</v>
      </c>
      <c r="G83" t="s">
        <v>532</v>
      </c>
      <c r="H83">
        <f t="shared" si="8"/>
        <v>99.760434898192912</v>
      </c>
      <c r="I83">
        <f t="shared" si="9"/>
        <v>99.757234406951028</v>
      </c>
      <c r="J83">
        <f t="shared" si="10"/>
        <v>99.78471510452124</v>
      </c>
      <c r="K83">
        <f t="shared" si="11"/>
        <v>98.318099313842538</v>
      </c>
      <c r="M83" t="s">
        <v>527</v>
      </c>
      <c r="N83" t="s">
        <v>580</v>
      </c>
      <c r="O83">
        <f t="shared" si="12"/>
        <v>1</v>
      </c>
    </row>
    <row r="84" spans="1:15" x14ac:dyDescent="0.35">
      <c r="A84" t="s">
        <v>533</v>
      </c>
      <c r="B84">
        <v>6.2540767340639909E-3</v>
      </c>
      <c r="C84">
        <v>0.62510089807016278</v>
      </c>
      <c r="D84">
        <v>0.62665578884142348</v>
      </c>
      <c r="E84">
        <v>0.62642952034239285</v>
      </c>
      <c r="F84">
        <v>0.62659205252748984</v>
      </c>
      <c r="G84" t="s">
        <v>533</v>
      </c>
      <c r="H84">
        <f t="shared" si="8"/>
        <v>99.950947941753668</v>
      </c>
      <c r="I84">
        <f t="shared" si="9"/>
        <v>100.19956829570484</v>
      </c>
      <c r="J84">
        <f t="shared" si="10"/>
        <v>100.16338893484118</v>
      </c>
      <c r="K84">
        <f t="shared" si="11"/>
        <v>100.18937713294112</v>
      </c>
      <c r="M84" t="s">
        <v>528</v>
      </c>
      <c r="N84" t="s">
        <v>581</v>
      </c>
      <c r="O84">
        <f t="shared" si="12"/>
        <v>1</v>
      </c>
    </row>
    <row r="85" spans="1:15" x14ac:dyDescent="0.35">
      <c r="A85" t="s">
        <v>534</v>
      </c>
      <c r="B85">
        <v>2.7213069303280088E-2</v>
      </c>
      <c r="C85">
        <v>2.7317063466878011</v>
      </c>
      <c r="D85">
        <v>2.7686909151814012</v>
      </c>
      <c r="E85">
        <v>2.7802579976032451</v>
      </c>
      <c r="F85">
        <v>2.8053884072163173</v>
      </c>
      <c r="G85" t="s">
        <v>534</v>
      </c>
      <c r="H85">
        <f t="shared" si="8"/>
        <v>100.3821478659351</v>
      </c>
      <c r="I85">
        <f t="shared" si="9"/>
        <v>101.74122162867094</v>
      </c>
      <c r="J85">
        <f t="shared" si="10"/>
        <v>102.16627777698456</v>
      </c>
      <c r="K85">
        <f t="shared" si="11"/>
        <v>103.08974617861918</v>
      </c>
      <c r="M85" t="s">
        <v>529</v>
      </c>
      <c r="N85" t="s">
        <v>582</v>
      </c>
      <c r="O85">
        <f t="shared" si="12"/>
        <v>1</v>
      </c>
    </row>
    <row r="86" spans="1:15" x14ac:dyDescent="0.35">
      <c r="A86" t="s">
        <v>535</v>
      </c>
      <c r="B86">
        <v>6.8529208518754983E-3</v>
      </c>
      <c r="C86">
        <v>0.68569600496200178</v>
      </c>
      <c r="D86">
        <v>0.6843055714097771</v>
      </c>
      <c r="E86">
        <v>0.68614359485942933</v>
      </c>
      <c r="F86">
        <v>0.6866633653392773</v>
      </c>
      <c r="G86" t="s">
        <v>535</v>
      </c>
      <c r="H86">
        <f t="shared" si="8"/>
        <v>100.05894125777644</v>
      </c>
      <c r="I86">
        <f t="shared" si="9"/>
        <v>99.856044772864593</v>
      </c>
      <c r="J86">
        <f t="shared" si="10"/>
        <v>100.12425499874939</v>
      </c>
      <c r="K86">
        <f t="shared" si="11"/>
        <v>100.20010155981186</v>
      </c>
      <c r="M86" t="s">
        <v>530</v>
      </c>
      <c r="N86" t="s">
        <v>583</v>
      </c>
      <c r="O86">
        <f t="shared" si="12"/>
        <v>1</v>
      </c>
    </row>
    <row r="87" spans="1:15" x14ac:dyDescent="0.35">
      <c r="A87" t="s">
        <v>536</v>
      </c>
      <c r="B87">
        <v>2.1418793931301517E-2</v>
      </c>
      <c r="C87">
        <v>2.1467475758782859</v>
      </c>
      <c r="D87">
        <v>2.168729810016059</v>
      </c>
      <c r="E87">
        <v>2.1694034654763961</v>
      </c>
      <c r="F87">
        <v>2.1694034654763961</v>
      </c>
      <c r="G87" t="s">
        <v>536</v>
      </c>
      <c r="H87">
        <f t="shared" si="8"/>
        <v>100.2272855681673</v>
      </c>
      <c r="I87">
        <f t="shared" si="9"/>
        <v>101.25359144740023</v>
      </c>
      <c r="J87">
        <f t="shared" si="10"/>
        <v>101.2850430530554</v>
      </c>
      <c r="K87">
        <f t="shared" si="11"/>
        <v>101.2850430530554</v>
      </c>
      <c r="M87" t="s">
        <v>531</v>
      </c>
      <c r="N87" t="s">
        <v>584</v>
      </c>
      <c r="O87">
        <f t="shared" si="12"/>
        <v>1</v>
      </c>
    </row>
    <row r="88" spans="1:15" x14ac:dyDescent="0.35">
      <c r="A88" t="s">
        <v>537</v>
      </c>
      <c r="B88">
        <v>6.1354259757413501E-2</v>
      </c>
      <c r="C88">
        <v>6.1353133068299197</v>
      </c>
      <c r="D88">
        <v>6.1587382118511691</v>
      </c>
      <c r="E88">
        <v>6.1581343034063369</v>
      </c>
      <c r="F88">
        <v>6.1577555616554651</v>
      </c>
      <c r="G88" t="s">
        <v>537</v>
      </c>
      <c r="H88">
        <f t="shared" si="8"/>
        <v>99.998163633431872</v>
      </c>
      <c r="I88">
        <f t="shared" si="9"/>
        <v>100.37996116654317</v>
      </c>
      <c r="J88">
        <f t="shared" si="10"/>
        <v>100.37011819154485</v>
      </c>
      <c r="K88">
        <f t="shared" si="11"/>
        <v>100.36394516048931</v>
      </c>
      <c r="M88" t="s">
        <v>532</v>
      </c>
      <c r="N88" t="s">
        <v>585</v>
      </c>
      <c r="O88">
        <f t="shared" si="12"/>
        <v>1</v>
      </c>
    </row>
    <row r="89" spans="1:15" x14ac:dyDescent="0.35">
      <c r="A89" t="s">
        <v>538</v>
      </c>
      <c r="B89">
        <v>4.8781114478136595E-3</v>
      </c>
      <c r="C89">
        <v>0.48472594158160831</v>
      </c>
      <c r="D89">
        <v>0.49112731531927128</v>
      </c>
      <c r="E89">
        <v>0.49121572709511097</v>
      </c>
      <c r="F89">
        <v>0.49025280654065218</v>
      </c>
      <c r="G89" t="s">
        <v>538</v>
      </c>
      <c r="H89">
        <f t="shared" si="8"/>
        <v>99.367541469119075</v>
      </c>
      <c r="I89">
        <f t="shared" si="9"/>
        <v>100.67980622693473</v>
      </c>
      <c r="J89">
        <f t="shared" si="10"/>
        <v>100.6979304081441</v>
      </c>
      <c r="K89">
        <f t="shared" si="11"/>
        <v>100.50053423038962</v>
      </c>
      <c r="M89" t="s">
        <v>533</v>
      </c>
      <c r="N89" t="s">
        <v>586</v>
      </c>
      <c r="O89">
        <f t="shared" si="12"/>
        <v>1</v>
      </c>
    </row>
    <row r="90" spans="1:15" x14ac:dyDescent="0.35">
      <c r="A90" t="s">
        <v>539</v>
      </c>
      <c r="B90">
        <v>1.0781164361621555E-2</v>
      </c>
      <c r="C90">
        <v>1.0784385108094352</v>
      </c>
      <c r="D90">
        <v>1.0784222734886539</v>
      </c>
      <c r="E90">
        <v>1.0786123175436713</v>
      </c>
      <c r="F90">
        <v>1.0783697040023419</v>
      </c>
      <c r="G90" t="s">
        <v>539</v>
      </c>
      <c r="H90">
        <f t="shared" si="8"/>
        <v>100.0298738277682</v>
      </c>
      <c r="I90">
        <f t="shared" si="9"/>
        <v>100.02836774547164</v>
      </c>
      <c r="J90">
        <f t="shared" si="10"/>
        <v>100.04599516015924</v>
      </c>
      <c r="K90">
        <f t="shared" si="11"/>
        <v>100.02349169641528</v>
      </c>
      <c r="M90" t="s">
        <v>534</v>
      </c>
      <c r="N90" t="s">
        <v>587</v>
      </c>
      <c r="O90">
        <f t="shared" si="12"/>
        <v>1</v>
      </c>
    </row>
    <row r="91" spans="1:15" x14ac:dyDescent="0.35">
      <c r="A91" t="s">
        <v>540</v>
      </c>
      <c r="B91">
        <v>4.3949921110845391E-2</v>
      </c>
      <c r="C91">
        <v>4.3950257671989377</v>
      </c>
      <c r="D91">
        <v>4.3950257671989377</v>
      </c>
      <c r="E91">
        <v>4.395032777739841</v>
      </c>
      <c r="F91">
        <v>4.395032777739841</v>
      </c>
      <c r="G91" t="s">
        <v>540</v>
      </c>
      <c r="H91">
        <f t="shared" si="8"/>
        <v>100.00076578327214</v>
      </c>
      <c r="I91">
        <f t="shared" si="9"/>
        <v>100.00076578327214</v>
      </c>
      <c r="J91">
        <f t="shared" si="10"/>
        <v>100.00092529529688</v>
      </c>
      <c r="K91">
        <f t="shared" si="11"/>
        <v>100.00092529529688</v>
      </c>
      <c r="M91" t="s">
        <v>535</v>
      </c>
      <c r="N91" t="s">
        <v>588</v>
      </c>
      <c r="O91">
        <f t="shared" si="12"/>
        <v>1</v>
      </c>
    </row>
    <row r="92" spans="1:15" x14ac:dyDescent="0.35">
      <c r="A92" t="s">
        <v>541</v>
      </c>
      <c r="B92">
        <v>9.3383097784425478E-3</v>
      </c>
      <c r="C92">
        <v>0.93844201565707963</v>
      </c>
      <c r="D92">
        <v>0.93947747114862956</v>
      </c>
      <c r="E92">
        <v>0.94885597413614942</v>
      </c>
      <c r="F92">
        <v>0.94885365371110209</v>
      </c>
      <c r="G92" t="s">
        <v>541</v>
      </c>
      <c r="H92">
        <f t="shared" si="8"/>
        <v>100.49377648870349</v>
      </c>
      <c r="I92">
        <f t="shared" si="9"/>
        <v>100.60465902699113</v>
      </c>
      <c r="J92">
        <f t="shared" si="10"/>
        <v>101.60896314733313</v>
      </c>
      <c r="K92">
        <f t="shared" si="11"/>
        <v>101.60871466285334</v>
      </c>
      <c r="M92" t="s">
        <v>536</v>
      </c>
      <c r="N92" t="s">
        <v>589</v>
      </c>
      <c r="O92">
        <f t="shared" si="12"/>
        <v>1</v>
      </c>
    </row>
    <row r="93" spans="1:15" x14ac:dyDescent="0.35">
      <c r="A93" t="s">
        <v>542</v>
      </c>
      <c r="B93">
        <v>5.2187709331150536E-2</v>
      </c>
      <c r="C93">
        <v>5.1895767011374128</v>
      </c>
      <c r="D93">
        <v>5.181624465481522</v>
      </c>
      <c r="E93">
        <v>5.136582117266502</v>
      </c>
      <c r="F93">
        <v>5.1474387608481473</v>
      </c>
      <c r="G93" t="s">
        <v>542</v>
      </c>
      <c r="H93">
        <f t="shared" si="8"/>
        <v>99.440591810757724</v>
      </c>
      <c r="I93">
        <f t="shared" si="9"/>
        <v>99.288214253708219</v>
      </c>
      <c r="J93">
        <f t="shared" si="10"/>
        <v>98.425130803748587</v>
      </c>
      <c r="K93">
        <f t="shared" si="11"/>
        <v>98.63316146308938</v>
      </c>
      <c r="M93" t="s">
        <v>537</v>
      </c>
      <c r="N93" t="s">
        <v>590</v>
      </c>
      <c r="O93">
        <f t="shared" si="12"/>
        <v>1</v>
      </c>
    </row>
    <row r="94" spans="1:15" x14ac:dyDescent="0.35">
      <c r="A94" t="s">
        <v>543</v>
      </c>
      <c r="B94">
        <v>2.3957995941733617E-3</v>
      </c>
      <c r="C94">
        <v>0.24353656515624386</v>
      </c>
      <c r="D94">
        <v>0.24353656515624386</v>
      </c>
      <c r="E94">
        <v>0.24353656515624386</v>
      </c>
      <c r="F94">
        <v>0.24539064808100142</v>
      </c>
      <c r="G94" t="s">
        <v>543</v>
      </c>
      <c r="H94">
        <f t="shared" si="8"/>
        <v>101.65147608695246</v>
      </c>
      <c r="I94">
        <f t="shared" si="9"/>
        <v>101.65147608695246</v>
      </c>
      <c r="J94">
        <f t="shared" si="10"/>
        <v>101.65147608695246</v>
      </c>
      <c r="K94">
        <f t="shared" si="11"/>
        <v>102.42536507552509</v>
      </c>
      <c r="M94" t="s">
        <v>538</v>
      </c>
      <c r="N94" t="s">
        <v>591</v>
      </c>
      <c r="O94">
        <f t="shared" si="12"/>
        <v>1</v>
      </c>
    </row>
    <row r="95" spans="1:15" x14ac:dyDescent="0.35">
      <c r="A95" t="s">
        <v>544</v>
      </c>
      <c r="B95">
        <v>2.3957995941733617E-3</v>
      </c>
      <c r="C95">
        <v>0.23957995941733617</v>
      </c>
      <c r="D95">
        <v>0.23957995941733617</v>
      </c>
      <c r="E95">
        <v>0.23957995941733617</v>
      </c>
      <c r="F95">
        <v>0.23957995941733617</v>
      </c>
      <c r="G95" t="s">
        <v>544</v>
      </c>
      <c r="H95">
        <f t="shared" si="8"/>
        <v>100</v>
      </c>
      <c r="I95">
        <f t="shared" si="9"/>
        <v>100</v>
      </c>
      <c r="J95">
        <f t="shared" si="10"/>
        <v>100</v>
      </c>
      <c r="K95">
        <f t="shared" si="11"/>
        <v>100</v>
      </c>
      <c r="M95" t="s">
        <v>539</v>
      </c>
      <c r="N95" t="s">
        <v>592</v>
      </c>
      <c r="O95">
        <f t="shared" si="12"/>
        <v>1</v>
      </c>
    </row>
    <row r="96" spans="1:15" x14ac:dyDescent="0.35">
      <c r="A96" t="s">
        <v>545</v>
      </c>
      <c r="B96">
        <v>9.5831983766934466E-3</v>
      </c>
      <c r="C96">
        <v>0.96390144842559367</v>
      </c>
      <c r="D96">
        <v>0.96986712212353599</v>
      </c>
      <c r="E96">
        <v>0.96985703598967121</v>
      </c>
      <c r="F96">
        <v>0.96994039093554396</v>
      </c>
      <c r="G96" t="s">
        <v>545</v>
      </c>
      <c r="H96">
        <f t="shared" si="8"/>
        <v>100.58243715060972</v>
      </c>
      <c r="I96">
        <f t="shared" si="9"/>
        <v>101.20495099864306</v>
      </c>
      <c r="J96">
        <f t="shared" si="10"/>
        <v>101.20389851767916</v>
      </c>
      <c r="K96">
        <f t="shared" si="11"/>
        <v>101.21259654756399</v>
      </c>
      <c r="M96" t="s">
        <v>540</v>
      </c>
      <c r="N96" t="s">
        <v>593</v>
      </c>
      <c r="O96">
        <f t="shared" si="12"/>
        <v>1</v>
      </c>
    </row>
    <row r="97" spans="1:15" x14ac:dyDescent="0.35">
      <c r="A97" t="s">
        <v>546</v>
      </c>
      <c r="B97">
        <v>2.2215568879380764E-2</v>
      </c>
      <c r="C97">
        <v>2.3303603230064693</v>
      </c>
      <c r="D97">
        <v>2.3303603230064693</v>
      </c>
      <c r="E97">
        <v>2.3303603230064693</v>
      </c>
      <c r="F97">
        <v>2.3303603230064693</v>
      </c>
      <c r="G97" t="s">
        <v>546</v>
      </c>
      <c r="H97">
        <f t="shared" si="8"/>
        <v>104.89762092787902</v>
      </c>
      <c r="I97">
        <f t="shared" si="9"/>
        <v>104.89762092787902</v>
      </c>
      <c r="J97">
        <f t="shared" si="10"/>
        <v>104.89762092787902</v>
      </c>
      <c r="K97">
        <f t="shared" si="11"/>
        <v>104.89762092787902</v>
      </c>
      <c r="M97" t="s">
        <v>541</v>
      </c>
      <c r="N97" t="s">
        <v>594</v>
      </c>
      <c r="O97">
        <f t="shared" si="12"/>
        <v>1</v>
      </c>
    </row>
    <row r="98" spans="1:15" x14ac:dyDescent="0.35">
      <c r="A98" t="s">
        <v>547</v>
      </c>
      <c r="B98">
        <v>2.7126350470942856E-3</v>
      </c>
      <c r="C98">
        <v>0.2696315208213878</v>
      </c>
      <c r="D98">
        <v>0.26968394907556936</v>
      </c>
      <c r="E98">
        <v>0.26946969227681444</v>
      </c>
      <c r="F98">
        <v>0.26936238911658972</v>
      </c>
      <c r="G98" t="s">
        <v>547</v>
      </c>
      <c r="H98">
        <f t="shared" si="8"/>
        <v>99.398376906694878</v>
      </c>
      <c r="I98">
        <f t="shared" si="9"/>
        <v>99.417704333079683</v>
      </c>
      <c r="J98">
        <f t="shared" si="10"/>
        <v>99.338719583920579</v>
      </c>
      <c r="K98">
        <f t="shared" si="11"/>
        <v>99.299162784586414</v>
      </c>
      <c r="M98" t="s">
        <v>542</v>
      </c>
      <c r="N98" t="s">
        <v>595</v>
      </c>
      <c r="O98">
        <f t="shared" si="12"/>
        <v>1</v>
      </c>
    </row>
    <row r="99" spans="1:15" x14ac:dyDescent="0.35">
      <c r="A99" t="s">
        <v>548</v>
      </c>
      <c r="B99">
        <v>1.626569385688662E-3</v>
      </c>
      <c r="C99">
        <v>0.16265693856886621</v>
      </c>
      <c r="D99">
        <v>0.16265693856886621</v>
      </c>
      <c r="E99">
        <v>0.16265693856886621</v>
      </c>
      <c r="F99">
        <v>0.16265693856886621</v>
      </c>
      <c r="G99" t="s">
        <v>548</v>
      </c>
      <c r="H99">
        <f t="shared" si="8"/>
        <v>100</v>
      </c>
      <c r="I99">
        <f t="shared" si="9"/>
        <v>100</v>
      </c>
      <c r="J99">
        <f t="shared" si="10"/>
        <v>100</v>
      </c>
      <c r="K99">
        <f t="shared" si="11"/>
        <v>100</v>
      </c>
      <c r="M99" t="s">
        <v>543</v>
      </c>
      <c r="N99" t="s">
        <v>596</v>
      </c>
      <c r="O99">
        <f t="shared" si="12"/>
        <v>1</v>
      </c>
    </row>
    <row r="100" spans="1:15" x14ac:dyDescent="0.35">
      <c r="A100" t="s">
        <v>549</v>
      </c>
      <c r="B100">
        <v>1.626569385688662E-3</v>
      </c>
      <c r="C100">
        <v>0.15879715552060819</v>
      </c>
      <c r="D100">
        <v>0.16214278043222102</v>
      </c>
      <c r="E100">
        <v>0.16214278043222102</v>
      </c>
      <c r="F100">
        <v>0.16214278043222102</v>
      </c>
      <c r="G100" t="s">
        <v>549</v>
      </c>
      <c r="H100">
        <f t="shared" si="8"/>
        <v>97.627040640123795</v>
      </c>
      <c r="I100">
        <f t="shared" si="9"/>
        <v>99.683900274301863</v>
      </c>
      <c r="J100">
        <f t="shared" si="10"/>
        <v>99.683900274301863</v>
      </c>
      <c r="K100">
        <f t="shared" si="11"/>
        <v>99.683900274301863</v>
      </c>
      <c r="M100" t="s">
        <v>544</v>
      </c>
      <c r="N100" t="s">
        <v>597</v>
      </c>
      <c r="O100">
        <f t="shared" si="12"/>
        <v>1</v>
      </c>
    </row>
    <row r="101" spans="1:15" x14ac:dyDescent="0.35">
      <c r="A101" t="s">
        <v>550</v>
      </c>
      <c r="B101">
        <v>3.390739502074714E-2</v>
      </c>
      <c r="C101">
        <v>3.4042488718082105</v>
      </c>
      <c r="D101">
        <v>3.4042489200937629</v>
      </c>
      <c r="E101">
        <v>3.4122552370664252</v>
      </c>
      <c r="F101">
        <v>3.4122552370664252</v>
      </c>
      <c r="G101" t="s">
        <v>550</v>
      </c>
      <c r="H101">
        <f t="shared" si="8"/>
        <v>100.39841956969063</v>
      </c>
      <c r="I101">
        <f t="shared" si="9"/>
        <v>100.39842099373257</v>
      </c>
      <c r="J101">
        <f t="shared" si="10"/>
        <v>100.63454402729984</v>
      </c>
      <c r="K101">
        <f t="shared" si="11"/>
        <v>100.63454402729984</v>
      </c>
      <c r="M101" t="s">
        <v>545</v>
      </c>
      <c r="N101" t="s">
        <v>598</v>
      </c>
      <c r="O101">
        <f t="shared" si="12"/>
        <v>1</v>
      </c>
    </row>
    <row r="102" spans="1:15" x14ac:dyDescent="0.35">
      <c r="A102" t="s">
        <v>551</v>
      </c>
      <c r="B102">
        <v>1.2884637124878191E-3</v>
      </c>
      <c r="C102">
        <v>0.13399792626877249</v>
      </c>
      <c r="D102">
        <v>0.13453715276820735</v>
      </c>
      <c r="E102">
        <v>0.13403737629242798</v>
      </c>
      <c r="F102">
        <v>0.1351112507236589</v>
      </c>
      <c r="G102" t="s">
        <v>551</v>
      </c>
      <c r="H102">
        <f t="shared" si="8"/>
        <v>103.99821506035568</v>
      </c>
      <c r="I102">
        <f t="shared" si="9"/>
        <v>104.41671850302826</v>
      </c>
      <c r="J102">
        <f t="shared" si="10"/>
        <v>104.02883293750126</v>
      </c>
      <c r="K102">
        <f t="shared" si="11"/>
        <v>104.86228631365994</v>
      </c>
      <c r="M102" t="s">
        <v>546</v>
      </c>
      <c r="N102" t="s">
        <v>599</v>
      </c>
      <c r="O102">
        <f t="shared" si="12"/>
        <v>1</v>
      </c>
    </row>
    <row r="103" spans="1:15" x14ac:dyDescent="0.35">
      <c r="A103" t="s">
        <v>552</v>
      </c>
      <c r="B103">
        <v>6.7362422135816714E-3</v>
      </c>
      <c r="C103">
        <v>0.69599817452250434</v>
      </c>
      <c r="D103">
        <v>0.69599817452250434</v>
      </c>
      <c r="E103">
        <v>0.69599817452250434</v>
      </c>
      <c r="F103">
        <v>0.69599817452250434</v>
      </c>
      <c r="G103" t="s">
        <v>552</v>
      </c>
      <c r="H103">
        <f>C103/$B103</f>
        <v>103.32142943423659</v>
      </c>
      <c r="I103">
        <f t="shared" ref="I103" si="13">D103/$B103</f>
        <v>103.32142943423659</v>
      </c>
      <c r="J103">
        <f t="shared" ref="J103" si="14">E103/$B103</f>
        <v>103.32142943423659</v>
      </c>
      <c r="K103">
        <f t="shared" ref="K103" si="15">F103/$B103</f>
        <v>103.32142943423659</v>
      </c>
      <c r="M103" t="s">
        <v>547</v>
      </c>
      <c r="N103" t="s">
        <v>600</v>
      </c>
      <c r="O103">
        <f t="shared" si="12"/>
        <v>1</v>
      </c>
    </row>
    <row r="104" spans="1:15" x14ac:dyDescent="0.35">
      <c r="M104" t="s">
        <v>548</v>
      </c>
      <c r="N104" t="s">
        <v>601</v>
      </c>
      <c r="O104">
        <f t="shared" si="12"/>
        <v>1</v>
      </c>
    </row>
    <row r="105" spans="1:15" x14ac:dyDescent="0.35">
      <c r="D105" t="s">
        <v>483</v>
      </c>
      <c r="E105" t="s">
        <v>163</v>
      </c>
      <c r="F105" t="s">
        <v>484</v>
      </c>
      <c r="G105" t="s">
        <v>3</v>
      </c>
      <c r="M105" t="s">
        <v>549</v>
      </c>
      <c r="N105" t="s">
        <v>602</v>
      </c>
      <c r="O105">
        <f t="shared" si="12"/>
        <v>1</v>
      </c>
    </row>
    <row r="106" spans="1:15" x14ac:dyDescent="0.35">
      <c r="A106" t="s">
        <v>505</v>
      </c>
      <c r="B106" t="s">
        <v>553</v>
      </c>
      <c r="D106">
        <v>102.04160390053038</v>
      </c>
      <c r="E106">
        <v>101.24263501337788</v>
      </c>
      <c r="F106">
        <v>101.08118933592985</v>
      </c>
      <c r="G106">
        <v>99.818527398809408</v>
      </c>
      <c r="M106" t="s">
        <v>550</v>
      </c>
      <c r="N106" t="s">
        <v>603</v>
      </c>
      <c r="O106">
        <f t="shared" si="12"/>
        <v>1</v>
      </c>
    </row>
    <row r="107" spans="1:15" x14ac:dyDescent="0.35">
      <c r="A107" t="s">
        <v>506</v>
      </c>
      <c r="B107" t="s">
        <v>557</v>
      </c>
      <c r="D107">
        <v>98.743099908374887</v>
      </c>
      <c r="E107">
        <v>99.009759497222802</v>
      </c>
      <c r="F107">
        <v>99.127781427004777</v>
      </c>
      <c r="G107">
        <v>99.122954565614819</v>
      </c>
      <c r="M107" t="s">
        <v>551</v>
      </c>
      <c r="N107" t="s">
        <v>604</v>
      </c>
      <c r="O107">
        <f t="shared" si="12"/>
        <v>1</v>
      </c>
    </row>
    <row r="108" spans="1:15" x14ac:dyDescent="0.35">
      <c r="A108" t="s">
        <v>507</v>
      </c>
      <c r="B108" t="s">
        <v>558</v>
      </c>
      <c r="D108">
        <v>105.91915158224107</v>
      </c>
      <c r="E108">
        <v>108.73655329270062</v>
      </c>
      <c r="F108">
        <v>106.69912033948376</v>
      </c>
      <c r="G108">
        <v>111.79300252869828</v>
      </c>
      <c r="M108" t="s">
        <v>552</v>
      </c>
      <c r="N108" t="s">
        <v>605</v>
      </c>
      <c r="O108">
        <f t="shared" si="12"/>
        <v>1</v>
      </c>
    </row>
    <row r="109" spans="1:15" x14ac:dyDescent="0.35">
      <c r="A109" t="s">
        <v>508</v>
      </c>
      <c r="B109" t="s">
        <v>559</v>
      </c>
      <c r="D109">
        <v>100.28411246582407</v>
      </c>
      <c r="E109">
        <v>100.22752891731692</v>
      </c>
      <c r="F109">
        <v>100.75196763305728</v>
      </c>
      <c r="G109">
        <v>101.25689015863271</v>
      </c>
    </row>
    <row r="110" spans="1:15" x14ac:dyDescent="0.35">
      <c r="A110" t="s">
        <v>509</v>
      </c>
      <c r="B110" t="s">
        <v>560</v>
      </c>
      <c r="D110">
        <v>99.461956481013104</v>
      </c>
      <c r="E110">
        <v>99.336486245163414</v>
      </c>
      <c r="F110">
        <v>99.966072003660187</v>
      </c>
      <c r="G110">
        <v>99.616372805094258</v>
      </c>
    </row>
    <row r="111" spans="1:15" x14ac:dyDescent="0.35">
      <c r="A111" t="s">
        <v>510</v>
      </c>
      <c r="B111" t="s">
        <v>562</v>
      </c>
      <c r="D111">
        <v>100.64315694187978</v>
      </c>
      <c r="E111">
        <v>101.12568143648349</v>
      </c>
      <c r="F111">
        <v>102.35799060737496</v>
      </c>
      <c r="G111">
        <v>103.80085790941853</v>
      </c>
    </row>
    <row r="112" spans="1:15" x14ac:dyDescent="0.35">
      <c r="A112" t="s">
        <v>511</v>
      </c>
      <c r="B112" t="s">
        <v>564</v>
      </c>
      <c r="D112">
        <v>100.54627661562067</v>
      </c>
      <c r="E112">
        <v>100.60445138256834</v>
      </c>
      <c r="F112">
        <v>100.52101835326854</v>
      </c>
      <c r="G112">
        <v>100.56425616658173</v>
      </c>
    </row>
    <row r="113" spans="1:7" x14ac:dyDescent="0.35">
      <c r="A113" t="s">
        <v>512</v>
      </c>
      <c r="B113" t="s">
        <v>565</v>
      </c>
      <c r="D113">
        <v>102.73741534489739</v>
      </c>
      <c r="E113">
        <v>103.21970779966486</v>
      </c>
      <c r="F113">
        <v>103.21860257348494</v>
      </c>
      <c r="G113">
        <v>102.71594790288755</v>
      </c>
    </row>
    <row r="114" spans="1:7" x14ac:dyDescent="0.35">
      <c r="A114" t="s">
        <v>513</v>
      </c>
      <c r="B114" t="s">
        <v>566</v>
      </c>
      <c r="D114">
        <v>100</v>
      </c>
      <c r="E114">
        <v>100</v>
      </c>
      <c r="F114">
        <v>100</v>
      </c>
      <c r="G114">
        <v>100</v>
      </c>
    </row>
    <row r="115" spans="1:7" x14ac:dyDescent="0.35">
      <c r="A115" t="s">
        <v>514</v>
      </c>
      <c r="B115" t="s">
        <v>567</v>
      </c>
      <c r="D115">
        <v>101.34149736076213</v>
      </c>
      <c r="E115">
        <v>102.11501064431265</v>
      </c>
      <c r="F115">
        <v>102.98647026835447</v>
      </c>
      <c r="G115">
        <v>103.1215090093765</v>
      </c>
    </row>
    <row r="116" spans="1:7" x14ac:dyDescent="0.35">
      <c r="A116" t="s">
        <v>515</v>
      </c>
      <c r="B116" t="s">
        <v>568</v>
      </c>
      <c r="D116">
        <v>98.860555501830376</v>
      </c>
      <c r="E116">
        <v>98.788181497437648</v>
      </c>
      <c r="F116">
        <v>98.809466040258016</v>
      </c>
      <c r="G116">
        <v>98.800722639964221</v>
      </c>
    </row>
    <row r="117" spans="1:7" x14ac:dyDescent="0.35">
      <c r="A117" t="s">
        <v>516</v>
      </c>
      <c r="B117" t="s">
        <v>569</v>
      </c>
      <c r="D117">
        <v>100.3489524267662</v>
      </c>
      <c r="E117">
        <v>100.3498816396589</v>
      </c>
      <c r="F117">
        <v>100.3498816396589</v>
      </c>
      <c r="G117">
        <v>100.3498816396589</v>
      </c>
    </row>
    <row r="118" spans="1:7" x14ac:dyDescent="0.35">
      <c r="A118" t="s">
        <v>517</v>
      </c>
      <c r="B118" t="s">
        <v>570</v>
      </c>
      <c r="D118">
        <v>99.946272533201039</v>
      </c>
      <c r="E118">
        <v>99.891047419932207</v>
      </c>
      <c r="F118">
        <v>99.962246916296479</v>
      </c>
      <c r="G118">
        <v>99.962246916296479</v>
      </c>
    </row>
    <row r="119" spans="1:7" x14ac:dyDescent="0.35">
      <c r="A119" t="s">
        <v>518</v>
      </c>
      <c r="B119" t="s">
        <v>571</v>
      </c>
      <c r="D119">
        <v>98.14404125381354</v>
      </c>
      <c r="E119">
        <v>97.910986892492403</v>
      </c>
      <c r="F119">
        <v>97.454206199200797</v>
      </c>
      <c r="G119">
        <v>97.545381584205785</v>
      </c>
    </row>
    <row r="120" spans="1:7" x14ac:dyDescent="0.35">
      <c r="A120" t="s">
        <v>519</v>
      </c>
      <c r="B120" t="s">
        <v>572</v>
      </c>
      <c r="D120">
        <v>101.40025873084069</v>
      </c>
      <c r="E120">
        <v>102.24810813248072</v>
      </c>
      <c r="F120">
        <v>102.21952167238912</v>
      </c>
      <c r="G120">
        <v>101.43930887202792</v>
      </c>
    </row>
    <row r="121" spans="1:7" x14ac:dyDescent="0.35">
      <c r="A121" t="s">
        <v>520</v>
      </c>
      <c r="B121" t="s">
        <v>573</v>
      </c>
      <c r="D121">
        <v>98.149904678130255</v>
      </c>
      <c r="E121">
        <v>99.701867475360231</v>
      </c>
      <c r="F121">
        <v>99.789789129178587</v>
      </c>
      <c r="G121">
        <v>100.0373084835522</v>
      </c>
    </row>
    <row r="122" spans="1:7" x14ac:dyDescent="0.35">
      <c r="A122" t="s">
        <v>521</v>
      </c>
      <c r="B122" t="s">
        <v>574</v>
      </c>
      <c r="D122">
        <v>99.823278368869182</v>
      </c>
      <c r="E122">
        <v>99.819469827011687</v>
      </c>
      <c r="F122">
        <v>99.846627895046495</v>
      </c>
      <c r="G122">
        <v>99.812105409720104</v>
      </c>
    </row>
    <row r="123" spans="1:7" x14ac:dyDescent="0.35">
      <c r="A123" t="s">
        <v>522</v>
      </c>
      <c r="B123" t="s">
        <v>575</v>
      </c>
      <c r="D123">
        <v>99.717255666691685</v>
      </c>
      <c r="E123">
        <v>99.898146013528702</v>
      </c>
      <c r="F123">
        <v>99.982477366190651</v>
      </c>
      <c r="G123">
        <v>100.17384337593914</v>
      </c>
    </row>
    <row r="124" spans="1:7" x14ac:dyDescent="0.35">
      <c r="A124" t="s">
        <v>523</v>
      </c>
      <c r="B124" t="s">
        <v>576</v>
      </c>
      <c r="D124">
        <v>99.963939763651339</v>
      </c>
      <c r="E124">
        <v>102.46223263301978</v>
      </c>
      <c r="F124">
        <v>102.95256561556489</v>
      </c>
      <c r="G124">
        <v>102.7656370288468</v>
      </c>
    </row>
    <row r="125" spans="1:7" x14ac:dyDescent="0.35">
      <c r="A125" t="s">
        <v>524</v>
      </c>
      <c r="B125" t="s">
        <v>577</v>
      </c>
      <c r="D125">
        <v>100.07971212448717</v>
      </c>
      <c r="E125">
        <v>100.34332097732363</v>
      </c>
      <c r="F125">
        <v>101.20696223868576</v>
      </c>
      <c r="G125">
        <v>101.75354076651945</v>
      </c>
    </row>
    <row r="126" spans="1:7" x14ac:dyDescent="0.35">
      <c r="A126" t="s">
        <v>525</v>
      </c>
      <c r="B126" t="s">
        <v>578</v>
      </c>
      <c r="D126">
        <v>100.92955585453153</v>
      </c>
      <c r="E126">
        <v>102.01116622312861</v>
      </c>
      <c r="F126">
        <v>102.06791730771856</v>
      </c>
      <c r="G126">
        <v>102.02836174659627</v>
      </c>
    </row>
    <row r="127" spans="1:7" x14ac:dyDescent="0.35">
      <c r="A127" t="s">
        <v>526</v>
      </c>
      <c r="B127" t="s">
        <v>579</v>
      </c>
      <c r="D127">
        <v>99.94072367317078</v>
      </c>
      <c r="E127">
        <v>100.11080364773517</v>
      </c>
      <c r="F127">
        <v>100.11382254986994</v>
      </c>
      <c r="G127">
        <v>100.11382254986994</v>
      </c>
    </row>
    <row r="128" spans="1:7" x14ac:dyDescent="0.35">
      <c r="A128" t="s">
        <v>527</v>
      </c>
      <c r="B128" t="s">
        <v>580</v>
      </c>
      <c r="D128">
        <v>99.827011797295242</v>
      </c>
      <c r="E128">
        <v>99.697338999498442</v>
      </c>
      <c r="F128">
        <v>102.26639287045262</v>
      </c>
      <c r="G128">
        <v>102.96659556015005</v>
      </c>
    </row>
    <row r="129" spans="1:7" x14ac:dyDescent="0.35">
      <c r="A129" t="s">
        <v>528</v>
      </c>
      <c r="B129" t="s">
        <v>581</v>
      </c>
      <c r="D129">
        <v>99.358769754599891</v>
      </c>
      <c r="E129">
        <v>99.623020509022012</v>
      </c>
      <c r="F129">
        <v>99.798710055999919</v>
      </c>
      <c r="G129">
        <v>99.710685318487123</v>
      </c>
    </row>
    <row r="130" spans="1:7" x14ac:dyDescent="0.35">
      <c r="A130" t="s">
        <v>529</v>
      </c>
      <c r="B130" t="s">
        <v>582</v>
      </c>
      <c r="D130">
        <v>99.5064165844028</v>
      </c>
      <c r="E130">
        <v>99.5064165844028</v>
      </c>
      <c r="F130">
        <v>105.03455083909189</v>
      </c>
      <c r="G130">
        <v>105.03455083909189</v>
      </c>
    </row>
    <row r="131" spans="1:7" x14ac:dyDescent="0.35">
      <c r="A131" t="s">
        <v>530</v>
      </c>
      <c r="B131" t="s">
        <v>583</v>
      </c>
      <c r="D131">
        <v>100.99940136767403</v>
      </c>
      <c r="E131">
        <v>101.02686226581397</v>
      </c>
      <c r="F131">
        <v>100.96400024107196</v>
      </c>
      <c r="G131">
        <v>101.69214124060829</v>
      </c>
    </row>
    <row r="132" spans="1:7" x14ac:dyDescent="0.35">
      <c r="A132" t="s">
        <v>531</v>
      </c>
      <c r="B132" t="s">
        <v>584</v>
      </c>
      <c r="D132">
        <v>102.54185239308981</v>
      </c>
      <c r="E132">
        <v>102.62720504246187</v>
      </c>
      <c r="F132">
        <v>103.56452758274325</v>
      </c>
      <c r="G132">
        <v>104.61375854087255</v>
      </c>
    </row>
    <row r="133" spans="1:7" x14ac:dyDescent="0.35">
      <c r="A133" t="s">
        <v>532</v>
      </c>
      <c r="B133" t="s">
        <v>585</v>
      </c>
      <c r="D133">
        <v>99.760434898192912</v>
      </c>
      <c r="E133">
        <v>99.757234406951028</v>
      </c>
      <c r="F133">
        <v>99.78471510452124</v>
      </c>
      <c r="G133">
        <v>98.318099313842538</v>
      </c>
    </row>
    <row r="134" spans="1:7" x14ac:dyDescent="0.35">
      <c r="A134" t="s">
        <v>533</v>
      </c>
      <c r="B134" t="s">
        <v>586</v>
      </c>
      <c r="D134">
        <v>99.950947941753668</v>
      </c>
      <c r="E134">
        <v>100.19956829570484</v>
      </c>
      <c r="F134">
        <v>100.16338893484118</v>
      </c>
      <c r="G134">
        <v>100.18937713294112</v>
      </c>
    </row>
    <row r="135" spans="1:7" x14ac:dyDescent="0.35">
      <c r="A135" t="s">
        <v>534</v>
      </c>
      <c r="B135" t="s">
        <v>587</v>
      </c>
      <c r="D135">
        <v>100.3821478659351</v>
      </c>
      <c r="E135">
        <v>101.74122162867094</v>
      </c>
      <c r="F135">
        <v>102.16627777698456</v>
      </c>
      <c r="G135">
        <v>103.08974617861918</v>
      </c>
    </row>
    <row r="136" spans="1:7" x14ac:dyDescent="0.35">
      <c r="A136" t="s">
        <v>535</v>
      </c>
      <c r="B136" t="s">
        <v>588</v>
      </c>
      <c r="D136">
        <v>100.05894125777644</v>
      </c>
      <c r="E136">
        <v>99.856044772864593</v>
      </c>
      <c r="F136">
        <v>100.12425499874939</v>
      </c>
      <c r="G136">
        <v>100.20010155981186</v>
      </c>
    </row>
    <row r="137" spans="1:7" x14ac:dyDescent="0.35">
      <c r="A137" t="s">
        <v>536</v>
      </c>
      <c r="B137" t="s">
        <v>589</v>
      </c>
      <c r="D137">
        <v>100.2272855681673</v>
      </c>
      <c r="E137">
        <v>101.25359144740023</v>
      </c>
      <c r="F137">
        <v>101.2850430530554</v>
      </c>
      <c r="G137">
        <v>101.2850430530554</v>
      </c>
    </row>
    <row r="138" spans="1:7" x14ac:dyDescent="0.35">
      <c r="A138" t="s">
        <v>537</v>
      </c>
      <c r="B138" t="s">
        <v>590</v>
      </c>
      <c r="D138">
        <v>99.998163633431872</v>
      </c>
      <c r="E138">
        <v>100.37996116654317</v>
      </c>
      <c r="F138">
        <v>100.37011819154485</v>
      </c>
      <c r="G138">
        <v>100.36394516048931</v>
      </c>
    </row>
    <row r="139" spans="1:7" x14ac:dyDescent="0.35">
      <c r="A139" t="s">
        <v>538</v>
      </c>
      <c r="B139" t="s">
        <v>591</v>
      </c>
      <c r="D139">
        <v>99.367541469119075</v>
      </c>
      <c r="E139">
        <v>100.67980622693473</v>
      </c>
      <c r="F139">
        <v>100.6979304081441</v>
      </c>
      <c r="G139">
        <v>100.50053423038962</v>
      </c>
    </row>
    <row r="140" spans="1:7" x14ac:dyDescent="0.35">
      <c r="A140" t="s">
        <v>539</v>
      </c>
      <c r="B140" t="s">
        <v>592</v>
      </c>
      <c r="D140">
        <v>100.0298738277682</v>
      </c>
      <c r="E140">
        <v>100.02836774547164</v>
      </c>
      <c r="F140">
        <v>100.04599516015924</v>
      </c>
      <c r="G140">
        <v>100.02349169641528</v>
      </c>
    </row>
    <row r="141" spans="1:7" x14ac:dyDescent="0.35">
      <c r="A141" t="s">
        <v>540</v>
      </c>
      <c r="B141" t="s">
        <v>593</v>
      </c>
      <c r="D141">
        <v>100.00076578327214</v>
      </c>
      <c r="E141">
        <v>100.00076578327214</v>
      </c>
      <c r="F141">
        <v>100.00092529529688</v>
      </c>
      <c r="G141">
        <v>100.00092529529688</v>
      </c>
    </row>
    <row r="142" spans="1:7" x14ac:dyDescent="0.35">
      <c r="A142" t="s">
        <v>541</v>
      </c>
      <c r="B142" t="s">
        <v>594</v>
      </c>
      <c r="D142">
        <v>100.49377648870349</v>
      </c>
      <c r="E142">
        <v>100.60465902699113</v>
      </c>
      <c r="F142">
        <v>101.60896314733313</v>
      </c>
      <c r="G142">
        <v>101.60871466285334</v>
      </c>
    </row>
    <row r="143" spans="1:7" x14ac:dyDescent="0.35">
      <c r="A143" t="s">
        <v>542</v>
      </c>
      <c r="B143" t="s">
        <v>595</v>
      </c>
      <c r="D143">
        <v>99.440591810757724</v>
      </c>
      <c r="E143">
        <v>99.288214253708219</v>
      </c>
      <c r="F143">
        <v>98.425130803748587</v>
      </c>
      <c r="G143">
        <v>98.63316146308938</v>
      </c>
    </row>
    <row r="144" spans="1:7" x14ac:dyDescent="0.35">
      <c r="A144" t="s">
        <v>543</v>
      </c>
      <c r="B144" t="s">
        <v>596</v>
      </c>
      <c r="D144">
        <v>101.65147608695246</v>
      </c>
      <c r="E144">
        <v>101.65147608695246</v>
      </c>
      <c r="F144">
        <v>101.65147608695246</v>
      </c>
      <c r="G144">
        <v>102.42536507552509</v>
      </c>
    </row>
    <row r="145" spans="1:7" x14ac:dyDescent="0.35">
      <c r="A145" t="s">
        <v>544</v>
      </c>
      <c r="B145" t="s">
        <v>597</v>
      </c>
      <c r="D145">
        <v>100</v>
      </c>
      <c r="E145">
        <v>100</v>
      </c>
      <c r="F145">
        <v>100</v>
      </c>
      <c r="G145">
        <v>100</v>
      </c>
    </row>
    <row r="146" spans="1:7" x14ac:dyDescent="0.35">
      <c r="A146" t="s">
        <v>545</v>
      </c>
      <c r="B146" t="s">
        <v>598</v>
      </c>
      <c r="D146">
        <v>100.58243715060972</v>
      </c>
      <c r="E146">
        <v>101.20495099864306</v>
      </c>
      <c r="F146">
        <v>101.20389851767916</v>
      </c>
      <c r="G146">
        <v>101.21259654756399</v>
      </c>
    </row>
    <row r="147" spans="1:7" x14ac:dyDescent="0.35">
      <c r="A147" t="s">
        <v>546</v>
      </c>
      <c r="B147" t="s">
        <v>599</v>
      </c>
      <c r="D147">
        <v>104.89762092787902</v>
      </c>
      <c r="E147">
        <v>104.89762092787902</v>
      </c>
      <c r="F147">
        <v>104.89762092787902</v>
      </c>
      <c r="G147">
        <v>104.89762092787902</v>
      </c>
    </row>
    <row r="148" spans="1:7" x14ac:dyDescent="0.35">
      <c r="A148" t="s">
        <v>547</v>
      </c>
      <c r="B148" t="s">
        <v>600</v>
      </c>
      <c r="D148">
        <v>99.398376906694878</v>
      </c>
      <c r="E148">
        <v>99.417704333079683</v>
      </c>
      <c r="F148">
        <v>99.338719583920579</v>
      </c>
      <c r="G148">
        <v>99.299162784586414</v>
      </c>
    </row>
    <row r="149" spans="1:7" x14ac:dyDescent="0.35">
      <c r="A149" t="s">
        <v>548</v>
      </c>
      <c r="B149" t="s">
        <v>601</v>
      </c>
      <c r="D149">
        <v>100</v>
      </c>
      <c r="E149">
        <v>100</v>
      </c>
      <c r="F149">
        <v>100</v>
      </c>
      <c r="G149">
        <v>100</v>
      </c>
    </row>
    <row r="150" spans="1:7" x14ac:dyDescent="0.35">
      <c r="A150" t="s">
        <v>549</v>
      </c>
      <c r="B150" t="s">
        <v>602</v>
      </c>
      <c r="D150">
        <v>97.627040640123795</v>
      </c>
      <c r="E150">
        <v>99.683900274301863</v>
      </c>
      <c r="F150">
        <v>99.683900274301863</v>
      </c>
      <c r="G150">
        <v>99.683900274301863</v>
      </c>
    </row>
    <row r="151" spans="1:7" x14ac:dyDescent="0.35">
      <c r="A151" t="s">
        <v>550</v>
      </c>
      <c r="B151" t="s">
        <v>603</v>
      </c>
      <c r="D151">
        <v>100.39841956969063</v>
      </c>
      <c r="E151">
        <v>100.39842099373257</v>
      </c>
      <c r="F151">
        <v>100.63454402729984</v>
      </c>
      <c r="G151">
        <v>100.63454402729984</v>
      </c>
    </row>
    <row r="152" spans="1:7" x14ac:dyDescent="0.35">
      <c r="A152" t="s">
        <v>551</v>
      </c>
      <c r="B152" t="s">
        <v>604</v>
      </c>
      <c r="D152">
        <v>103.99821506035568</v>
      </c>
      <c r="E152">
        <v>104.41671850302826</v>
      </c>
      <c r="F152">
        <v>104.02883293750126</v>
      </c>
      <c r="G152">
        <v>104.86228631365994</v>
      </c>
    </row>
    <row r="153" spans="1:7" x14ac:dyDescent="0.35">
      <c r="A153" t="s">
        <v>552</v>
      </c>
      <c r="B153" t="s">
        <v>605</v>
      </c>
      <c r="D153">
        <v>103.32142943423659</v>
      </c>
      <c r="E153">
        <v>103.32142943423659</v>
      </c>
      <c r="F153">
        <v>103.32142943423659</v>
      </c>
      <c r="G153">
        <v>103.32142943423659</v>
      </c>
    </row>
  </sheetData>
  <autoFilter ref="M55:O108" xr:uid="{C714BB25-2FA8-463D-9027-88DE6DE30F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1F4D-678F-4615-84A6-BA272EEE0892}">
  <dimension ref="A1:AD4"/>
  <sheetViews>
    <sheetView workbookViewId="0">
      <selection activeCell="F12" sqref="F12"/>
    </sheetView>
  </sheetViews>
  <sheetFormatPr defaultRowHeight="14.5" x14ac:dyDescent="0.35"/>
  <cols>
    <col min="1" max="1" width="15.81640625" customWidth="1"/>
  </cols>
  <sheetData>
    <row r="1" spans="1:30" ht="29" x14ac:dyDescent="0.35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</v>
      </c>
      <c r="P1" s="1" t="s">
        <v>2</v>
      </c>
      <c r="Q1" s="1" t="s">
        <v>3</v>
      </c>
      <c r="R1" s="1"/>
      <c r="S1" s="3" t="s">
        <v>160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A1" s="1" t="s">
        <v>9</v>
      </c>
      <c r="AB1" s="1" t="s">
        <v>10</v>
      </c>
      <c r="AC1" s="1" t="s">
        <v>11</v>
      </c>
      <c r="AD1" s="1" t="s">
        <v>12</v>
      </c>
    </row>
    <row r="2" spans="1:30" x14ac:dyDescent="0.35">
      <c r="A2" t="s">
        <v>267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0.99998417919313198</v>
      </c>
      <c r="K2">
        <v>1</v>
      </c>
      <c r="L2">
        <v>0.97501092247516186</v>
      </c>
      <c r="M2">
        <v>1</v>
      </c>
      <c r="N2">
        <v>1</v>
      </c>
      <c r="O2">
        <v>1</v>
      </c>
      <c r="P2">
        <v>1.0256370863621125</v>
      </c>
      <c r="Q2">
        <v>1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99.998417919313198</v>
      </c>
      <c r="AA2">
        <v>99.998417919313198</v>
      </c>
      <c r="AB2">
        <v>97.499549701566323</v>
      </c>
      <c r="AC2">
        <v>97.499549701566323</v>
      </c>
      <c r="AD2">
        <v>97.499549701566323</v>
      </c>
    </row>
    <row r="3" spans="1:30" x14ac:dyDescent="0.35">
      <c r="A3" t="s">
        <v>270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</row>
    <row r="4" spans="1:30" x14ac:dyDescent="0.35">
      <c r="A4" t="s">
        <v>273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0.99999012340801663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99.99901234080167</v>
      </c>
      <c r="AA4">
        <v>99.99901234080167</v>
      </c>
      <c r="AB4">
        <v>99.99901234080167</v>
      </c>
      <c r="AC4">
        <v>99.99901234080167</v>
      </c>
      <c r="AD4">
        <v>99.99901234080167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Calculo_seccion</vt:lpstr>
      <vt:lpstr>Calculo_division_clase</vt:lpstr>
      <vt:lpstr>C1104.24490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Ernestina Brigida Perez Ardiles</dc:creator>
  <cp:lastModifiedBy>Ernestina Brigida Perez Ardiles</cp:lastModifiedBy>
  <dcterms:created xsi:type="dcterms:W3CDTF">2025-05-28T07:04:48Z</dcterms:created>
  <dcterms:modified xsi:type="dcterms:W3CDTF">2025-05-29T20:13:30Z</dcterms:modified>
</cp:coreProperties>
</file>